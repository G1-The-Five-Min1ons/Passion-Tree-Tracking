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ystem design" sheetId="2" r:id="rId6"/>
    <sheet state="visible" name="UX-UI" sheetId="3" r:id="rId7"/>
    <sheet state="visible" name="Reflection Tree" sheetId="4" r:id="rId8"/>
    <sheet state="visible" name="Learning Path" sheetId="5" r:id="rId9"/>
    <sheet state="visible" name="Authentication" sheetId="6" r:id="rId10"/>
    <sheet state="visible" name="Recommendation" sheetId="7" r:id="rId11"/>
    <sheet state="visible" name="Social Learning" sheetId="8" r:id="rId12"/>
    <sheet state="visible" name="Dashboards" sheetId="9" r:id="rId13"/>
    <sheet state="visible" name="TEST" sheetId="10" r:id="rId14"/>
    <sheet state="visible" name="Deploy" sheetId="11" r:id="rId15"/>
    <sheet state="hidden" name="_Data" sheetId="12" r:id="rId16"/>
    <sheet state="hidden" name="_Lists" sheetId="13" r:id="rId17"/>
  </sheets>
  <definedNames>
    <definedName hidden="1" localSheetId="0" name="_xlnm._FilterDatabase">Dashboard!$A$8:$G$18</definedName>
    <definedName hidden="1" localSheetId="1" name="_xlnm._FilterDatabase">'System design'!$A$1:$M$40</definedName>
    <definedName hidden="1" localSheetId="2" name="_xlnm._FilterDatabase">'UX-UI'!$A$1:$M$85</definedName>
    <definedName hidden="1" localSheetId="3" name="_xlnm._FilterDatabase">'Reflection Tree'!$A$1:$M$23</definedName>
    <definedName hidden="1" localSheetId="4" name="_xlnm._FilterDatabase">'Learning Path'!$A$1:$M$45</definedName>
    <definedName hidden="1" localSheetId="5" name="_xlnm._FilterDatabase">Authentication!$A$1:$M$28</definedName>
    <definedName hidden="1" localSheetId="6" name="_xlnm._FilterDatabase">Recommendation!$A$1:$M$18</definedName>
    <definedName hidden="1" localSheetId="7" name="_xlnm._FilterDatabase">'Social Learning'!$A$1:$M$11</definedName>
    <definedName hidden="1" localSheetId="8" name="_xlnm._FilterDatabase">Dashboards!$A$1:$M$6</definedName>
    <definedName hidden="1" localSheetId="9" name="_xlnm._FilterDatabase">TEST!$A$1:$M$16</definedName>
    <definedName hidden="1" localSheetId="10" name="_xlnm._FilterDatabase">Deploy!$A$1:$M$14</definedName>
  </definedNames>
  <calcPr/>
</workbook>
</file>

<file path=xl/sharedStrings.xml><?xml version="1.0" encoding="utf-8"?>
<sst xmlns="http://schemas.openxmlformats.org/spreadsheetml/2006/main" count="4256" uniqueCount="666">
  <si>
    <t>Tracker — Jira Dashboard</t>
  </si>
  <si>
    <t>Metric</t>
  </si>
  <si>
    <t>Count</t>
  </si>
  <si>
    <t>Completed</t>
  </si>
  <si>
    <t xml:space="preserve">TOTAL ITEMS </t>
  </si>
  <si>
    <t>COMPLETED</t>
  </si>
  <si>
    <t>REMAINING</t>
  </si>
  <si>
    <t>PROGRESS</t>
  </si>
  <si>
    <t>LATEST SCRUM</t>
  </si>
  <si>
    <t>Remaining</t>
  </si>
  <si>
    <t>Epic Key</t>
  </si>
  <si>
    <t>Epic Name</t>
  </si>
  <si>
    <t>Epic Status</t>
  </si>
  <si>
    <t>Total Items</t>
  </si>
  <si>
    <t>Done</t>
  </si>
  <si>
    <t>Progress %</t>
  </si>
  <si>
    <t>SCRUM-3</t>
  </si>
  <si>
    <t>Reflection Tree</t>
  </si>
  <si>
    <t>SCRUM-1</t>
  </si>
  <si>
    <t>Learning Path</t>
  </si>
  <si>
    <t>SCRUM-8</t>
  </si>
  <si>
    <t>System design</t>
  </si>
  <si>
    <t>SCRUM-49</t>
  </si>
  <si>
    <t>UX/UI</t>
  </si>
  <si>
    <t>SCRUM-30</t>
  </si>
  <si>
    <t>TEST</t>
  </si>
  <si>
    <t>SCRUM-2</t>
  </si>
  <si>
    <t>Authentication</t>
  </si>
  <si>
    <t>SCRUM-6</t>
  </si>
  <si>
    <t>Recommendation</t>
  </si>
  <si>
    <t>SCRUM-7</t>
  </si>
  <si>
    <t>Social Learning</t>
  </si>
  <si>
    <t>SCRUM-58</t>
  </si>
  <si>
    <t>Deploy</t>
  </si>
  <si>
    <t>SCRUM-5</t>
  </si>
  <si>
    <t>Dashboards</t>
  </si>
  <si>
    <t>Sprint Timeline Summary</t>
  </si>
  <si>
    <t>Sprint</t>
  </si>
  <si>
    <t>Status</t>
  </si>
  <si>
    <t>SCRUM Sprint 1</t>
  </si>
  <si>
    <t>100.0%</t>
  </si>
  <si>
    <t>SCRUM Sprint 2</t>
  </si>
  <si>
    <t>SCRUM Sprint 3</t>
  </si>
  <si>
    <t>60.5%</t>
  </si>
  <si>
    <t>In Progress</t>
  </si>
  <si>
    <t>SCRUM Sprint 4</t>
  </si>
  <si>
    <t>0.0%</t>
  </si>
  <si>
    <t>Not Started</t>
  </si>
  <si>
    <t>100.0% (85/85)</t>
  </si>
  <si>
    <t>100.0% (46/46)</t>
  </si>
  <si>
    <t>60.5% (75/124)</t>
  </si>
  <si>
    <t>0.0% (0/7)</t>
  </si>
  <si>
    <t>Issue key</t>
  </si>
  <si>
    <t>Summary</t>
  </si>
  <si>
    <t>Issue Type</t>
  </si>
  <si>
    <t>Priority</t>
  </si>
  <si>
    <t>Assignee</t>
  </si>
  <si>
    <t>Created</t>
  </si>
  <si>
    <t>Due date</t>
  </si>
  <si>
    <t>Story Points</t>
  </si>
  <si>
    <t>Parent Key</t>
  </si>
  <si>
    <t>Parent Summary</t>
  </si>
  <si>
    <t>Epic</t>
  </si>
  <si>
    <t>Highest</t>
  </si>
  <si>
    <t>2025-11-17</t>
  </si>
  <si>
    <t>2026-03-16</t>
  </si>
  <si>
    <t>SCRUM-64</t>
  </si>
  <si>
    <t>Infrastructure Set</t>
  </si>
  <si>
    <t>Task</t>
  </si>
  <si>
    <t>Medium</t>
  </si>
  <si>
    <t>Thiraphat Panthong</t>
  </si>
  <si>
    <t>2025-12-16</t>
  </si>
  <si>
    <t>2025-12-29</t>
  </si>
  <si>
    <t>SCRUM-72</t>
  </si>
  <si>
    <t>AI-service Setup</t>
  </si>
  <si>
    <t>Subtask</t>
  </si>
  <si>
    <t>2025-12-17</t>
  </si>
  <si>
    <t>SCRUM-71</t>
  </si>
  <si>
    <t>Frontend Setup</t>
  </si>
  <si>
    <t>SCRUM-70</t>
  </si>
  <si>
    <t>Tech Stack Setup</t>
  </si>
  <si>
    <t>SCRUM-69</t>
  </si>
  <si>
    <t>Backend Setup</t>
  </si>
  <si>
    <t>SCRUM-68</t>
  </si>
  <si>
    <t>Set Docker Setup</t>
  </si>
  <si>
    <t>SCRUM-45</t>
  </si>
  <si>
    <t>Database Design</t>
  </si>
  <si>
    <t>Nattapat Suwansipaisan</t>
  </si>
  <si>
    <t>SCRUM-195</t>
  </si>
  <si>
    <t>Database table</t>
  </si>
  <si>
    <t>2025-12-25</t>
  </si>
  <si>
    <t>2025-12-26</t>
  </si>
  <si>
    <t>SCRUM-83</t>
  </si>
  <si>
    <t>ER Diagram</t>
  </si>
  <si>
    <t>SCRUM-78</t>
  </si>
  <si>
    <t>Connect to backend</t>
  </si>
  <si>
    <t>2025-12-30</t>
  </si>
  <si>
    <t>SCRUM-80</t>
  </si>
  <si>
    <t>Create Table</t>
  </si>
  <si>
    <t>SCRUM-89</t>
  </si>
  <si>
    <t>Search System Template</t>
  </si>
  <si>
    <t>2026-01-02</t>
  </si>
  <si>
    <t>SCRUM-211</t>
  </si>
  <si>
    <t>Connect to Qdrant Database</t>
  </si>
  <si>
    <t>SCRUM-107</t>
  </si>
  <si>
    <t>Ranking &amp; Retrieval</t>
  </si>
  <si>
    <t>SCRUM-104</t>
  </si>
  <si>
    <t>Tech Stack to use</t>
  </si>
  <si>
    <t>SCRUM-102</t>
  </si>
  <si>
    <t>Preprocessing</t>
  </si>
  <si>
    <t>SCRUM-212</t>
  </si>
  <si>
    <t>Embedding data</t>
  </si>
  <si>
    <t>2026-01-01</t>
  </si>
  <si>
    <t>SCRUM-108</t>
  </si>
  <si>
    <t>Filtering</t>
  </si>
  <si>
    <t>SCRUM-209</t>
  </si>
  <si>
    <t>Logs Design</t>
  </si>
  <si>
    <t>2025-12-28</t>
  </si>
  <si>
    <t>2026-01-30</t>
  </si>
  <si>
    <t>SCRUM-292</t>
  </si>
  <si>
    <t>Re-Format Logs</t>
  </si>
  <si>
    <t>2026-01-24</t>
  </si>
  <si>
    <t>SCRUM-291</t>
  </si>
  <si>
    <t>Connect Logs to Backend</t>
  </si>
  <si>
    <t>SCRUM-290</t>
  </si>
  <si>
    <t>Tech Stack to Use</t>
  </si>
  <si>
    <t>SCRUM-286</t>
  </si>
  <si>
    <t>Integrate system (Deploy)</t>
  </si>
  <si>
    <t>2026-01-23</t>
  </si>
  <si>
    <t>2026-02-09</t>
  </si>
  <si>
    <t>SCRUM-289</t>
  </si>
  <si>
    <t>Design Flow and Integrate to CI/CD</t>
  </si>
  <si>
    <t>SCRUM-288</t>
  </si>
  <si>
    <t>PoC for deploy</t>
  </si>
  <si>
    <t>2026-02-03</t>
  </si>
  <si>
    <t>SCRUM-46</t>
  </si>
  <si>
    <t>API Design</t>
  </si>
  <si>
    <t>SCRUM-202</t>
  </si>
  <si>
    <t>Learning Path Node Endpoint</t>
  </si>
  <si>
    <t>Napadech</t>
  </si>
  <si>
    <t>2026-01-05</t>
  </si>
  <si>
    <t>SCRUM-201</t>
  </si>
  <si>
    <t>Quiz Endpoint</t>
  </si>
  <si>
    <t>SCRUM-200</t>
  </si>
  <si>
    <t>Tree Node Endpoint</t>
  </si>
  <si>
    <t>SCRUM-199</t>
  </si>
  <si>
    <t>Tree Endpoint</t>
  </si>
  <si>
    <t>SCRUM-143</t>
  </si>
  <si>
    <t>Recommendation Endpoints</t>
  </si>
  <si>
    <t>2025-12-18</t>
  </si>
  <si>
    <t>SCRUM-142</t>
  </si>
  <si>
    <t>Lernnig path Endpoints</t>
  </si>
  <si>
    <t>SCRUM-141</t>
  </si>
  <si>
    <t>Search Endpoints</t>
  </si>
  <si>
    <t>SCRUM-194</t>
  </si>
  <si>
    <t>PROFILE Endpoint</t>
  </si>
  <si>
    <t>Amy Tripp</t>
  </si>
  <si>
    <t>2025-12-22</t>
  </si>
  <si>
    <t>2026-03-06</t>
  </si>
  <si>
    <t>SCRUM-140</t>
  </si>
  <si>
    <t>Auth Endpoints</t>
  </si>
  <si>
    <t>2026-01-28</t>
  </si>
  <si>
    <t>SCRUM-77</t>
  </si>
  <si>
    <t>Document</t>
  </si>
  <si>
    <t>SCRUM-217</t>
  </si>
  <si>
    <t>Dashboard Endpoint</t>
  </si>
  <si>
    <t>2026-01-04</t>
  </si>
  <si>
    <t>2026-04-05</t>
  </si>
  <si>
    <t>SCRUM-181</t>
  </si>
  <si>
    <t>Component-Widget</t>
  </si>
  <si>
    <t>Nutgritta Prasomthongsuk</t>
  </si>
  <si>
    <t>2025-12-20</t>
  </si>
  <si>
    <t>SCRUM-186</t>
  </si>
  <si>
    <t>Components</t>
  </si>
  <si>
    <t>2025-12-21</t>
  </si>
  <si>
    <t>SCRUM-185</t>
  </si>
  <si>
    <t>Buttons</t>
  </si>
  <si>
    <t>SCRUM-184</t>
  </si>
  <si>
    <t>Theme And Color</t>
  </si>
  <si>
    <t>SCRUM-183</t>
  </si>
  <si>
    <t>Typography</t>
  </si>
  <si>
    <t>SCRUM-51</t>
  </si>
  <si>
    <t>Reflection Page Layout</t>
  </si>
  <si>
    <t>2026-02-25</t>
  </si>
  <si>
    <t>SCRUM-81</t>
  </si>
  <si>
    <t>Create New Tree Form</t>
  </si>
  <si>
    <t>High</t>
  </si>
  <si>
    <t>2026-01-27</t>
  </si>
  <si>
    <t>SCRUM-92</t>
  </si>
  <si>
    <t>View Tree Information Page</t>
  </si>
  <si>
    <t>SCRUM-87</t>
  </si>
  <si>
    <t>Tree Visualization</t>
  </si>
  <si>
    <t>2026-01-21</t>
  </si>
  <si>
    <t>SCRUM-84</t>
  </si>
  <si>
    <t>Create Pop-Up</t>
  </si>
  <si>
    <t>SCRUM-88</t>
  </si>
  <si>
    <t>Change Album Info Pop-Up</t>
  </si>
  <si>
    <t>SCRUM-94</t>
  </si>
  <si>
    <t>Add Reflect Pop-Up</t>
  </si>
  <si>
    <t>SCRUM-250</t>
  </si>
  <si>
    <t>View Album Information Page</t>
  </si>
  <si>
    <t>Lowest</t>
  </si>
  <si>
    <t>2026-01-13</t>
  </si>
  <si>
    <t>SCRUM-86</t>
  </si>
  <si>
    <t>How To Use Pop-Up</t>
  </si>
  <si>
    <t>Low</t>
  </si>
  <si>
    <t>SCRUM-85</t>
  </si>
  <si>
    <t>Edit Pop-Up</t>
  </si>
  <si>
    <t>SCRUM-95</t>
  </si>
  <si>
    <t>Recommend Pop-Up</t>
  </si>
  <si>
    <t>SCRUM-96</t>
  </si>
  <si>
    <t>Detail Pop-Up</t>
  </si>
  <si>
    <t>SCRUM-300</t>
  </si>
  <si>
    <t>Warning Popup</t>
  </si>
  <si>
    <t>2026-02-02</t>
  </si>
  <si>
    <t>SCRUM-299</t>
  </si>
  <si>
    <t>Calendar Popup</t>
  </si>
  <si>
    <t>SCRUM-298</t>
  </si>
  <si>
    <t>Resume + Retrieve Popup</t>
  </si>
  <si>
    <t>SCRUM-293</t>
  </si>
  <si>
    <t>Connect Backend URL</t>
  </si>
  <si>
    <t>2026-02-04</t>
  </si>
  <si>
    <t>SCRUM-346</t>
  </si>
  <si>
    <t>Business Logic for CRUD</t>
  </si>
  <si>
    <t>2026-02-18</t>
  </si>
  <si>
    <t>SCRUM-297</t>
  </si>
  <si>
    <t>Change Location Popup</t>
  </si>
  <si>
    <t>SCRUM-296</t>
  </si>
  <si>
    <t>Delete Popup</t>
  </si>
  <si>
    <t>SCRUM-82</t>
  </si>
  <si>
    <t>Page Layout</t>
  </si>
  <si>
    <t>2025-12-31</t>
  </si>
  <si>
    <t>SCRUM-75</t>
  </si>
  <si>
    <t>SCRUM-347</t>
  </si>
  <si>
    <t>Flow Optimization</t>
  </si>
  <si>
    <t>To Do</t>
  </si>
  <si>
    <t>SCRUM-50</t>
  </si>
  <si>
    <t>Learning Path Page Layout</t>
  </si>
  <si>
    <t>SCRUM-74</t>
  </si>
  <si>
    <t>2026-01-09</t>
  </si>
  <si>
    <t>SCRUM-155</t>
  </si>
  <si>
    <t>[S]Learning Paths Overview Page</t>
  </si>
  <si>
    <t>2026-01-06</t>
  </si>
  <si>
    <t>SCRUM-168</t>
  </si>
  <si>
    <t xml:space="preserve">[T]Create Status Page </t>
  </si>
  <si>
    <t>2026-01-08</t>
  </si>
  <si>
    <t>SCRUM-165</t>
  </si>
  <si>
    <t>[T]Learning Path Status</t>
  </si>
  <si>
    <t>SCRUM-164</t>
  </si>
  <si>
    <t>[T]Learning Paths Overview Page</t>
  </si>
  <si>
    <t>SCRUM-163</t>
  </si>
  <si>
    <t>[T]Learn &amp; Create Tab</t>
  </si>
  <si>
    <t>SCRUM-162</t>
  </si>
  <si>
    <t>[S]Learning Path Status</t>
  </si>
  <si>
    <t>SCRUM-169</t>
  </si>
  <si>
    <t>[T]Create Learning Path(Input Detail)</t>
  </si>
  <si>
    <t>2026-01-11</t>
  </si>
  <si>
    <t>SCRUM-175</t>
  </si>
  <si>
    <t>[T]Create Node (Plain)</t>
  </si>
  <si>
    <t>SCRUM-174</t>
  </si>
  <si>
    <t>[T]Create Plain Path</t>
  </si>
  <si>
    <t>SCRUM-172</t>
  </si>
  <si>
    <t>[T]Create Node (AI)</t>
  </si>
  <si>
    <t>SCRUM-171</t>
  </si>
  <si>
    <t>[T]Nodes Overview Page</t>
  </si>
  <si>
    <t>2026-01-14</t>
  </si>
  <si>
    <t>SCRUM-170</t>
  </si>
  <si>
    <t>[T]AI Node Review Page</t>
  </si>
  <si>
    <t>SCRUM-179</t>
  </si>
  <si>
    <t>[T]Delete Node Popup</t>
  </si>
  <si>
    <t>2026-01-31</t>
  </si>
  <si>
    <t>SCRUM-178</t>
  </si>
  <si>
    <t>[T]Save Draft Popup</t>
  </si>
  <si>
    <t>SCRUM-177</t>
  </si>
  <si>
    <t>[T]Publish Popup</t>
  </si>
  <si>
    <t>SCRUM-176</t>
  </si>
  <si>
    <t>[T]Edit Node (Plain)</t>
  </si>
  <si>
    <t>SCRUM-167</t>
  </si>
  <si>
    <t>[T]Delete Popup</t>
  </si>
  <si>
    <t>SCRUM-166</t>
  </si>
  <si>
    <t>[T]Edit Popup</t>
  </si>
  <si>
    <t>SCRUM-160</t>
  </si>
  <si>
    <t>[S]Rating Popup</t>
  </si>
  <si>
    <t>SCRUM-159</t>
  </si>
  <si>
    <t>[S]Completion Popup</t>
  </si>
  <si>
    <t>SCRUM-158</t>
  </si>
  <si>
    <t>[S]Quiz Page</t>
  </si>
  <si>
    <t>SCRUM-156</t>
  </si>
  <si>
    <t>[S]Learning Page</t>
  </si>
  <si>
    <t>SCRUM-330</t>
  </si>
  <si>
    <t>2026-02-14</t>
  </si>
  <si>
    <t>2026-02-16</t>
  </si>
  <si>
    <t>SCRUM-349</t>
  </si>
  <si>
    <t>SCRUM-173</t>
  </si>
  <si>
    <t>[T]Edit Node (AI)</t>
  </si>
  <si>
    <t>SCRUM-154</t>
  </si>
  <si>
    <t>[S&amp;T]Search &amp; Filter</t>
  </si>
  <si>
    <t>SCRUM-157</t>
  </si>
  <si>
    <t>[S]Comments</t>
  </si>
  <si>
    <t>SCRUM-350</t>
  </si>
  <si>
    <t>Flow Optization</t>
  </si>
  <si>
    <t>SCRUM-52</t>
  </si>
  <si>
    <t>Authentication Pages</t>
  </si>
  <si>
    <t>2026-02-27</t>
  </si>
  <si>
    <t>SCRUM-294</t>
  </si>
  <si>
    <t>Refactor and Layout</t>
  </si>
  <si>
    <t>2026-02-08</t>
  </si>
  <si>
    <t>SCRUM-295</t>
  </si>
  <si>
    <t>SCRUM-344</t>
  </si>
  <si>
    <t>Business logic for forgot/reset password</t>
  </si>
  <si>
    <t>SCRUM-342</t>
  </si>
  <si>
    <t>Business logic for verify Email(OTP)</t>
  </si>
  <si>
    <t>SCRUM-341</t>
  </si>
  <si>
    <t>Business logic for login/register</t>
  </si>
  <si>
    <t>SCRUM-340</t>
  </si>
  <si>
    <t>Role selected</t>
  </si>
  <si>
    <t>SCRUM-338</t>
  </si>
  <si>
    <t>Business logic in frontend</t>
  </si>
  <si>
    <t>2026-02-17</t>
  </si>
  <si>
    <t>SCRUM-337</t>
  </si>
  <si>
    <t>Sign-up Layout</t>
  </si>
  <si>
    <t>SCRUM-336</t>
  </si>
  <si>
    <t>Login Layout</t>
  </si>
  <si>
    <t>SCRUM-348</t>
  </si>
  <si>
    <t>SCRUM-345</t>
  </si>
  <si>
    <t>Business logic for Social Auth</t>
  </si>
  <si>
    <t>SCRUM-343</t>
  </si>
  <si>
    <t>Business logic for "Remember me"</t>
  </si>
  <si>
    <t>SCRUM-311</t>
  </si>
  <si>
    <t>Admin Page</t>
  </si>
  <si>
    <t>2026-02-07</t>
  </si>
  <si>
    <t>2026-03-03</t>
  </si>
  <si>
    <t>SCRUM-329</t>
  </si>
  <si>
    <t>connect to backend</t>
  </si>
  <si>
    <t>2026-02-13</t>
  </si>
  <si>
    <t>SCRUM-362</t>
  </si>
  <si>
    <t>Dashboard Monitor</t>
  </si>
  <si>
    <t>SCRUM-312</t>
  </si>
  <si>
    <t>Design</t>
  </si>
  <si>
    <t>SCRUM-57</t>
  </si>
  <si>
    <t>Home Page</t>
  </si>
  <si>
    <t>2026-03-18</t>
  </si>
  <si>
    <t>SCRUM-53</t>
  </si>
  <si>
    <t>Dashboard Layout</t>
  </si>
  <si>
    <t>SCRUM-334</t>
  </si>
  <si>
    <t>Mission Design</t>
  </si>
  <si>
    <t>SCRUM-333</t>
  </si>
  <si>
    <t>Admin Dashboard</t>
  </si>
  <si>
    <t>SCRUM-332</t>
  </si>
  <si>
    <t>Student Dashboard</t>
  </si>
  <si>
    <t>SCRUM-331</t>
  </si>
  <si>
    <t>Teacher Dashboard</t>
  </si>
  <si>
    <t>SCRUM-56</t>
  </si>
  <si>
    <t>Landing Page</t>
  </si>
  <si>
    <t>2026-03-31</t>
  </si>
  <si>
    <t>SCRUM-335</t>
  </si>
  <si>
    <t>In App</t>
  </si>
  <si>
    <t>SCRUM-328</t>
  </si>
  <si>
    <t>Get to know App</t>
  </si>
  <si>
    <t>SCRUM-191</t>
  </si>
  <si>
    <t>Design Flow</t>
  </si>
  <si>
    <t>2025-12-27</t>
  </si>
  <si>
    <t>SCRUM-13</t>
  </si>
  <si>
    <t>Reflection Entry</t>
  </si>
  <si>
    <t>SCRUM-226</t>
  </si>
  <si>
    <t>Edit Reflection</t>
  </si>
  <si>
    <t>SCRUM-225</t>
  </si>
  <si>
    <t>Create Reflection</t>
  </si>
  <si>
    <t>SCRUM-224</t>
  </si>
  <si>
    <t>Delete Reflection</t>
  </si>
  <si>
    <t>SCRUM-223</t>
  </si>
  <si>
    <t>Read Reflection</t>
  </si>
  <si>
    <t>SCRUM-221</t>
  </si>
  <si>
    <t>Input/Output format</t>
  </si>
  <si>
    <t>SCRUM-220</t>
  </si>
  <si>
    <t>Collect reflection</t>
  </si>
  <si>
    <t>SCRUM-15</t>
  </si>
  <si>
    <t>AI Insight Analysis</t>
  </si>
  <si>
    <t>2026-01-17</t>
  </si>
  <si>
    <t>SCRUM-230</t>
  </si>
  <si>
    <t>Few-Shot Learning</t>
  </si>
  <si>
    <t>SCRUM-227</t>
  </si>
  <si>
    <t>Base Prompt Template</t>
  </si>
  <si>
    <t>SCRUM-233</t>
  </si>
  <si>
    <t>Re-ranking</t>
  </si>
  <si>
    <t>SCRUM-232</t>
  </si>
  <si>
    <t>Exception Handling &amp; Retry Logic</t>
  </si>
  <si>
    <t>SCRUM-231</t>
  </si>
  <si>
    <t>LLM Result Parser &amp; Validator</t>
  </si>
  <si>
    <t>SCRUM-229</t>
  </si>
  <si>
    <t>Send to GO</t>
  </si>
  <si>
    <t>SCRUM-228</t>
  </si>
  <si>
    <t>LLM Output -&gt; Schema</t>
  </si>
  <si>
    <t>SCRUM-253</t>
  </si>
  <si>
    <t>Reflection Album</t>
  </si>
  <si>
    <t>2026-01-18</t>
  </si>
  <si>
    <t>2026-01-20</t>
  </si>
  <si>
    <t>SCRUM-360</t>
  </si>
  <si>
    <t>Upload cover image</t>
  </si>
  <si>
    <t>SCRUM-238</t>
  </si>
  <si>
    <t>Solve Bug</t>
  </si>
  <si>
    <t>2026-01-07</t>
  </si>
  <si>
    <t>SCRUM-361</t>
  </si>
  <si>
    <t>Solve Bug &amp; Optimize</t>
  </si>
  <si>
    <t>SCRUM-16</t>
  </si>
  <si>
    <t>Link to Knowledge Tree, Tree Visualization</t>
  </si>
  <si>
    <t>SCRUM-193</t>
  </si>
  <si>
    <t>SCRUM-189</t>
  </si>
  <si>
    <t>Search Learning Path</t>
  </si>
  <si>
    <t>SCRUM-208</t>
  </si>
  <si>
    <t>Search ranking</t>
  </si>
  <si>
    <t>SCRUM-204</t>
  </si>
  <si>
    <t>SCRUM-203</t>
  </si>
  <si>
    <t>Connect Qdrant (development)</t>
  </si>
  <si>
    <t>SCRUM-215</t>
  </si>
  <si>
    <t>Use with real data</t>
  </si>
  <si>
    <t>2026-01-03</t>
  </si>
  <si>
    <t>SCRUM-207</t>
  </si>
  <si>
    <t>Business logic</t>
  </si>
  <si>
    <t>SCRUM-206</t>
  </si>
  <si>
    <t>Connect Qdrant (Production)</t>
  </si>
  <si>
    <t>SCRUM-205</t>
  </si>
  <si>
    <t>Embedding with real data</t>
  </si>
  <si>
    <t>SCRUM-55</t>
  </si>
  <si>
    <t>Collection Learning Path</t>
  </si>
  <si>
    <t>SCRUM-196</t>
  </si>
  <si>
    <t>Read Learning Path</t>
  </si>
  <si>
    <t>SCRUM-98</t>
  </si>
  <si>
    <t>Delete Learning Path</t>
  </si>
  <si>
    <t>SCRUM-93</t>
  </si>
  <si>
    <t>Collect Learning Path</t>
  </si>
  <si>
    <t>SCRUM-91</t>
  </si>
  <si>
    <t>Edit Learning Path</t>
  </si>
  <si>
    <t>SCRUM-90</t>
  </si>
  <si>
    <t>Create Learning Path</t>
  </si>
  <si>
    <t>SCRUM-9</t>
  </si>
  <si>
    <t>Path Generator</t>
  </si>
  <si>
    <t>SCRUM-100</t>
  </si>
  <si>
    <t xml:space="preserve">Plain Path </t>
  </si>
  <si>
    <t>2026-01-10</t>
  </si>
  <si>
    <t>SCRUM-99</t>
  </si>
  <si>
    <t>Example data</t>
  </si>
  <si>
    <t>SCRUM-248</t>
  </si>
  <si>
    <t>SCRUM-247</t>
  </si>
  <si>
    <t>SCRUM-245</t>
  </si>
  <si>
    <t>SCRUM-244</t>
  </si>
  <si>
    <t>SCRUM-243</t>
  </si>
  <si>
    <t>Similarity &amp; Re-ranking</t>
  </si>
  <si>
    <t>SCRUM-242</t>
  </si>
  <si>
    <t>SCRUM-239</t>
  </si>
  <si>
    <t>Sample data</t>
  </si>
  <si>
    <t>SCRUM-240</t>
  </si>
  <si>
    <t>Cover learning path</t>
  </si>
  <si>
    <t>SCRUM-252</t>
  </si>
  <si>
    <t>Load into DB</t>
  </si>
  <si>
    <t>2026-01-15</t>
  </si>
  <si>
    <t>SCRUM-251</t>
  </si>
  <si>
    <t>Data JSON format</t>
  </si>
  <si>
    <t>SCRUM-115</t>
  </si>
  <si>
    <t>History System</t>
  </si>
  <si>
    <t>2026-01-19</t>
  </si>
  <si>
    <t>SCRUM-118</t>
  </si>
  <si>
    <t>Assessment &amp; Performance</t>
  </si>
  <si>
    <t>SCRUM-117</t>
  </si>
  <si>
    <t>Progression History</t>
  </si>
  <si>
    <t>SCRUM-116</t>
  </si>
  <si>
    <t>Activity &amp; Event</t>
  </si>
  <si>
    <t>SCRUM-10</t>
  </si>
  <si>
    <t>Progress Visualization</t>
  </si>
  <si>
    <t>SCRUM-123</t>
  </si>
  <si>
    <t>State Persistence</t>
  </si>
  <si>
    <t>SCRUM-122</t>
  </si>
  <si>
    <t>Real-time Calculation Engine</t>
  </si>
  <si>
    <t>SCRUM-121</t>
  </si>
  <si>
    <t>Status Indicators</t>
  </si>
  <si>
    <t>SCRUM-120</t>
  </si>
  <si>
    <t>Time Remaining Estimate</t>
  </si>
  <si>
    <t>SCRUM-119</t>
  </si>
  <si>
    <t>Progress Bar (Percentage)</t>
  </si>
  <si>
    <t>SCRUM-11</t>
  </si>
  <si>
    <t>Resume System</t>
  </si>
  <si>
    <t>SCRUM-113</t>
  </si>
  <si>
    <t>Multi-Device Syn</t>
  </si>
  <si>
    <t>2026-01-16</t>
  </si>
  <si>
    <t>SCRUM-112</t>
  </si>
  <si>
    <t>Prepare consume for dashboard</t>
  </si>
  <si>
    <t>SCRUM-110</t>
  </si>
  <si>
    <t>Module Tracking</t>
  </si>
  <si>
    <t>SCRUM-109</t>
  </si>
  <si>
    <t>Last Played Marker</t>
  </si>
  <si>
    <t>SCRUM-359</t>
  </si>
  <si>
    <t>Optimize</t>
  </si>
  <si>
    <t>Adapt with frontend</t>
  </si>
  <si>
    <t>SCRUM-249</t>
  </si>
  <si>
    <t>CRUD</t>
  </si>
  <si>
    <t>2026-01-12</t>
  </si>
  <si>
    <t>SCRUM-17</t>
  </si>
  <si>
    <t>User Account &amp; Identity Model</t>
  </si>
  <si>
    <t>SCRUM-126</t>
  </si>
  <si>
    <t>Refresh Token Logic</t>
  </si>
  <si>
    <t>SCRUM-19</t>
  </si>
  <si>
    <t>Login &amp; Signup Logic</t>
  </si>
  <si>
    <t>SCRUM-130</t>
  </si>
  <si>
    <t>Password management</t>
  </si>
  <si>
    <t>SCRUM-129</t>
  </si>
  <si>
    <t>Forgot Password Workflow</t>
  </si>
  <si>
    <t>SCRUM-18</t>
  </si>
  <si>
    <t>Email Verification</t>
  </si>
  <si>
    <t>SCRUM-132</t>
  </si>
  <si>
    <t>Role-Based Access Control</t>
  </si>
  <si>
    <t>2026-02-15</t>
  </si>
  <si>
    <t>SCRUM-131</t>
  </si>
  <si>
    <t>Login Rate Limiting</t>
  </si>
  <si>
    <t>SCRUM-269</t>
  </si>
  <si>
    <t>Session &amp; Token Management</t>
  </si>
  <si>
    <t>SCRUM-275</t>
  </si>
  <si>
    <t>Multi-device Session Control</t>
  </si>
  <si>
    <t>2026-02-12</t>
  </si>
  <si>
    <t>SCRUM-274</t>
  </si>
  <si>
    <t>SCRUM-273</t>
  </si>
  <si>
    <t>JWT Management</t>
  </si>
  <si>
    <t>SCRUM-23</t>
  </si>
  <si>
    <t>Social Auth</t>
  </si>
  <si>
    <t>SCRUM-285</t>
  </si>
  <si>
    <t>Implementation Choosing(SDK vs. Manual)</t>
  </si>
  <si>
    <t>SCRUM-272</t>
  </si>
  <si>
    <t>PKCE</t>
  </si>
  <si>
    <t>SCRUM-271</t>
  </si>
  <si>
    <t>Handle Native Login State</t>
  </si>
  <si>
    <t>SCRUM-268</t>
  </si>
  <si>
    <t>Account Linking Strategy</t>
  </si>
  <si>
    <t>SCRUM-267</t>
  </si>
  <si>
    <t>User "Upsert" Logic</t>
  </si>
  <si>
    <t>SCRUM-265</t>
  </si>
  <si>
    <t>With Google</t>
  </si>
  <si>
    <t>SCRUM-264</t>
  </si>
  <si>
    <t>With Discord</t>
  </si>
  <si>
    <t>SCRUM-133</t>
  </si>
  <si>
    <t>Protected Routes</t>
  </si>
  <si>
    <t>2026-02-19</t>
  </si>
  <si>
    <t>SCRUM-327</t>
  </si>
  <si>
    <t>Learning path</t>
  </si>
  <si>
    <t>SCRUM-326</t>
  </si>
  <si>
    <t>Reflection</t>
  </si>
  <si>
    <t>SCRUM-325</t>
  </si>
  <si>
    <t>SCRUM-310</t>
  </si>
  <si>
    <t>Admin</t>
  </si>
  <si>
    <t>2026-03-10</t>
  </si>
  <si>
    <t>SCRUM-37</t>
  </si>
  <si>
    <t>Data Pipeline</t>
  </si>
  <si>
    <t>SCRUM-313</t>
  </si>
  <si>
    <t>Design Flow (learning path)</t>
  </si>
  <si>
    <t>SCRUM-301</t>
  </si>
  <si>
    <t>Define Data Model</t>
  </si>
  <si>
    <t>2026-02-06</t>
  </si>
  <si>
    <t>2026-02-11</t>
  </si>
  <si>
    <t>SCRUM-259</t>
  </si>
  <si>
    <t>User Assessment Design</t>
  </si>
  <si>
    <t>SCRUM-282</t>
  </si>
  <si>
    <t>Define Algorithm</t>
  </si>
  <si>
    <t>SCRUM-262</t>
  </si>
  <si>
    <t>Strategy for New Users</t>
  </si>
  <si>
    <t>SCRUM-281</t>
  </si>
  <si>
    <t>Feedback Loop Integration</t>
  </si>
  <si>
    <t>SCRUM-280</t>
  </si>
  <si>
    <t>Strategy for Improve Model</t>
  </si>
  <si>
    <t>SCRUM-279</t>
  </si>
  <si>
    <t>Storage to use</t>
  </si>
  <si>
    <t>SCRUM-277</t>
  </si>
  <si>
    <t xml:space="preserve">Orchestrator </t>
  </si>
  <si>
    <t>SCRUM-260</t>
  </si>
  <si>
    <t>Implement Interest Tagging</t>
  </si>
  <si>
    <t>SCRUM-314</t>
  </si>
  <si>
    <t>implement full-pipeline</t>
  </si>
  <si>
    <t>SCRUM-339</t>
  </si>
  <si>
    <t>Design Flow (home)</t>
  </si>
  <si>
    <t>SCRUM-315</t>
  </si>
  <si>
    <t>Test full-pipeline</t>
  </si>
  <si>
    <t>SCRUM-352</t>
  </si>
  <si>
    <t>Integration to Home Reccomend</t>
  </si>
  <si>
    <t>SCRUM-351</t>
  </si>
  <si>
    <t>Integration to Learning Path</t>
  </si>
  <si>
    <t>SCRUM-43</t>
  </si>
  <si>
    <t>Comment Display UI</t>
  </si>
  <si>
    <t>SCRUM-42</t>
  </si>
  <si>
    <t>Comment Creation</t>
  </si>
  <si>
    <t>2026-03-02</t>
  </si>
  <si>
    <t>SCRUM-354</t>
  </si>
  <si>
    <t>Comment Reply</t>
  </si>
  <si>
    <t>SCRUM-355</t>
  </si>
  <si>
    <t>Mention base on username</t>
  </si>
  <si>
    <t>SCRUM-356</t>
  </si>
  <si>
    <t>Mention base Display Full name</t>
  </si>
  <si>
    <t>SCRUM-353</t>
  </si>
  <si>
    <t>Comment Reaction</t>
  </si>
  <si>
    <t>SCRUM-357</t>
  </si>
  <si>
    <t>Count reaction</t>
  </si>
  <si>
    <t>SCRUM-358</t>
  </si>
  <si>
    <t>One person for count one action</t>
  </si>
  <si>
    <t>SCRUM-44</t>
  </si>
  <si>
    <t>Edit &amp; Delete Comment</t>
  </si>
  <si>
    <t>2026-03-27</t>
  </si>
  <si>
    <t>SCRUM-28</t>
  </si>
  <si>
    <t>Student/Teacher Dashboard</t>
  </si>
  <si>
    <t>2026-03-11</t>
  </si>
  <si>
    <t>SCRUM-29</t>
  </si>
  <si>
    <t>2026-03-17</t>
  </si>
  <si>
    <t>SCRUM-31</t>
  </si>
  <si>
    <t>Admin Overview Dashboard</t>
  </si>
  <si>
    <t>2026-03-22</t>
  </si>
  <si>
    <t>SCRUM-32</t>
  </si>
  <si>
    <t>Data Export</t>
  </si>
  <si>
    <t>2026-04-17</t>
  </si>
  <si>
    <t>SCRUM-35</t>
  </si>
  <si>
    <t>Sprint 1 Testing</t>
  </si>
  <si>
    <t>Test</t>
  </si>
  <si>
    <t>SCRUM-219</t>
  </si>
  <si>
    <t>Test design</t>
  </si>
  <si>
    <t>SCRUM-33</t>
  </si>
  <si>
    <t xml:space="preserve">Sprint 2 Testing </t>
  </si>
  <si>
    <t>SCRUM-234</t>
  </si>
  <si>
    <t>SCRUM-150</t>
  </si>
  <si>
    <t>API Testing</t>
  </si>
  <si>
    <t>SCRUM-149</t>
  </si>
  <si>
    <t>Integration Testing</t>
  </si>
  <si>
    <t>SCRUM-34</t>
  </si>
  <si>
    <t>Sprint 3 Testing</t>
  </si>
  <si>
    <t>SCRUM-235</t>
  </si>
  <si>
    <t>SCRUM-153</t>
  </si>
  <si>
    <t>SCRUM-152</t>
  </si>
  <si>
    <t>SCRUM-151</t>
  </si>
  <si>
    <t>Unit Testing</t>
  </si>
  <si>
    <t>SCRUM-36</t>
  </si>
  <si>
    <t>Sprint 4 Testing</t>
  </si>
  <si>
    <t>SCRUM-236</t>
  </si>
  <si>
    <t>SCRUM-147</t>
  </si>
  <si>
    <t>End-to-End (E2E) Testing</t>
  </si>
  <si>
    <t>2025-11-19</t>
  </si>
  <si>
    <t>SCRUM-317</t>
  </si>
  <si>
    <t>PoC with CI/CD and Azure</t>
  </si>
  <si>
    <t>SCRUM-324</t>
  </si>
  <si>
    <t>Azure Portal Config</t>
  </si>
  <si>
    <t>SCRUM-323</t>
  </si>
  <si>
    <t>Setup DNS record</t>
  </si>
  <si>
    <t>SCRUM-322</t>
  </si>
  <si>
    <t>MailerSend</t>
  </si>
  <si>
    <t>SCRUM-321</t>
  </si>
  <si>
    <t>Domain Name</t>
  </si>
  <si>
    <t>SCRUM-320</t>
  </si>
  <si>
    <t>Setup Terraform</t>
  </si>
  <si>
    <t>SCRUM-319</t>
  </si>
  <si>
    <t>Set Secret Key in Reposity</t>
  </si>
  <si>
    <t>SCRUM-318</t>
  </si>
  <si>
    <t>GitHub Action to ACR</t>
  </si>
  <si>
    <t>SCRUM-59</t>
  </si>
  <si>
    <t>Last code review</t>
  </si>
  <si>
    <t>2026-04-10</t>
  </si>
  <si>
    <t>SCRUM-304</t>
  </si>
  <si>
    <t>SCRUM-303</t>
  </si>
  <si>
    <t>SCRUM-302</t>
  </si>
  <si>
    <t>Sheet</t>
  </si>
  <si>
    <t>SCRUM Key</t>
  </si>
  <si>
    <t>SCRUM Number</t>
  </si>
  <si>
    <t>UX-UI</t>
  </si>
  <si>
    <t>Reporter</t>
  </si>
  <si>
    <t>Sprint 2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</si>
</sst>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yyyy\-mm\-dd"/>
    <numFmt numFmtId="166" formatCode="m/d/yyyy"/>
    <numFmt numFmtId="167" formatCode="yyyy-mm-dd"/>
  </numFmts>
  <fonts count="36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theme="1"/>
      <name val="Calibri"/>
    </font>
    <font>
      <b/>
      <sz val="10.0"/>
      <color rgb="FFFFFFFF"/>
      <name val="Calibri"/>
    </font>
    <font>
      <b/>
      <sz val="22.0"/>
      <color rgb="FFFFFFFF"/>
      <name val="Calibri"/>
    </font>
    <font>
      <b/>
      <sz val="16.0"/>
      <color rgb="FF00D4FF"/>
      <name val="Calibri"/>
    </font>
    <font>
      <b/>
      <sz val="10.0"/>
      <color theme="1"/>
      <name val="Calibri"/>
    </font>
    <font>
      <b/>
      <sz val="9.0"/>
      <color rgb="FF155724"/>
      <name val="Calibri"/>
    </font>
    <font>
      <sz val="10.0"/>
      <color theme="1"/>
      <name val="Calibri"/>
    </font>
    <font>
      <b/>
      <sz val="10.0"/>
      <color rgb="FF1A6B3A"/>
      <name val="Calibri"/>
    </font>
    <font>
      <b/>
      <sz val="9.0"/>
      <color rgb="FF856404"/>
      <name val="Calibri"/>
    </font>
    <font>
      <b/>
      <sz val="10.0"/>
      <color rgb="FF7D6608"/>
      <name val="Calibri"/>
    </font>
    <font>
      <b/>
      <sz val="10.0"/>
      <color rgb="FF922B21"/>
      <name val="Calibri"/>
    </font>
    <font>
      <b/>
      <sz val="9.0"/>
      <color rgb="FF5A6A7A"/>
      <name val="Calibri"/>
    </font>
    <font>
      <b/>
      <sz val="14.0"/>
      <color rgb="FF1F3864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sz val="10.0"/>
      <color rgb="FF000000"/>
      <name val="Arial"/>
    </font>
    <font>
      <b/>
      <sz val="12.0"/>
      <color rgb="FF1F3864"/>
      <name val="Arial"/>
    </font>
    <font>
      <b/>
      <sz val="10.0"/>
      <color rgb="FF1E3A5F"/>
      <name val="Calibri"/>
    </font>
    <font>
      <b/>
      <sz val="9.0"/>
      <color rgb="FF2E5D9F"/>
      <name val="Calibri"/>
    </font>
    <font>
      <b/>
      <sz val="9.0"/>
      <color rgb="FFC0392B"/>
      <name val="Calibri"/>
    </font>
    <font>
      <b/>
      <sz val="10.0"/>
      <color rgb="FF1A3D1A"/>
      <name val="Calibri"/>
    </font>
    <font>
      <b/>
      <sz val="9.0"/>
      <color rgb="FF27AE60"/>
      <name val="Calibri"/>
    </font>
    <font>
      <b/>
      <sz val="9.0"/>
      <color rgb="FF8B6914"/>
      <name val="Calibri"/>
    </font>
    <font>
      <sz val="9.0"/>
      <color rgb="FF444444"/>
      <name val="Calibri"/>
    </font>
    <font>
      <b/>
      <sz val="9.0"/>
      <color rgb="FF8E44AD"/>
      <name val="Calibri"/>
    </font>
    <font>
      <color theme="1"/>
      <name val="Calibri"/>
      <scheme val="minor"/>
    </font>
    <font>
      <b/>
      <sz val="9.0"/>
      <color rgb="FFE67E22"/>
      <name val="Calibri"/>
    </font>
    <font>
      <b/>
      <sz val="9.0"/>
      <color rgb="FF7F8C8D"/>
      <name val="Calibri"/>
    </font>
    <font>
      <color rgb="FF1A3D1A"/>
      <name val="Calibri"/>
    </font>
    <font>
      <sz val="9.0"/>
      <color rgb="FF27AE60"/>
      <name val="Calibri"/>
    </font>
    <font>
      <sz val="9.0"/>
      <color rgb="FF155724"/>
      <name val="Calibri"/>
    </font>
    <font>
      <b/>
      <sz val="11.0"/>
      <color rgb="FFFFFFFF"/>
      <name val="Calibri"/>
    </font>
    <font>
      <b/>
      <sz val="9.0"/>
      <color rgb="FFFFFFFF"/>
      <name val="Calibri"/>
    </font>
  </fonts>
  <fills count="32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A6B3A"/>
        <bgColor rgb="FF1A6B3A"/>
      </patternFill>
    </fill>
    <fill>
      <patternFill patternType="solid">
        <fgColor rgb="FF7B2D00"/>
        <bgColor rgb="FF7B2D00"/>
      </patternFill>
    </fill>
    <fill>
      <patternFill patternType="solid">
        <fgColor rgb="FF4A1D5E"/>
        <bgColor rgb="FF4A1D5E"/>
      </patternFill>
    </fill>
    <fill>
      <patternFill patternType="solid">
        <fgColor rgb="FF1A4A6B"/>
        <bgColor rgb="FF1A4A6B"/>
      </patternFill>
    </fill>
    <fill>
      <patternFill patternType="solid">
        <fgColor rgb="FFFFFFFF"/>
        <bgColor rgb="FFFFFFFF"/>
      </patternFill>
    </fill>
    <fill>
      <patternFill patternType="solid">
        <fgColor rgb="FFD4EDDA"/>
        <bgColor rgb="FFD4EDDA"/>
      </patternFill>
    </fill>
    <fill>
      <patternFill patternType="solid">
        <fgColor rgb="FFC8F7C5"/>
        <bgColor rgb="FFC8F7C5"/>
      </patternFill>
    </fill>
    <fill>
      <patternFill patternType="solid">
        <fgColor rgb="FFF7F9FC"/>
        <bgColor rgb="FFF7F9FC"/>
      </patternFill>
    </fill>
    <fill>
      <patternFill patternType="solid">
        <fgColor rgb="FFFFF3CD"/>
        <bgColor rgb="FFFFF3CD"/>
      </patternFill>
    </fill>
    <fill>
      <patternFill patternType="solid">
        <fgColor rgb="FFFFF9C4"/>
        <bgColor rgb="FFFFF9C4"/>
      </patternFill>
    </fill>
    <fill>
      <patternFill patternType="solid">
        <fgColor rgb="FFFDDEDE"/>
        <bgColor rgb="FFFDDEDE"/>
      </patternFill>
    </fill>
    <fill>
      <patternFill patternType="solid">
        <fgColor rgb="FFE8EDF2"/>
        <bgColor rgb="FFE8EDF2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70AD47"/>
        <bgColor rgb="FF70AD47"/>
      </patternFill>
    </fill>
    <fill>
      <patternFill patternType="solid">
        <fgColor rgb="FF2E86AB"/>
        <bgColor rgb="FF2E86AB"/>
      </patternFill>
    </fill>
    <fill>
      <patternFill patternType="solid">
        <fgColor rgb="FFA23B72"/>
        <bgColor rgb="FFA23B72"/>
      </patternFill>
    </fill>
    <fill>
      <patternFill patternType="solid">
        <fgColor rgb="FFF18F01"/>
        <bgColor rgb="FFF18F01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E8F0FB"/>
        <bgColor rgb="FFE8F0FB"/>
      </patternFill>
    </fill>
    <fill>
      <patternFill patternType="solid">
        <fgColor rgb="FFFFE0E0"/>
        <bgColor rgb="FFFFE0E0"/>
      </patternFill>
    </fill>
    <fill>
      <patternFill patternType="solid">
        <fgColor rgb="FFF0F7EE"/>
        <bgColor rgb="FFF0F7EE"/>
      </patternFill>
    </fill>
    <fill>
      <patternFill patternType="solid">
        <fgColor rgb="FFFAFAFA"/>
        <bgColor rgb="FFFAFAFA"/>
      </patternFill>
    </fill>
    <fill>
      <patternFill patternType="solid">
        <fgColor rgb="FFF5F0FF"/>
        <bgColor rgb="FFF5F0FF"/>
      </patternFill>
    </fill>
    <fill>
      <patternFill patternType="solid">
        <fgColor rgb="FFFFE8D6"/>
        <bgColor rgb="FFFFE8D6"/>
      </patternFill>
    </fill>
    <fill>
      <patternFill patternType="solid">
        <fgColor rgb="FFF3F4F6"/>
        <bgColor rgb="FFF3F4F6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top/>
      <bottom/>
    </border>
    <border>
      <left/>
      <right/>
      <bottom/>
    </border>
    <border>
      <left style="thin">
        <color rgb="FFD0D7E3"/>
      </left>
      <right style="thin">
        <color rgb="FFD0D7E3"/>
      </right>
      <top style="thin">
        <color rgb="FFD0D7E3"/>
      </top>
      <bottom style="medium">
        <color rgb="FF1E3A5F"/>
      </bottom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2" fontId="4" numFmtId="0" xfId="0" applyAlignment="1" applyBorder="1" applyFont="1">
      <alignment horizontal="left" shrinkToFit="0" vertical="top" wrapText="0"/>
    </xf>
    <xf borderId="4" fillId="2" fontId="5" numFmtId="0" xfId="0" applyAlignment="1" applyBorder="1" applyFont="1">
      <alignment horizontal="right" shrinkToFit="0" vertical="bottom" wrapText="0"/>
    </xf>
    <xf borderId="4" fillId="3" fontId="4" numFmtId="0" xfId="0" applyAlignment="1" applyBorder="1" applyFill="1" applyFont="1">
      <alignment horizontal="left" shrinkToFit="0" vertical="top" wrapText="0"/>
    </xf>
    <xf borderId="4" fillId="3" fontId="5" numFmtId="0" xfId="0" applyAlignment="1" applyBorder="1" applyFont="1">
      <alignment horizontal="right" shrinkToFit="0" vertical="bottom" wrapText="0"/>
    </xf>
    <xf borderId="4" fillId="4" fontId="4" numFmtId="0" xfId="0" applyAlignment="1" applyBorder="1" applyFill="1" applyFont="1">
      <alignment horizontal="left" shrinkToFit="0" vertical="top" wrapText="0"/>
    </xf>
    <xf borderId="4" fillId="4" fontId="5" numFmtId="0" xfId="0" applyAlignment="1" applyBorder="1" applyFont="1">
      <alignment horizontal="right" shrinkToFit="0" vertical="bottom" wrapText="0"/>
    </xf>
    <xf borderId="4" fillId="5" fontId="4" numFmtId="0" xfId="0" applyAlignment="1" applyBorder="1" applyFill="1" applyFont="1">
      <alignment horizontal="left" shrinkToFit="0" vertical="top" wrapText="0"/>
    </xf>
    <xf borderId="4" fillId="5" fontId="5" numFmtId="0" xfId="0" applyAlignment="1" applyBorder="1" applyFont="1">
      <alignment horizontal="right" shrinkToFit="0" vertical="bottom" wrapText="0"/>
    </xf>
    <xf borderId="4" fillId="6" fontId="4" numFmtId="0" xfId="0" applyAlignment="1" applyBorder="1" applyFill="1" applyFont="1">
      <alignment horizontal="left" shrinkToFit="0" vertical="top" wrapText="0"/>
    </xf>
    <xf borderId="4" fillId="6" fontId="6" numFmtId="0" xfId="0" applyAlignment="1" applyBorder="1" applyFont="1">
      <alignment horizontal="center" shrinkToFit="0" vertical="bottom" wrapText="0"/>
    </xf>
    <xf borderId="5" fillId="6" fontId="6" numFmtId="0" xfId="0" applyAlignment="1" applyBorder="1" applyFont="1">
      <alignment horizontal="right" shrinkToFit="0" vertical="center" wrapText="0"/>
    </xf>
    <xf borderId="6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8" fillId="7" fontId="7" numFmtId="0" xfId="0" applyAlignment="1" applyBorder="1" applyFill="1" applyFont="1">
      <alignment shrinkToFit="0" vertical="center" wrapText="0"/>
    </xf>
    <xf borderId="8" fillId="8" fontId="8" numFmtId="0" xfId="0" applyAlignment="1" applyBorder="1" applyFill="1" applyFont="1">
      <alignment horizontal="center" shrinkToFit="0" vertical="center" wrapText="0"/>
    </xf>
    <xf borderId="8" fillId="7" fontId="9" numFmtId="0" xfId="0" applyAlignment="1" applyBorder="1" applyFont="1">
      <alignment horizontal="center" shrinkToFit="0" vertical="center" wrapText="0"/>
    </xf>
    <xf borderId="8" fillId="9" fontId="10" numFmtId="164" xfId="0" applyAlignment="1" applyBorder="1" applyFill="1" applyFont="1" applyNumberFormat="1">
      <alignment horizontal="center" shrinkToFit="0" vertical="center" wrapText="0"/>
    </xf>
    <xf borderId="8" fillId="10" fontId="7" numFmtId="0" xfId="0" applyAlignment="1" applyBorder="1" applyFill="1" applyFont="1">
      <alignment shrinkToFit="0" vertical="center" wrapText="0"/>
    </xf>
    <xf borderId="8" fillId="10" fontId="9" numFmtId="0" xfId="0" applyAlignment="1" applyBorder="1" applyFont="1">
      <alignment horizontal="center" shrinkToFit="0" vertical="center" wrapText="0"/>
    </xf>
    <xf borderId="8" fillId="11" fontId="11" numFmtId="0" xfId="0" applyAlignment="1" applyBorder="1" applyFill="1" applyFont="1">
      <alignment horizontal="center" shrinkToFit="0" vertical="center" wrapText="0"/>
    </xf>
    <xf borderId="8" fillId="12" fontId="12" numFmtId="164" xfId="0" applyAlignment="1" applyBorder="1" applyFill="1" applyFont="1" applyNumberFormat="1">
      <alignment horizontal="center" shrinkToFit="0" vertical="center" wrapText="0"/>
    </xf>
    <xf borderId="8" fillId="13" fontId="13" numFmtId="164" xfId="0" applyAlignment="1" applyBorder="1" applyFill="1" applyFont="1" applyNumberFormat="1">
      <alignment horizontal="center" shrinkToFit="0" vertical="center" wrapText="0"/>
    </xf>
    <xf borderId="8" fillId="14" fontId="14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0"/>
    </xf>
    <xf borderId="9" fillId="15" fontId="16" numFmtId="0" xfId="0" applyAlignment="1" applyBorder="1" applyFill="1" applyFont="1">
      <alignment horizontal="center" shrinkToFit="0" vertical="center" wrapText="0"/>
    </xf>
    <xf borderId="9" fillId="16" fontId="17" numFmtId="0" xfId="0" applyAlignment="1" applyBorder="1" applyFill="1" applyFont="1">
      <alignment horizontal="left" shrinkToFit="0" vertical="center" wrapText="0"/>
    </xf>
    <xf borderId="9" fillId="0" fontId="18" numFmtId="0" xfId="0" applyAlignment="1" applyBorder="1" applyFont="1">
      <alignment horizontal="center" shrinkToFit="0" vertical="center" wrapText="0"/>
    </xf>
    <xf borderId="9" fillId="17" fontId="17" numFmtId="0" xfId="0" applyAlignment="1" applyBorder="1" applyFill="1" applyFont="1">
      <alignment horizontal="center" shrinkToFit="0" vertical="center" wrapText="0"/>
    </xf>
    <xf borderId="9" fillId="18" fontId="17" numFmtId="0" xfId="0" applyAlignment="1" applyBorder="1" applyFill="1" applyFont="1">
      <alignment horizontal="left" shrinkToFit="0" vertical="center" wrapText="0"/>
    </xf>
    <xf borderId="9" fillId="19" fontId="17" numFmtId="0" xfId="0" applyAlignment="1" applyBorder="1" applyFill="1" applyFont="1">
      <alignment horizontal="left" shrinkToFit="0" vertical="center" wrapText="0"/>
    </xf>
    <xf borderId="9" fillId="19" fontId="17" numFmtId="0" xfId="0" applyAlignment="1" applyBorder="1" applyFont="1">
      <alignment horizontal="center" shrinkToFit="0" vertical="center" wrapText="0"/>
    </xf>
    <xf borderId="9" fillId="20" fontId="17" numFmtId="0" xfId="0" applyAlignment="1" applyBorder="1" applyFill="1" applyFont="1">
      <alignment horizontal="left" shrinkToFit="0" vertical="center" wrapText="0"/>
    </xf>
    <xf borderId="9" fillId="21" fontId="18" numFmtId="0" xfId="0" applyAlignment="1" applyBorder="1" applyFill="1" applyFont="1">
      <alignment horizontal="center" shrinkToFit="0" vertical="center" wrapText="0"/>
    </xf>
    <xf borderId="0" fillId="0" fontId="19" numFmtId="0" xfId="0" applyAlignment="1" applyFont="1">
      <alignment shrinkToFit="0" vertical="bottom" wrapText="0"/>
    </xf>
    <xf borderId="9" fillId="0" fontId="17" numFmtId="0" xfId="0" applyAlignment="1" applyBorder="1" applyFont="1">
      <alignment horizontal="center" shrinkToFit="0" vertical="center" wrapText="0"/>
    </xf>
    <xf borderId="9" fillId="17" fontId="3" numFmtId="0" xfId="0" applyAlignment="1" applyBorder="1" applyFont="1">
      <alignment shrinkToFit="0" vertical="bottom" wrapText="0"/>
    </xf>
    <xf borderId="9" fillId="17" fontId="18" numFmtId="0" xfId="0" applyAlignment="1" applyBorder="1" applyFont="1">
      <alignment horizontal="center" shrinkToFit="0" vertical="center" wrapText="0"/>
    </xf>
    <xf borderId="9" fillId="22" fontId="3" numFmtId="0" xfId="0" applyAlignment="1" applyBorder="1" applyFill="1" applyFont="1">
      <alignment shrinkToFit="0" vertical="bottom" wrapText="0"/>
    </xf>
    <xf borderId="9" fillId="22" fontId="18" numFmtId="0" xfId="0" applyAlignment="1" applyBorder="1" applyFont="1">
      <alignment horizontal="center" shrinkToFit="0" vertical="center" wrapText="0"/>
    </xf>
    <xf borderId="8" fillId="23" fontId="20" numFmtId="0" xfId="0" applyAlignment="1" applyBorder="1" applyFill="1" applyFont="1">
      <alignment shrinkToFit="0" vertical="center" wrapText="0"/>
    </xf>
    <xf borderId="8" fillId="23" fontId="21" numFmtId="0" xfId="0" applyAlignment="1" applyBorder="1" applyFont="1">
      <alignment horizontal="center" shrinkToFit="0" vertical="center" wrapText="0"/>
    </xf>
    <xf borderId="8" fillId="24" fontId="22" numFmtId="0" xfId="0" applyAlignment="1" applyBorder="1" applyFill="1" applyFont="1">
      <alignment horizontal="center" shrinkToFit="0" vertical="center" wrapText="0"/>
    </xf>
    <xf borderId="8" fillId="23" fontId="20" numFmtId="0" xfId="0" applyAlignment="1" applyBorder="1" applyFont="1">
      <alignment horizontal="center" shrinkToFit="0" vertical="center" wrapText="0"/>
    </xf>
    <xf borderId="8" fillId="23" fontId="20" numFmtId="165" xfId="0" applyAlignment="1" applyBorder="1" applyFont="1" applyNumberFormat="1">
      <alignment horizontal="center" shrinkToFit="0" vertical="center" wrapText="0"/>
    </xf>
    <xf borderId="8" fillId="25" fontId="23" numFmtId="0" xfId="0" applyAlignment="1" applyBorder="1" applyFill="1" applyFont="1">
      <alignment shrinkToFit="0" vertical="center" wrapText="0"/>
    </xf>
    <xf borderId="8" fillId="25" fontId="24" numFmtId="0" xfId="0" applyAlignment="1" applyBorder="1" applyFont="1">
      <alignment horizontal="center" shrinkToFit="0" vertical="center" wrapText="0"/>
    </xf>
    <xf borderId="8" fillId="12" fontId="25" numFmtId="0" xfId="0" applyAlignment="1" applyBorder="1" applyFont="1">
      <alignment horizontal="center" shrinkToFit="0" vertical="center" wrapText="0"/>
    </xf>
    <xf borderId="8" fillId="25" fontId="23" numFmtId="0" xfId="0" applyAlignment="1" applyBorder="1" applyFont="1">
      <alignment horizontal="center" shrinkToFit="0" vertical="center" wrapText="0"/>
    </xf>
    <xf borderId="8" fillId="25" fontId="23" numFmtId="165" xfId="0" applyAlignment="1" applyBorder="1" applyFont="1" applyNumberFormat="1">
      <alignment horizontal="center" shrinkToFit="0" vertical="center" wrapText="0"/>
    </xf>
    <xf borderId="8" fillId="26" fontId="26" numFmtId="0" xfId="0" applyAlignment="1" applyBorder="1" applyFill="1" applyFont="1">
      <alignment shrinkToFit="0" vertical="center" wrapText="0"/>
    </xf>
    <xf borderId="8" fillId="27" fontId="27" numFmtId="0" xfId="0" applyAlignment="1" applyBorder="1" applyFill="1" applyFont="1">
      <alignment horizontal="center" shrinkToFit="0" vertical="center" wrapText="0"/>
    </xf>
    <xf borderId="8" fillId="26" fontId="26" numFmtId="0" xfId="0" applyAlignment="1" applyBorder="1" applyFont="1">
      <alignment horizontal="center" shrinkToFit="0" vertical="center" wrapText="0"/>
    </xf>
    <xf borderId="8" fillId="10" fontId="26" numFmtId="0" xfId="0" applyAlignment="1" applyBorder="1" applyFont="1">
      <alignment shrinkToFit="0" vertical="center" wrapText="0"/>
    </xf>
    <xf borderId="8" fillId="10" fontId="26" numFmtId="0" xfId="0" applyAlignment="1" applyBorder="1" applyFont="1">
      <alignment horizontal="center" shrinkToFit="0" vertical="center" wrapText="0"/>
    </xf>
    <xf borderId="8" fillId="26" fontId="26" numFmtId="165" xfId="0" applyAlignment="1" applyBorder="1" applyFont="1" applyNumberFormat="1">
      <alignment horizontal="center" shrinkToFit="0" vertical="center" wrapText="0"/>
    </xf>
    <xf borderId="8" fillId="10" fontId="26" numFmtId="165" xfId="0" applyAlignment="1" applyBorder="1" applyFont="1" applyNumberFormat="1">
      <alignment horizontal="center" shrinkToFit="0" vertical="center" wrapText="0"/>
    </xf>
    <xf borderId="8" fillId="10" fontId="26" numFmtId="0" xfId="0" applyAlignment="1" applyBorder="1" applyFont="1">
      <alignment horizontal="center" readingOrder="0" shrinkToFit="0" vertical="center" wrapText="0"/>
    </xf>
    <xf borderId="8" fillId="26" fontId="26" numFmtId="0" xfId="0" applyAlignment="1" applyBorder="1" applyFont="1">
      <alignment horizontal="center" readingOrder="0" shrinkToFit="0" vertical="center" wrapText="0"/>
    </xf>
    <xf borderId="8" fillId="14" fontId="14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28" numFmtId="0" xfId="0" applyFont="1"/>
    <xf borderId="8" fillId="28" fontId="29" numFmtId="0" xfId="0" applyAlignment="1" applyBorder="1" applyFill="1" applyFont="1">
      <alignment horizontal="center" shrinkToFit="0" vertical="center" wrapText="0"/>
    </xf>
    <xf borderId="8" fillId="29" fontId="30" numFmtId="0" xfId="0" applyAlignment="1" applyBorder="1" applyFill="1" applyFont="1">
      <alignment horizontal="center" shrinkToFit="0" vertical="center" wrapText="0"/>
    </xf>
    <xf borderId="8" fillId="30" fontId="24" numFmtId="0" xfId="0" applyAlignment="1" applyBorder="1" applyFill="1" applyFont="1">
      <alignment horizontal="center" shrinkToFit="0" vertical="center" wrapText="0"/>
    </xf>
    <xf borderId="8" fillId="25" fontId="23" numFmtId="0" xfId="0" applyAlignment="1" applyBorder="1" applyFont="1">
      <alignment horizontal="center" readingOrder="0" shrinkToFit="0" vertical="center" wrapText="0"/>
    </xf>
    <xf borderId="8" fillId="26" fontId="26" numFmtId="166" xfId="0" applyAlignment="1" applyBorder="1" applyFont="1" applyNumberFormat="1">
      <alignment horizontal="center" readingOrder="0" shrinkToFit="0" vertical="center" wrapText="0"/>
    </xf>
    <xf borderId="8" fillId="10" fontId="26" numFmtId="0" xfId="0" applyAlignment="1" applyBorder="1" applyFont="1">
      <alignment readingOrder="0" shrinkToFit="0" vertical="center" wrapText="0"/>
    </xf>
    <xf borderId="8" fillId="27" fontId="27" numFmtId="0" xfId="0" applyAlignment="1" applyBorder="1" applyFont="1">
      <alignment horizontal="center" readingOrder="0" shrinkToFit="0" vertical="center" wrapText="0"/>
    </xf>
    <xf borderId="8" fillId="12" fontId="25" numFmtId="0" xfId="0" applyAlignment="1" applyBorder="1" applyFont="1">
      <alignment horizontal="center" readingOrder="0" shrinkToFit="0" vertical="center" wrapText="0"/>
    </xf>
    <xf borderId="8" fillId="10" fontId="26" numFmtId="167" xfId="0" applyAlignment="1" applyBorder="1" applyFont="1" applyNumberFormat="1">
      <alignment horizontal="center" readingOrder="0" shrinkToFit="0" vertical="center" wrapText="0"/>
    </xf>
    <xf borderId="8" fillId="10" fontId="26" numFmtId="166" xfId="0" applyAlignment="1" applyBorder="1" applyFont="1" applyNumberFormat="1">
      <alignment horizontal="center" readingOrder="0" shrinkToFit="0" vertical="center" wrapText="0"/>
    </xf>
    <xf borderId="8" fillId="26" fontId="26" numFmtId="0" xfId="0" applyAlignment="1" applyBorder="1" applyFont="1">
      <alignment readingOrder="0" shrinkToFit="0" vertical="center" wrapText="0"/>
    </xf>
    <xf borderId="8" fillId="26" fontId="26" numFmtId="167" xfId="0" applyAlignment="1" applyBorder="1" applyFont="1" applyNumberFormat="1">
      <alignment horizontal="center" readingOrder="0" shrinkToFit="0" vertical="center" wrapText="0"/>
    </xf>
    <xf borderId="8" fillId="26" fontId="26" numFmtId="165" xfId="0" applyAlignment="1" applyBorder="1" applyFont="1" applyNumberFormat="1">
      <alignment horizontal="center" readingOrder="0" shrinkToFit="0" vertical="center" wrapText="0"/>
    </xf>
    <xf borderId="8" fillId="25" fontId="23" numFmtId="0" xfId="0" applyAlignment="1" applyBorder="1" applyFont="1">
      <alignment readingOrder="0" shrinkToFit="0" vertical="center" wrapText="0"/>
    </xf>
    <xf borderId="8" fillId="25" fontId="24" numFmtId="0" xfId="0" applyAlignment="1" applyBorder="1" applyFont="1">
      <alignment horizontal="center" readingOrder="0" shrinkToFit="0" vertical="center" wrapText="0"/>
    </xf>
    <xf borderId="8" fillId="8" fontId="8" numFmtId="0" xfId="0" applyAlignment="1" applyBorder="1" applyFont="1">
      <alignment horizontal="center" readingOrder="0" shrinkToFit="0" vertical="center" wrapText="0"/>
    </xf>
    <xf borderId="8" fillId="30" fontId="24" numFmtId="0" xfId="0" applyAlignment="1" applyBorder="1" applyFont="1">
      <alignment horizontal="center" readingOrder="0" shrinkToFit="0" vertical="center" wrapText="0"/>
    </xf>
    <xf borderId="8" fillId="25" fontId="23" numFmtId="167" xfId="0" applyAlignment="1" applyBorder="1" applyFont="1" applyNumberFormat="1">
      <alignment horizontal="center" readingOrder="0" shrinkToFit="0" vertical="center" wrapText="0"/>
    </xf>
    <xf borderId="8" fillId="25" fontId="23" numFmtId="165" xfId="0" applyAlignment="1" applyBorder="1" applyFont="1" applyNumberFormat="1">
      <alignment horizontal="center" readingOrder="0" shrinkToFit="0" vertical="center" wrapText="0"/>
    </xf>
    <xf borderId="8" fillId="25" fontId="31" numFmtId="0" xfId="0" applyAlignment="1" applyBorder="1" applyFont="1">
      <alignment readingOrder="0"/>
    </xf>
    <xf borderId="8" fillId="25" fontId="32" numFmtId="0" xfId="0" applyAlignment="1" applyBorder="1" applyFont="1">
      <alignment horizontal="center" vertical="center"/>
    </xf>
    <xf borderId="8" fillId="8" fontId="33" numFmtId="0" xfId="0" applyAlignment="1" applyBorder="1" applyFont="1">
      <alignment horizontal="center" readingOrder="0" vertical="center"/>
    </xf>
    <xf borderId="8" fillId="30" fontId="32" numFmtId="0" xfId="0" applyAlignment="1" applyBorder="1" applyFont="1">
      <alignment horizontal="center" vertical="center"/>
    </xf>
    <xf borderId="8" fillId="25" fontId="31" numFmtId="0" xfId="0" applyAlignment="1" applyBorder="1" applyFont="1">
      <alignment horizontal="center" vertical="center"/>
    </xf>
    <xf borderId="8" fillId="25" fontId="31" numFmtId="167" xfId="0" applyAlignment="1" applyBorder="1" applyFont="1" applyNumberFormat="1">
      <alignment horizontal="center" readingOrder="0" vertical="center"/>
    </xf>
    <xf borderId="8" fillId="25" fontId="31" numFmtId="165" xfId="0" applyAlignment="1" applyBorder="1" applyFont="1" applyNumberFormat="1">
      <alignment horizontal="center" readingOrder="0" vertical="center"/>
    </xf>
    <xf borderId="8" fillId="25" fontId="3" numFmtId="0" xfId="0" applyAlignment="1" applyBorder="1" applyFont="1">
      <alignment horizontal="center" vertical="center"/>
    </xf>
    <xf borderId="8" fillId="25" fontId="31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vertical="center" wrapText="0"/>
    </xf>
    <xf borderId="8" fillId="31" fontId="29" numFmtId="0" xfId="0" applyAlignment="1" applyBorder="1" applyFill="1" applyFont="1">
      <alignment horizontal="center" shrinkToFit="0" vertical="center" wrapText="0"/>
    </xf>
    <xf borderId="5" fillId="2" fontId="34" numFmtId="0" xfId="0" applyAlignment="1" applyBorder="1" applyFont="1">
      <alignment shrinkToFit="0" vertical="bottom" wrapText="0"/>
    </xf>
    <xf borderId="5" fillId="2" fontId="3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Overall Progress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Dashboard!$M$1</c:f>
            </c:strRef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Dashboard!$L$2:$L$3</c:f>
            </c:strRef>
          </c:cat>
          <c:val>
            <c:numRef>
              <c:f>Dashboard!$M$2:$M$3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8</xdr:row>
      <xdr:rowOff>0</xdr:rowOff>
    </xdr:from>
    <xdr:ext cx="4610100" cy="27432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2.0"/>
    <col customWidth="1" min="5" max="5" width="13.0"/>
    <col customWidth="1" min="6" max="6" width="14.0"/>
    <col customWidth="1" min="7" max="7" width="14.14"/>
    <col customWidth="1" min="8" max="8" width="13.71"/>
    <col customWidth="1" min="9" max="9" width="14.0"/>
    <col customWidth="1" min="10" max="10" width="18.14"/>
    <col customWidth="1" min="11" max="13" width="14.0"/>
  </cols>
  <sheetData>
    <row r="1" ht="39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 t="s">
        <v>1</v>
      </c>
      <c r="M1" s="4" t="s">
        <v>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 t="s">
        <v>3</v>
      </c>
      <c r="M2" s="4">
        <f>D3</f>
        <v>206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5" t="s">
        <v>4</v>
      </c>
      <c r="B3" s="6">
        <f>COUNTIFS('_Data'!A$2:A$273,"Reflection Tree",'_Data'!D$2:D$273,"&lt;&gt;Epic",'_Data'!B$2:B$273,"&lt;&gt;")+COUNTIFS('_Data'!A$2:A$273,"Learning Path",'_Data'!D$2:D$273,"&lt;&gt;Epic",'_Data'!B$2:B$273,"&lt;&gt;")+COUNTIFS('_Data'!A$2:A$273,"System design",'_Data'!D$2:D$273,"&lt;&gt;Epic",'_Data'!B$2:B$273,"&lt;&gt;")+COUNTIFS('_Data'!A$2:A$273,"UX-UI",'_Data'!D$2:D$273,"&lt;&gt;Epic",'_Data'!B$2:B$273,"&lt;&gt;")+COUNTIFS('_Data'!A$2:A$273,"TEST",'_Data'!D$2:D$273,"&lt;&gt;Epic",'_Data'!B$2:B$273,"&lt;&gt;")+COUNTIFS('_Data'!A$2:A$273,"Authentication",'_Data'!D$2:D$273,"&lt;&gt;Epic",'_Data'!B$2:B$273,"&lt;&gt;")+COUNTIFS('_Data'!A$2:A$273,"Recommendation",'_Data'!D$2:D$273,"&lt;&gt;Epic",'_Data'!B$2:B$273,"&lt;&gt;")+COUNTIFS('_Data'!A$2:A$273,"Social Learning",'_Data'!D$2:D$273,"&lt;&gt;Epic",'_Data'!B$2:B$273,"&lt;&gt;")+COUNTIFS('_Data'!A$2:A$273,"Deploy",'_Data'!D$2:D$273,"&lt;&gt;Epic",'_Data'!B$2:B$273,"&lt;&gt;")+COUNTIFS('_Data'!A$2:A$273,"Dashboards",'_Data'!D$2:D$273,"&lt;&gt;Epic",'_Data'!B$2:B$273,"&lt;&gt;")</f>
        <v>262</v>
      </c>
      <c r="C3" s="7" t="s">
        <v>5</v>
      </c>
      <c r="D3" s="8">
        <f>COUNTIFS('_Data'!A$2:A$273,"Reflection Tree",'_Data'!E$2:E$273,"Done",'_Data'!D$2:D$273,"&lt;&gt;Epic",'_Data'!B$2:B$273,"&lt;&gt;")+COUNTIFS('_Data'!A$2:A$273,"Reflection Tree",'_Data'!E$2:E$273,"Closed",'_Data'!D$2:D$273,"&lt;&gt;Epic",'_Data'!B$2:B$273,"&lt;&gt;")+COUNTIFS('_Data'!A$2:A$273,"Reflection Tree",'_Data'!E$2:E$273,"Resolved",'_Data'!D$2:D$273,"&lt;&gt;Epic",'_Data'!B$2:B$273,"&lt;&gt;")+COUNTIFS('_Data'!A$2:A$273,"Learning Path",'_Data'!E$2:E$273,"Done",'_Data'!D$2:D$273,"&lt;&gt;Epic",'_Data'!B$2:B$273,"&lt;&gt;")+COUNTIFS('_Data'!A$2:A$273,"Learning Path",'_Data'!E$2:E$273,"Closed",'_Data'!D$2:D$273,"&lt;&gt;Epic",'_Data'!B$2:B$273,"&lt;&gt;")+COUNTIFS('_Data'!A$2:A$273,"Learning Path",'_Data'!E$2:E$273,"Resolved",'_Data'!D$2:D$273,"&lt;&gt;Epic",'_Data'!B$2:B$273,"&lt;&gt;")+COUNTIFS('_Data'!A$2:A$273,"System design",'_Data'!E$2:E$273,"Done",'_Data'!D$2:D$273,"&lt;&gt;Epic",'_Data'!B$2:B$273,"&lt;&gt;")+COUNTIFS('_Data'!A$2:A$273,"System design",'_Data'!E$2:E$273,"Closed",'_Data'!D$2:D$273,"&lt;&gt;Epic",'_Data'!B$2:B$273,"&lt;&gt;")+COUNTIFS('_Data'!A$2:A$273,"System design",'_Data'!E$2:E$273,"Resolved",'_Data'!D$2:D$273,"&lt;&gt;Epic",'_Data'!B$2:B$273,"&lt;&gt;")+COUNTIFS('_Data'!A$2:A$273,"UX-UI",'_Data'!E$2:E$273,"Done",'_Data'!D$2:D$273,"&lt;&gt;Epic",'_Data'!B$2:B$273,"&lt;&gt;")+COUNTIFS('_Data'!A$2:A$273,"UX-UI",'_Data'!E$2:E$273,"Closed",'_Data'!D$2:D$273,"&lt;&gt;Epic",'_Data'!B$2:B$273,"&lt;&gt;")+COUNTIFS('_Data'!A$2:A$273,"UX-UI",'_Data'!E$2:E$273,"Resolved",'_Data'!D$2:D$273,"&lt;&gt;Epic",'_Data'!B$2:B$273,"&lt;&gt;")+COUNTIFS('_Data'!A$2:A$273,"TEST",'_Data'!E$2:E$273,"Done",'_Data'!D$2:D$273,"&lt;&gt;Epic",'_Data'!B$2:B$273,"&lt;&gt;")+COUNTIFS('_Data'!A$2:A$273,"TEST",'_Data'!E$2:E$273,"Closed",'_Data'!D$2:D$273,"&lt;&gt;Epic",'_Data'!B$2:B$273,"&lt;&gt;")+COUNTIFS('_Data'!A$2:A$273,"TEST",'_Data'!E$2:E$273,"Resolved",'_Data'!D$2:D$273,"&lt;&gt;Epic",'_Data'!B$2:B$273,"&lt;&gt;")+COUNTIFS('_Data'!A$2:A$273,"Authentication",'_Data'!E$2:E$273,"Done",'_Data'!D$2:D$273,"&lt;&gt;Epic",'_Data'!B$2:B$273,"&lt;&gt;")+COUNTIFS('_Data'!A$2:A$273,"Authentication",'_Data'!E$2:E$273,"Closed",'_Data'!D$2:D$273,"&lt;&gt;Epic",'_Data'!B$2:B$273,"&lt;&gt;")+COUNTIFS('_Data'!A$2:A$273,"Authentication",'_Data'!E$2:E$273,"Resolved",'_Data'!D$2:D$273,"&lt;&gt;Epic",'_Data'!B$2:B$273,"&lt;&gt;")+COUNTIFS('_Data'!A$2:A$273,"Recommendation",'_Data'!E$2:E$273,"Done",'_Data'!D$2:D$273,"&lt;&gt;Epic",'_Data'!B$2:B$273,"&lt;&gt;")+COUNTIFS('_Data'!A$2:A$273,"Recommendation",'_Data'!E$2:E$273,"Closed",'_Data'!D$2:D$273,"&lt;&gt;Epic",'_Data'!B$2:B$273,"&lt;&gt;")+COUNTIFS('_Data'!A$2:A$273,"Recommendation",'_Data'!E$2:E$273,"Resolved",'_Data'!D$2:D$273,"&lt;&gt;Epic",'_Data'!B$2:B$273,"&lt;&gt;")+COUNTIFS('_Data'!A$2:A$273,"Social Learning",'_Data'!E$2:E$273,"Done",'_Data'!D$2:D$273,"&lt;&gt;Epic",'_Data'!B$2:B$273,"&lt;&gt;")+COUNTIFS('_Data'!A$2:A$273,"Social Learning",'_Data'!E$2:E$273,"Closed",'_Data'!D$2:D$273,"&lt;&gt;Epic",'_Data'!B$2:B$273,"&lt;&gt;")+COUNTIFS('_Data'!A$2:A$273,"Social Learning",'_Data'!E$2:E$273,"Resolved",'_Data'!D$2:D$273,"&lt;&gt;Epic",'_Data'!B$2:B$273,"&lt;&gt;")+COUNTIFS('_Data'!A$2:A$273,"Deploy",'_Data'!E$2:E$273,"Done",'_Data'!D$2:D$273,"&lt;&gt;Epic",'_Data'!B$2:B$273,"&lt;&gt;")+COUNTIFS('_Data'!A$2:A$273,"Deploy",'_Data'!E$2:E$273,"Closed",'_Data'!D$2:D$273,"&lt;&gt;Epic",'_Data'!B$2:B$273,"&lt;&gt;")+COUNTIFS('_Data'!A$2:A$273,"Deploy",'_Data'!E$2:E$273,"Resolved",'_Data'!D$2:D$273,"&lt;&gt;Epic",'_Data'!B$2:B$273,"&lt;&gt;")+COUNTIFS('_Data'!A$2:A$273,"Dashboards",'_Data'!E$2:E$273,"Done",'_Data'!D$2:D$273,"&lt;&gt;Epic",'_Data'!B$2:B$273,"&lt;&gt;")+COUNTIFS('_Data'!A$2:A$273,"Dashboards",'_Data'!E$2:E$273,"Closed",'_Data'!D$2:D$273,"&lt;&gt;Epic",'_Data'!B$2:B$273,"&lt;&gt;")+COUNTIFS('_Data'!A$2:A$273,"Dashboards",'_Data'!E$2:E$273,"Resolved",'_Data'!D$2:D$273,"&lt;&gt;Epic",'_Data'!B$2:B$273,"&lt;&gt;")</f>
        <v>206</v>
      </c>
      <c r="E3" s="9" t="s">
        <v>6</v>
      </c>
      <c r="F3" s="10">
        <f>B3-D3</f>
        <v>56</v>
      </c>
      <c r="G3" s="11" t="s">
        <v>7</v>
      </c>
      <c r="H3" s="12" t="str">
        <f>IFERROR(TEXT(D3/B3,"0.0%"),"0.0%")</f>
        <v>78.6%</v>
      </c>
      <c r="I3" s="13" t="s">
        <v>8</v>
      </c>
      <c r="J3" s="14" t="str">
        <f>IFERROR("SCRUM-"&amp;TEXT(MAX('_Data'!C2:C267),"0"),"N/A")</f>
        <v>SCRUM-358</v>
      </c>
      <c r="K3" s="4"/>
      <c r="L3" s="15" t="s">
        <v>9</v>
      </c>
      <c r="M3" s="4">
        <f>F3</f>
        <v>56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7" t="s">
        <v>10</v>
      </c>
      <c r="B8" s="17" t="s">
        <v>11</v>
      </c>
      <c r="C8" s="17" t="s">
        <v>12</v>
      </c>
      <c r="D8" s="17" t="s">
        <v>13</v>
      </c>
      <c r="E8" s="17" t="s">
        <v>14</v>
      </c>
      <c r="F8" s="17" t="s">
        <v>9</v>
      </c>
      <c r="G8" s="17" t="s">
        <v>15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8" t="s">
        <v>16</v>
      </c>
      <c r="B9" s="18" t="s">
        <v>17</v>
      </c>
      <c r="C9" s="19" t="str">
        <f>'Reflection Tree'!D2</f>
        <v>Done</v>
      </c>
      <c r="D9" s="20">
        <f>COUNTIFS('_Data'!A$2:A$273,"Reflection Tree",'_Data'!D$2:D$273,"&lt;&gt;Epic",'_Data'!B$2:B$273,"&lt;&gt;")</f>
        <v>19</v>
      </c>
      <c r="E9" s="20">
        <f>COUNTIFS('_Data'!A$2:A$273,"Reflection Tree",'_Data'!E$2:E$273,"Done",'_Data'!D$2:D$273,"&lt;&gt;Epic",'_Data'!B$2:B$273,"&lt;&gt;")+COUNTIFS('_Data'!A$2:A$273,"Reflection Tree",'_Data'!E$2:E$273,"Closed",'_Data'!D$2:D$273,"&lt;&gt;Epic",'_Data'!B$2:B$273,"&lt;&gt;")+COUNTIFS('_Data'!A$2:A$273,"Reflection Tree",'_Data'!E$2:E$273,"Resolved",'_Data'!D$2:D$273,"&lt;&gt;Epic",'_Data'!B$2:B$273,"&lt;&gt;")</f>
        <v>19</v>
      </c>
      <c r="F9" s="20">
        <f t="shared" ref="F9:F18" si="1">D9-E9</f>
        <v>0</v>
      </c>
      <c r="G9" s="21">
        <f t="shared" ref="G9:G18" si="2">IFERROR(E9/D9,0)</f>
        <v>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22" t="s">
        <v>18</v>
      </c>
      <c r="B10" s="22" t="s">
        <v>19</v>
      </c>
      <c r="C10" s="19" t="str">
        <f>'Learning Path'!D2</f>
        <v>Done</v>
      </c>
      <c r="D10" s="23">
        <f>COUNTIFS('_Data'!A$2:A$273,"Learning Path",'_Data'!D$2:D$273,"&lt;&gt;Epic",'_Data'!B$2:B$273,"&lt;&gt;")</f>
        <v>43</v>
      </c>
      <c r="E10" s="23">
        <f>COUNTIFS('_Data'!A$2:A$273,"Learning Path",'_Data'!E$2:E$273,"Done",'_Data'!D$2:D$273,"&lt;&gt;Epic",'_Data'!B$2:B$273,"&lt;&gt;")+COUNTIFS('_Data'!A$2:A$273,"Learning Path",'_Data'!E$2:E$273,"Closed",'_Data'!D$2:D$273,"&lt;&gt;Epic",'_Data'!B$2:B$273,"&lt;&gt;")+COUNTIFS('_Data'!A$2:A$273,"Learning Path",'_Data'!E$2:E$273,"Resolved",'_Data'!D$2:D$273,"&lt;&gt;Epic",'_Data'!B$2:B$273,"&lt;&gt;")</f>
        <v>43</v>
      </c>
      <c r="F10" s="23">
        <f t="shared" si="1"/>
        <v>0</v>
      </c>
      <c r="G10" s="21">
        <f t="shared" si="2"/>
        <v>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8" t="s">
        <v>20</v>
      </c>
      <c r="B11" s="18" t="s">
        <v>21</v>
      </c>
      <c r="C11" s="24" t="str">
        <f>'System design'!D2</f>
        <v>In Progress</v>
      </c>
      <c r="D11" s="20">
        <f>COUNTIFS('_Data'!A$2:A$273,"System design",'_Data'!D$2:D$273,"&lt;&gt;Epic",'_Data'!B$2:B$273,"&lt;&gt;")</f>
        <v>37</v>
      </c>
      <c r="E11" s="20">
        <f>COUNTIFS('_Data'!A$2:A$273,"System design",'_Data'!E$2:E$273,"Done",'_Data'!D$2:D$273,"&lt;&gt;Epic",'_Data'!B$2:B$273,"&lt;&gt;")+COUNTIFS('_Data'!A$2:A$273,"System design",'_Data'!E$2:E$273,"Closed",'_Data'!D$2:D$273,"&lt;&gt;Epic",'_Data'!B$2:B$273,"&lt;&gt;")+COUNTIFS('_Data'!A$2:A$273,"System design",'_Data'!E$2:E$273,"Resolved",'_Data'!D$2:D$273,"&lt;&gt;Epic",'_Data'!B$2:B$273,"&lt;&gt;")</f>
        <v>32</v>
      </c>
      <c r="F11" s="20">
        <f t="shared" si="1"/>
        <v>5</v>
      </c>
      <c r="G11" s="21">
        <f t="shared" si="2"/>
        <v>0.8648648649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22" t="s">
        <v>22</v>
      </c>
      <c r="B12" s="22" t="s">
        <v>23</v>
      </c>
      <c r="C12" s="24" t="str">
        <f>'UX-UI'!D2</f>
        <v>In Progress</v>
      </c>
      <c r="D12" s="23">
        <f>COUNTIFS('_Data'!A$2:A$273,"UX-UI",'_Data'!D$2:D$273,"&lt;&gt;Epic",'_Data'!B$2:B$273,"&lt;&gt;")</f>
        <v>82</v>
      </c>
      <c r="E12" s="23">
        <f>COUNTIFS('_Data'!A$2:A$273,"UX-UI",'_Data'!E$2:E$273,"Done",'_Data'!D$2:D$273,"&lt;&gt;Epic",'_Data'!B$2:B$273,"&lt;&gt;")+COUNTIFS('_Data'!A$2:A$273,"UX-UI",'_Data'!E$2:E$273,"Closed",'_Data'!D$2:D$273,"&lt;&gt;Epic",'_Data'!B$2:B$273,"&lt;&gt;")+COUNTIFS('_Data'!A$2:A$273,"UX-UI",'_Data'!E$2:E$273,"Resolved",'_Data'!D$2:D$273,"&lt;&gt;Epic",'_Data'!B$2:B$273,"&lt;&gt;")</f>
        <v>61</v>
      </c>
      <c r="F12" s="23">
        <f t="shared" si="1"/>
        <v>21</v>
      </c>
      <c r="G12" s="25">
        <f t="shared" si="2"/>
        <v>0.743902439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18" t="s">
        <v>24</v>
      </c>
      <c r="B13" s="18" t="s">
        <v>25</v>
      </c>
      <c r="C13" s="24" t="str">
        <f>TEST!D2</f>
        <v>In Progress</v>
      </c>
      <c r="D13" s="20">
        <f>COUNTIFS('_Data'!A$2:A$273,"TEST",'_Data'!D$2:D$273,"&lt;&gt;Epic",'_Data'!B$2:B$273,"&lt;&gt;")</f>
        <v>14</v>
      </c>
      <c r="E13" s="20">
        <f>COUNTIFS('_Data'!A$2:A$273,"TEST",'_Data'!E$2:E$273,"Done",'_Data'!D$2:D$273,"&lt;&gt;Epic",'_Data'!B$2:B$273,"&lt;&gt;")+COUNTIFS('_Data'!A$2:A$273,"TEST",'_Data'!E$2:E$273,"Closed",'_Data'!D$2:D$273,"&lt;&gt;Epic",'_Data'!B$2:B$273,"&lt;&gt;")+COUNTIFS('_Data'!A$2:A$273,"TEST",'_Data'!E$2:E$273,"Resolved",'_Data'!D$2:D$273,"&lt;&gt;Epic",'_Data'!B$2:B$273,"&lt;&gt;")</f>
        <v>6</v>
      </c>
      <c r="F13" s="20">
        <f t="shared" si="1"/>
        <v>8</v>
      </c>
      <c r="G13" s="25">
        <f t="shared" si="2"/>
        <v>0.4285714286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22" t="s">
        <v>26</v>
      </c>
      <c r="B14" s="22" t="s">
        <v>27</v>
      </c>
      <c r="C14" s="24" t="str">
        <f>Authentication!D2</f>
        <v>In Progress</v>
      </c>
      <c r="D14" s="23">
        <f>COUNTIFS('_Data'!A$2:A$273,"Authentication",'_Data'!D$2:D$273,"&lt;&gt;Epic",'_Data'!B$2:B$273,"&lt;&gt;")</f>
        <v>26</v>
      </c>
      <c r="E14" s="23">
        <f>COUNTIFS('_Data'!A$2:A$273,"Authentication",'_Data'!E$2:E$273,"Done",'_Data'!D$2:D$273,"&lt;&gt;Epic",'_Data'!B$2:B$273,"&lt;&gt;")+COUNTIFS('_Data'!A$2:A$273,"Authentication",'_Data'!E$2:E$273,"Closed",'_Data'!D$2:D$273,"&lt;&gt;Epic",'_Data'!B$2:B$273,"&lt;&gt;")+COUNTIFS('_Data'!A$2:A$273,"Authentication",'_Data'!E$2:E$273,"Resolved",'_Data'!D$2:D$273,"&lt;&gt;Epic",'_Data'!B$2:B$273,"&lt;&gt;")</f>
        <v>25</v>
      </c>
      <c r="F14" s="23">
        <f t="shared" si="1"/>
        <v>1</v>
      </c>
      <c r="G14" s="21">
        <f t="shared" si="2"/>
        <v>0.9615384615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18" t="s">
        <v>28</v>
      </c>
      <c r="B15" s="18" t="s">
        <v>29</v>
      </c>
      <c r="C15" s="24" t="str">
        <f>Recommendation!D2</f>
        <v>In Progress</v>
      </c>
      <c r="D15" s="20">
        <f>COUNTIFS('_Data'!A$2:A$273,"Recommendation",'_Data'!D$2:D$273,"&lt;&gt;Epic",'_Data'!B$2:B$273,"&lt;&gt;")</f>
        <v>16</v>
      </c>
      <c r="E15" s="20">
        <f>COUNTIFS('_Data'!A$2:A$273,"Recommendation",'_Data'!E$2:E$273,"Done",'_Data'!D$2:D$273,"&lt;&gt;Epic",'_Data'!B$2:B$273,"&lt;&gt;")+COUNTIFS('_Data'!A$2:A$273,"Recommendation",'_Data'!E$2:E$273,"Closed",'_Data'!D$2:D$273,"&lt;&gt;Epic",'_Data'!B$2:B$273,"&lt;&gt;")+COUNTIFS('_Data'!A$2:A$273,"Recommendation",'_Data'!E$2:E$273,"Resolved",'_Data'!D$2:D$273,"&lt;&gt;Epic",'_Data'!B$2:B$273,"&lt;&gt;")</f>
        <v>4</v>
      </c>
      <c r="F15" s="20">
        <f t="shared" si="1"/>
        <v>12</v>
      </c>
      <c r="G15" s="26">
        <f t="shared" si="2"/>
        <v>0.25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22" t="s">
        <v>30</v>
      </c>
      <c r="B16" s="22" t="s">
        <v>31</v>
      </c>
      <c r="C16" s="24" t="str">
        <f>'Social Learning'!D2</f>
        <v>Done</v>
      </c>
      <c r="D16" s="23">
        <f>COUNTIFS('_Data'!A$2:A$273,"Social Learning",'_Data'!D$2:D$273,"&lt;&gt;Epic",'_Data'!B$2:B$273,"&lt;&gt;")</f>
        <v>9</v>
      </c>
      <c r="E16" s="23">
        <f>COUNTIFS('_Data'!A$2:A$273,"Social Learning",'_Data'!E$2:E$273,"Done",'_Data'!D$2:D$273,"&lt;&gt;Epic",'_Data'!B$2:B$273,"&lt;&gt;")+COUNTIFS('_Data'!A$2:A$273,"Social Learning",'_Data'!E$2:E$273,"Closed",'_Data'!D$2:D$273,"&lt;&gt;Epic",'_Data'!B$2:B$273,"&lt;&gt;")+COUNTIFS('_Data'!A$2:A$273,"Social Learning",'_Data'!E$2:E$273,"Resolved",'_Data'!D$2:D$273,"&lt;&gt;Epic",'_Data'!B$2:B$273,"&lt;&gt;")</f>
        <v>8</v>
      </c>
      <c r="F16" s="23">
        <f t="shared" si="1"/>
        <v>1</v>
      </c>
      <c r="G16" s="26">
        <f t="shared" si="2"/>
        <v>0.8888888889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18" t="s">
        <v>32</v>
      </c>
      <c r="B17" s="18" t="s">
        <v>33</v>
      </c>
      <c r="C17" s="24" t="str">
        <f>Deploy!D2</f>
        <v>In Progress</v>
      </c>
      <c r="D17" s="20">
        <f>COUNTIFS('_Data'!A$2:A$273,"Deploy",'_Data'!D$2:D$273,"&lt;&gt;Epic",'_Data'!B$2:B$273,"&lt;&gt;")</f>
        <v>12</v>
      </c>
      <c r="E17" s="20">
        <f>COUNTIFS('_Data'!A$2:A$273,"Deploy",'_Data'!E$2:E$273,"Done",'_Data'!D$2:D$273,"&lt;&gt;Epic",'_Data'!B$2:B$273,"&lt;&gt;")+COUNTIFS('_Data'!A$2:A$273,"Deploy",'_Data'!E$2:E$273,"Closed",'_Data'!D$2:D$273,"&lt;&gt;Epic",'_Data'!B$2:B$273,"&lt;&gt;")+COUNTIFS('_Data'!A$2:A$273,"Deploy",'_Data'!E$2:E$273,"Resolved",'_Data'!D$2:D$273,"&lt;&gt;Epic",'_Data'!B$2:B$273,"&lt;&gt;")</f>
        <v>8</v>
      </c>
      <c r="F17" s="20">
        <f t="shared" si="1"/>
        <v>4</v>
      </c>
      <c r="G17" s="25">
        <f t="shared" si="2"/>
        <v>0.6666666667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22" t="s">
        <v>34</v>
      </c>
      <c r="B18" s="22" t="s">
        <v>35</v>
      </c>
      <c r="C18" s="27" t="str">
        <f>Dashboards!D2</f>
        <v>To Do</v>
      </c>
      <c r="D18" s="23">
        <f>COUNTIFS('_Data'!A$2:A$273,"Dashboards",'_Data'!D$2:D$273,"&lt;&gt;Epic",'_Data'!B$2:B$273,"&lt;&gt;")</f>
        <v>4</v>
      </c>
      <c r="E18" s="23">
        <f>COUNTIFS('_Data'!A$2:A$273,"Dashboards",'_Data'!E$2:E$273,"Done",'_Data'!D$2:D$273,"&lt;&gt;Epic",'_Data'!B$2:B$273,"&lt;&gt;")+COUNTIFS('_Data'!A$2:A$273,"Dashboards",'_Data'!E$2:E$273,"Closed",'_Data'!D$2:D$273,"&lt;&gt;Epic",'_Data'!B$2:B$273,"&lt;&gt;")+COUNTIFS('_Data'!A$2:A$273,"Dashboards",'_Data'!E$2:E$273,"Resolved",'_Data'!D$2:D$273,"&lt;&gt;Epic",'_Data'!B$2:B$273,"&lt;&gt;")</f>
        <v>0</v>
      </c>
      <c r="F18" s="23">
        <f t="shared" si="1"/>
        <v>4</v>
      </c>
      <c r="G18" s="26">
        <f t="shared" si="2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36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9" t="s">
        <v>37</v>
      </c>
      <c r="B20" s="29" t="s">
        <v>13</v>
      </c>
      <c r="C20" s="29" t="s">
        <v>14</v>
      </c>
      <c r="D20" s="29" t="s">
        <v>9</v>
      </c>
      <c r="E20" s="29" t="s">
        <v>15</v>
      </c>
      <c r="F20" s="29" t="s">
        <v>38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0" t="s">
        <v>39</v>
      </c>
      <c r="B21" s="31">
        <v>85.0</v>
      </c>
      <c r="C21" s="31">
        <v>85.0</v>
      </c>
      <c r="D21" s="31">
        <v>0.0</v>
      </c>
      <c r="E21" s="31" t="s">
        <v>40</v>
      </c>
      <c r="F21" s="32" t="s">
        <v>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 t="s">
        <v>41</v>
      </c>
      <c r="B22" s="31">
        <v>46.0</v>
      </c>
      <c r="C22" s="31">
        <v>46.0</v>
      </c>
      <c r="D22" s="31">
        <v>0.0</v>
      </c>
      <c r="E22" s="31" t="s">
        <v>40</v>
      </c>
      <c r="F22" s="32" t="s">
        <v>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 t="s">
        <v>42</v>
      </c>
      <c r="B23" s="31">
        <v>124.0</v>
      </c>
      <c r="C23" s="31">
        <v>75.0</v>
      </c>
      <c r="D23" s="31">
        <v>49.0</v>
      </c>
      <c r="E23" s="31" t="s">
        <v>43</v>
      </c>
      <c r="F23" s="35" t="s">
        <v>44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 t="s">
        <v>45</v>
      </c>
      <c r="B24" s="31">
        <v>7.0</v>
      </c>
      <c r="C24" s="31">
        <v>0.0</v>
      </c>
      <c r="D24" s="31">
        <v>7.0</v>
      </c>
      <c r="E24" s="31" t="s">
        <v>46</v>
      </c>
      <c r="F24" s="37" t="s">
        <v>47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9"/>
      <c r="B27" s="40"/>
      <c r="C27" s="40"/>
      <c r="D27" s="40"/>
      <c r="E27" s="41" t="s">
        <v>48</v>
      </c>
      <c r="F27" s="40"/>
      <c r="G27" s="40"/>
      <c r="H27" s="40"/>
      <c r="I27" s="40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9"/>
      <c r="B28" s="40"/>
      <c r="C28" s="40"/>
      <c r="D28" s="40"/>
      <c r="E28" s="41" t="s">
        <v>49</v>
      </c>
      <c r="F28" s="40"/>
      <c r="G28" s="40"/>
      <c r="H28" s="40"/>
      <c r="I28" s="40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9"/>
      <c r="B29" s="40"/>
      <c r="C29" s="40"/>
      <c r="D29" s="40"/>
      <c r="E29" s="41" t="s">
        <v>50</v>
      </c>
      <c r="F29" s="40"/>
      <c r="G29" s="42"/>
      <c r="H29" s="42"/>
      <c r="I29" s="4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9"/>
      <c r="B30" s="42"/>
      <c r="C30" s="42"/>
      <c r="D30" s="42"/>
      <c r="E30" s="43" t="s">
        <v>51</v>
      </c>
      <c r="F30" s="42"/>
      <c r="G30" s="42"/>
      <c r="H30" s="42"/>
      <c r="I30" s="4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G$18"/>
  <mergeCells count="13">
    <mergeCell ref="G3:G4"/>
    <mergeCell ref="H3:H4"/>
    <mergeCell ref="I3:I4"/>
    <mergeCell ref="J3:J4"/>
    <mergeCell ref="A19:H19"/>
    <mergeCell ref="A26:H26"/>
    <mergeCell ref="A1:G1"/>
    <mergeCell ref="A3:A4"/>
    <mergeCell ref="B3:B4"/>
    <mergeCell ref="C3:C4"/>
    <mergeCell ref="D3:D4"/>
    <mergeCell ref="E3:E4"/>
    <mergeCell ref="F3:F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2.0"/>
    <col customWidth="1" min="2" max="2" width="45.0"/>
    <col customWidth="1" min="3" max="3" width="13.0"/>
    <col customWidth="1" min="4" max="4" width="14.0"/>
    <col customWidth="1" min="5" max="5" width="11.0"/>
    <col customWidth="1" min="6" max="6" width="25.0"/>
    <col customWidth="1" min="7" max="7" width="21.0"/>
    <col customWidth="1" min="8" max="9" width="13.0"/>
    <col customWidth="1" min="10" max="10" width="15.0"/>
    <col customWidth="1" min="11" max="11" width="19.57"/>
    <col customWidth="1" min="12" max="12" width="18.43"/>
    <col customWidth="1" min="13" max="13" width="28.0"/>
  </cols>
  <sheetData>
    <row r="1" ht="30.0" customHeight="1">
      <c r="A1" s="17" t="s">
        <v>52</v>
      </c>
      <c r="B1" s="17" t="s">
        <v>53</v>
      </c>
      <c r="C1" s="17" t="s">
        <v>54</v>
      </c>
      <c r="D1" s="17" t="s">
        <v>38</v>
      </c>
      <c r="E1" s="17" t="s">
        <v>55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37</v>
      </c>
      <c r="K1" s="17" t="s">
        <v>60</v>
      </c>
      <c r="L1" s="17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4" t="s">
        <v>20</v>
      </c>
      <c r="B2" s="44" t="s">
        <v>21</v>
      </c>
      <c r="C2" s="45" t="s">
        <v>62</v>
      </c>
      <c r="D2" s="24" t="s">
        <v>44</v>
      </c>
      <c r="E2" s="46" t="s">
        <v>63</v>
      </c>
      <c r="F2" s="47"/>
      <c r="G2" s="47" t="s">
        <v>64</v>
      </c>
      <c r="H2" s="48" t="s">
        <v>65</v>
      </c>
      <c r="I2" s="47"/>
      <c r="J2" s="47"/>
      <c r="K2" s="47"/>
      <c r="L2" s="4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 outlineLevel="1">
      <c r="A3" s="49" t="s">
        <v>66</v>
      </c>
      <c r="B3" s="49" t="s">
        <v>67</v>
      </c>
      <c r="C3" s="50" t="s">
        <v>68</v>
      </c>
      <c r="D3" s="19" t="s">
        <v>14</v>
      </c>
      <c r="E3" s="51" t="s">
        <v>69</v>
      </c>
      <c r="F3" s="52" t="s">
        <v>70</v>
      </c>
      <c r="G3" s="52" t="s">
        <v>71</v>
      </c>
      <c r="H3" s="53" t="s">
        <v>72</v>
      </c>
      <c r="I3" s="52"/>
      <c r="J3" s="52" t="s">
        <v>39</v>
      </c>
      <c r="K3" s="52" t="s">
        <v>20</v>
      </c>
      <c r="L3" s="52" t="s">
        <v>21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hidden="1" customHeight="1" outlineLevel="2">
      <c r="A4" s="54" t="s">
        <v>73</v>
      </c>
      <c r="B4" s="54" t="s">
        <v>74</v>
      </c>
      <c r="C4" s="55" t="s">
        <v>75</v>
      </c>
      <c r="D4" s="19" t="s">
        <v>14</v>
      </c>
      <c r="E4" s="51" t="s">
        <v>69</v>
      </c>
      <c r="F4" s="56" t="s">
        <v>70</v>
      </c>
      <c r="G4" s="56" t="s">
        <v>76</v>
      </c>
      <c r="H4" s="56"/>
      <c r="I4" s="56"/>
      <c r="J4" s="56" t="s">
        <v>39</v>
      </c>
      <c r="K4" s="56" t="s">
        <v>66</v>
      </c>
      <c r="L4" s="56" t="s">
        <v>67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hidden="1" customHeight="1" outlineLevel="2">
      <c r="A5" s="57" t="s">
        <v>77</v>
      </c>
      <c r="B5" s="57" t="s">
        <v>78</v>
      </c>
      <c r="C5" s="55" t="s">
        <v>75</v>
      </c>
      <c r="D5" s="19" t="s">
        <v>14</v>
      </c>
      <c r="E5" s="51" t="s">
        <v>69</v>
      </c>
      <c r="F5" s="58" t="s">
        <v>70</v>
      </c>
      <c r="G5" s="58" t="s">
        <v>76</v>
      </c>
      <c r="H5" s="58"/>
      <c r="I5" s="58"/>
      <c r="J5" s="58" t="s">
        <v>39</v>
      </c>
      <c r="K5" s="58" t="s">
        <v>66</v>
      </c>
      <c r="L5" s="58" t="s">
        <v>67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hidden="1" customHeight="1" outlineLevel="2">
      <c r="A6" s="54" t="s">
        <v>79</v>
      </c>
      <c r="B6" s="54" t="s">
        <v>80</v>
      </c>
      <c r="C6" s="55" t="s">
        <v>75</v>
      </c>
      <c r="D6" s="19" t="s">
        <v>14</v>
      </c>
      <c r="E6" s="51" t="s">
        <v>69</v>
      </c>
      <c r="F6" s="56" t="s">
        <v>70</v>
      </c>
      <c r="G6" s="56" t="s">
        <v>76</v>
      </c>
      <c r="H6" s="56"/>
      <c r="I6" s="56"/>
      <c r="J6" s="56" t="s">
        <v>39</v>
      </c>
      <c r="K6" s="56" t="s">
        <v>66</v>
      </c>
      <c r="L6" s="56" t="s">
        <v>67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9.5" hidden="1" customHeight="1" outlineLevel="2">
      <c r="A7" s="57" t="s">
        <v>81</v>
      </c>
      <c r="B7" s="57" t="s">
        <v>82</v>
      </c>
      <c r="C7" s="55" t="s">
        <v>75</v>
      </c>
      <c r="D7" s="19" t="s">
        <v>14</v>
      </c>
      <c r="E7" s="51" t="s">
        <v>69</v>
      </c>
      <c r="F7" s="58" t="s">
        <v>70</v>
      </c>
      <c r="G7" s="58" t="s">
        <v>76</v>
      </c>
      <c r="H7" s="58"/>
      <c r="I7" s="58"/>
      <c r="J7" s="58" t="s">
        <v>39</v>
      </c>
      <c r="K7" s="58" t="s">
        <v>66</v>
      </c>
      <c r="L7" s="58" t="s">
        <v>67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hidden="1" customHeight="1" outlineLevel="2">
      <c r="A8" s="54" t="s">
        <v>83</v>
      </c>
      <c r="B8" s="54" t="s">
        <v>84</v>
      </c>
      <c r="C8" s="55" t="s">
        <v>75</v>
      </c>
      <c r="D8" s="19" t="s">
        <v>14</v>
      </c>
      <c r="E8" s="51" t="s">
        <v>69</v>
      </c>
      <c r="F8" s="56" t="s">
        <v>70</v>
      </c>
      <c r="G8" s="56" t="s">
        <v>76</v>
      </c>
      <c r="H8" s="56"/>
      <c r="I8" s="56"/>
      <c r="J8" s="56" t="s">
        <v>39</v>
      </c>
      <c r="K8" s="56" t="s">
        <v>66</v>
      </c>
      <c r="L8" s="56" t="s">
        <v>67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9.5" customHeight="1" outlineLevel="1" collapsed="1">
      <c r="A9" s="49" t="s">
        <v>85</v>
      </c>
      <c r="B9" s="49" t="s">
        <v>86</v>
      </c>
      <c r="C9" s="50" t="s">
        <v>68</v>
      </c>
      <c r="D9" s="19" t="s">
        <v>14</v>
      </c>
      <c r="E9" s="46" t="s">
        <v>63</v>
      </c>
      <c r="F9" s="52" t="s">
        <v>87</v>
      </c>
      <c r="G9" s="52" t="s">
        <v>64</v>
      </c>
      <c r="H9" s="53" t="s">
        <v>72</v>
      </c>
      <c r="I9" s="52"/>
      <c r="J9" s="52" t="s">
        <v>39</v>
      </c>
      <c r="K9" s="52" t="s">
        <v>20</v>
      </c>
      <c r="L9" s="52" t="s">
        <v>21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9.5" hidden="1" customHeight="1" outlineLevel="2">
      <c r="A10" s="54" t="s">
        <v>88</v>
      </c>
      <c r="B10" s="54" t="s">
        <v>89</v>
      </c>
      <c r="C10" s="55" t="s">
        <v>75</v>
      </c>
      <c r="D10" s="19" t="s">
        <v>14</v>
      </c>
      <c r="E10" s="51" t="s">
        <v>69</v>
      </c>
      <c r="F10" s="56" t="s">
        <v>87</v>
      </c>
      <c r="G10" s="56" t="s">
        <v>90</v>
      </c>
      <c r="H10" s="59" t="s">
        <v>91</v>
      </c>
      <c r="I10" s="56"/>
      <c r="J10" s="56" t="s">
        <v>39</v>
      </c>
      <c r="K10" s="56" t="s">
        <v>85</v>
      </c>
      <c r="L10" s="56" t="s">
        <v>86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.5" hidden="1" customHeight="1" outlineLevel="2">
      <c r="A11" s="57" t="s">
        <v>92</v>
      </c>
      <c r="B11" s="57" t="s">
        <v>93</v>
      </c>
      <c r="C11" s="55" t="s">
        <v>75</v>
      </c>
      <c r="D11" s="19" t="s">
        <v>14</v>
      </c>
      <c r="E11" s="51" t="s">
        <v>69</v>
      </c>
      <c r="F11" s="58" t="s">
        <v>87</v>
      </c>
      <c r="G11" s="58" t="s">
        <v>76</v>
      </c>
      <c r="H11" s="60" t="s">
        <v>72</v>
      </c>
      <c r="I11" s="58"/>
      <c r="J11" s="58" t="s">
        <v>39</v>
      </c>
      <c r="K11" s="58" t="s">
        <v>85</v>
      </c>
      <c r="L11" s="58" t="s">
        <v>86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9.5" hidden="1" customHeight="1" outlineLevel="2">
      <c r="A12" s="54" t="s">
        <v>94</v>
      </c>
      <c r="B12" s="54" t="s">
        <v>95</v>
      </c>
      <c r="C12" s="55" t="s">
        <v>75</v>
      </c>
      <c r="D12" s="19" t="s">
        <v>14</v>
      </c>
      <c r="E12" s="51" t="s">
        <v>69</v>
      </c>
      <c r="F12" s="56" t="s">
        <v>70</v>
      </c>
      <c r="G12" s="56" t="s">
        <v>76</v>
      </c>
      <c r="H12" s="59" t="s">
        <v>96</v>
      </c>
      <c r="I12" s="56"/>
      <c r="J12" s="56" t="s">
        <v>39</v>
      </c>
      <c r="K12" s="56" t="s">
        <v>85</v>
      </c>
      <c r="L12" s="56" t="s">
        <v>86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.5" hidden="1" customHeight="1" outlineLevel="2">
      <c r="A13" s="57" t="s">
        <v>97</v>
      </c>
      <c r="B13" s="57" t="s">
        <v>98</v>
      </c>
      <c r="C13" s="55" t="s">
        <v>75</v>
      </c>
      <c r="D13" s="19" t="s">
        <v>14</v>
      </c>
      <c r="E13" s="51" t="s">
        <v>69</v>
      </c>
      <c r="F13" s="58" t="s">
        <v>87</v>
      </c>
      <c r="G13" s="58" t="s">
        <v>76</v>
      </c>
      <c r="H13" s="60" t="s">
        <v>72</v>
      </c>
      <c r="I13" s="58"/>
      <c r="J13" s="58" t="s">
        <v>39</v>
      </c>
      <c r="K13" s="58" t="s">
        <v>85</v>
      </c>
      <c r="L13" s="58" t="s">
        <v>86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9.5" customHeight="1" outlineLevel="1" collapsed="1">
      <c r="A14" s="49" t="s">
        <v>99</v>
      </c>
      <c r="B14" s="49" t="s">
        <v>100</v>
      </c>
      <c r="C14" s="50" t="s">
        <v>68</v>
      </c>
      <c r="D14" s="19" t="s">
        <v>14</v>
      </c>
      <c r="E14" s="51" t="s">
        <v>69</v>
      </c>
      <c r="F14" s="52" t="s">
        <v>70</v>
      </c>
      <c r="G14" s="52" t="s">
        <v>76</v>
      </c>
      <c r="H14" s="53" t="s">
        <v>101</v>
      </c>
      <c r="I14" s="52"/>
      <c r="J14" s="52" t="s">
        <v>39</v>
      </c>
      <c r="K14" s="52" t="s">
        <v>20</v>
      </c>
      <c r="L14" s="52" t="s">
        <v>21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9.5" hidden="1" customHeight="1" outlineLevel="2">
      <c r="A15" s="57" t="s">
        <v>102</v>
      </c>
      <c r="B15" s="57" t="s">
        <v>103</v>
      </c>
      <c r="C15" s="55" t="s">
        <v>75</v>
      </c>
      <c r="D15" s="19" t="s">
        <v>14</v>
      </c>
      <c r="E15" s="51" t="s">
        <v>69</v>
      </c>
      <c r="F15" s="58" t="s">
        <v>70</v>
      </c>
      <c r="G15" s="58" t="s">
        <v>72</v>
      </c>
      <c r="H15" s="60" t="s">
        <v>72</v>
      </c>
      <c r="I15" s="58"/>
      <c r="J15" s="58" t="s">
        <v>39</v>
      </c>
      <c r="K15" s="58" t="s">
        <v>99</v>
      </c>
      <c r="L15" s="58" t="s">
        <v>100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9.5" hidden="1" customHeight="1" outlineLevel="2">
      <c r="A16" s="54" t="s">
        <v>104</v>
      </c>
      <c r="B16" s="54" t="s">
        <v>105</v>
      </c>
      <c r="C16" s="55" t="s">
        <v>75</v>
      </c>
      <c r="D16" s="19" t="s">
        <v>14</v>
      </c>
      <c r="E16" s="51" t="s">
        <v>69</v>
      </c>
      <c r="F16" s="56" t="s">
        <v>70</v>
      </c>
      <c r="G16" s="56" t="s">
        <v>76</v>
      </c>
      <c r="H16" s="59" t="s">
        <v>72</v>
      </c>
      <c r="I16" s="56"/>
      <c r="J16" s="56" t="s">
        <v>39</v>
      </c>
      <c r="K16" s="56" t="s">
        <v>99</v>
      </c>
      <c r="L16" s="56" t="s">
        <v>100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9.5" hidden="1" customHeight="1" outlineLevel="2">
      <c r="A17" s="57" t="s">
        <v>106</v>
      </c>
      <c r="B17" s="57" t="s">
        <v>107</v>
      </c>
      <c r="C17" s="55" t="s">
        <v>75</v>
      </c>
      <c r="D17" s="19" t="s">
        <v>14</v>
      </c>
      <c r="E17" s="51" t="s">
        <v>69</v>
      </c>
      <c r="F17" s="58" t="s">
        <v>70</v>
      </c>
      <c r="G17" s="58" t="s">
        <v>76</v>
      </c>
      <c r="H17" s="60" t="s">
        <v>72</v>
      </c>
      <c r="I17" s="58"/>
      <c r="J17" s="58" t="s">
        <v>39</v>
      </c>
      <c r="K17" s="58" t="s">
        <v>99</v>
      </c>
      <c r="L17" s="58" t="s">
        <v>100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9.5" hidden="1" customHeight="1" outlineLevel="2">
      <c r="A18" s="54" t="s">
        <v>108</v>
      </c>
      <c r="B18" s="54" t="s">
        <v>109</v>
      </c>
      <c r="C18" s="55" t="s">
        <v>75</v>
      </c>
      <c r="D18" s="19" t="s">
        <v>14</v>
      </c>
      <c r="E18" s="51" t="s">
        <v>69</v>
      </c>
      <c r="F18" s="56" t="s">
        <v>70</v>
      </c>
      <c r="G18" s="56" t="s">
        <v>76</v>
      </c>
      <c r="H18" s="59" t="s">
        <v>72</v>
      </c>
      <c r="I18" s="56"/>
      <c r="J18" s="56" t="s">
        <v>39</v>
      </c>
      <c r="K18" s="56" t="s">
        <v>99</v>
      </c>
      <c r="L18" s="56" t="s">
        <v>100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9.5" hidden="1" customHeight="1" outlineLevel="2">
      <c r="A19" s="57" t="s">
        <v>110</v>
      </c>
      <c r="B19" s="57" t="s">
        <v>111</v>
      </c>
      <c r="C19" s="55" t="s">
        <v>75</v>
      </c>
      <c r="D19" s="19" t="s">
        <v>14</v>
      </c>
      <c r="E19" s="51" t="s">
        <v>69</v>
      </c>
      <c r="F19" s="58" t="s">
        <v>70</v>
      </c>
      <c r="G19" s="58" t="s">
        <v>72</v>
      </c>
      <c r="H19" s="60" t="s">
        <v>112</v>
      </c>
      <c r="I19" s="58"/>
      <c r="J19" s="58" t="s">
        <v>39</v>
      </c>
      <c r="K19" s="58" t="s">
        <v>99</v>
      </c>
      <c r="L19" s="58" t="s">
        <v>100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9.5" hidden="1" customHeight="1" outlineLevel="2">
      <c r="A20" s="54" t="s">
        <v>113</v>
      </c>
      <c r="B20" s="54" t="s">
        <v>114</v>
      </c>
      <c r="C20" s="55" t="s">
        <v>75</v>
      </c>
      <c r="D20" s="19" t="s">
        <v>14</v>
      </c>
      <c r="E20" s="51" t="s">
        <v>69</v>
      </c>
      <c r="F20" s="56" t="s">
        <v>70</v>
      </c>
      <c r="G20" s="56" t="s">
        <v>76</v>
      </c>
      <c r="H20" s="59" t="s">
        <v>101</v>
      </c>
      <c r="I20" s="56"/>
      <c r="J20" s="56" t="s">
        <v>39</v>
      </c>
      <c r="K20" s="56" t="s">
        <v>99</v>
      </c>
      <c r="L20" s="56" t="s">
        <v>100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9.5" customHeight="1" outlineLevel="1" collapsed="1">
      <c r="A21" s="49" t="s">
        <v>115</v>
      </c>
      <c r="B21" s="49" t="s">
        <v>116</v>
      </c>
      <c r="C21" s="50" t="s">
        <v>68</v>
      </c>
      <c r="D21" s="19" t="s">
        <v>14</v>
      </c>
      <c r="E21" s="51" t="s">
        <v>69</v>
      </c>
      <c r="F21" s="52" t="s">
        <v>70</v>
      </c>
      <c r="G21" s="52" t="s">
        <v>117</v>
      </c>
      <c r="H21" s="53" t="s">
        <v>118</v>
      </c>
      <c r="I21" s="52"/>
      <c r="J21" s="52" t="s">
        <v>41</v>
      </c>
      <c r="K21" s="52" t="s">
        <v>20</v>
      </c>
      <c r="L21" s="52" t="s">
        <v>21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9.5" hidden="1" customHeight="1" outlineLevel="2">
      <c r="A22" s="54" t="s">
        <v>119</v>
      </c>
      <c r="B22" s="54" t="s">
        <v>120</v>
      </c>
      <c r="C22" s="55" t="s">
        <v>75</v>
      </c>
      <c r="D22" s="19" t="s">
        <v>14</v>
      </c>
      <c r="E22" s="51" t="s">
        <v>69</v>
      </c>
      <c r="F22" s="56" t="s">
        <v>70</v>
      </c>
      <c r="G22" s="56" t="s">
        <v>121</v>
      </c>
      <c r="H22" s="59" t="s">
        <v>118</v>
      </c>
      <c r="I22" s="56"/>
      <c r="J22" s="56" t="s">
        <v>41</v>
      </c>
      <c r="K22" s="56" t="s">
        <v>115</v>
      </c>
      <c r="L22" s="56" t="s">
        <v>116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9.5" hidden="1" customHeight="1" outlineLevel="2">
      <c r="A23" s="57" t="s">
        <v>122</v>
      </c>
      <c r="B23" s="57" t="s">
        <v>123</v>
      </c>
      <c r="C23" s="55" t="s">
        <v>75</v>
      </c>
      <c r="D23" s="19" t="s">
        <v>14</v>
      </c>
      <c r="E23" s="51" t="s">
        <v>69</v>
      </c>
      <c r="F23" s="58" t="s">
        <v>70</v>
      </c>
      <c r="G23" s="58" t="s">
        <v>121</v>
      </c>
      <c r="H23" s="60" t="s">
        <v>118</v>
      </c>
      <c r="I23" s="58"/>
      <c r="J23" s="58" t="s">
        <v>41</v>
      </c>
      <c r="K23" s="58" t="s">
        <v>115</v>
      </c>
      <c r="L23" s="58" t="s">
        <v>116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9.5" hidden="1" customHeight="1" outlineLevel="2">
      <c r="A24" s="54" t="s">
        <v>124</v>
      </c>
      <c r="B24" s="54" t="s">
        <v>125</v>
      </c>
      <c r="C24" s="55" t="s">
        <v>75</v>
      </c>
      <c r="D24" s="19" t="s">
        <v>14</v>
      </c>
      <c r="E24" s="51" t="s">
        <v>69</v>
      </c>
      <c r="F24" s="56" t="s">
        <v>70</v>
      </c>
      <c r="G24" s="56" t="s">
        <v>121</v>
      </c>
      <c r="H24" s="59" t="s">
        <v>118</v>
      </c>
      <c r="I24" s="56"/>
      <c r="J24" s="56" t="s">
        <v>41</v>
      </c>
      <c r="K24" s="56" t="s">
        <v>115</v>
      </c>
      <c r="L24" s="56" t="s">
        <v>116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9.5" customHeight="1" outlineLevel="1" collapsed="1">
      <c r="A25" s="49" t="s">
        <v>126</v>
      </c>
      <c r="B25" s="49" t="s">
        <v>127</v>
      </c>
      <c r="C25" s="50" t="s">
        <v>68</v>
      </c>
      <c r="D25" s="19" t="s">
        <v>14</v>
      </c>
      <c r="E25" s="51" t="s">
        <v>69</v>
      </c>
      <c r="F25" s="52" t="s">
        <v>70</v>
      </c>
      <c r="G25" s="52" t="s">
        <v>128</v>
      </c>
      <c r="H25" s="53" t="s">
        <v>129</v>
      </c>
      <c r="I25" s="52"/>
      <c r="J25" s="52" t="s">
        <v>41</v>
      </c>
      <c r="K25" s="52" t="s">
        <v>20</v>
      </c>
      <c r="L25" s="52" t="s">
        <v>21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9.5" hidden="1" customHeight="1" outlineLevel="2">
      <c r="A26" s="54" t="s">
        <v>130</v>
      </c>
      <c r="B26" s="54" t="s">
        <v>131</v>
      </c>
      <c r="C26" s="55" t="s">
        <v>75</v>
      </c>
      <c r="D26" s="19" t="s">
        <v>14</v>
      </c>
      <c r="E26" s="51" t="s">
        <v>69</v>
      </c>
      <c r="F26" s="56" t="s">
        <v>70</v>
      </c>
      <c r="G26" s="56" t="s">
        <v>121</v>
      </c>
      <c r="H26" s="59" t="s">
        <v>118</v>
      </c>
      <c r="I26" s="56"/>
      <c r="J26" s="56" t="s">
        <v>41</v>
      </c>
      <c r="K26" s="56" t="s">
        <v>126</v>
      </c>
      <c r="L26" s="56" t="s">
        <v>127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9.5" hidden="1" customHeight="1" outlineLevel="2">
      <c r="A27" s="57" t="s">
        <v>132</v>
      </c>
      <c r="B27" s="57" t="s">
        <v>133</v>
      </c>
      <c r="C27" s="55" t="s">
        <v>75</v>
      </c>
      <c r="D27" s="19" t="s">
        <v>14</v>
      </c>
      <c r="E27" s="51" t="s">
        <v>69</v>
      </c>
      <c r="F27" s="58" t="s">
        <v>70</v>
      </c>
      <c r="G27" s="58" t="s">
        <v>128</v>
      </c>
      <c r="H27" s="60" t="s">
        <v>134</v>
      </c>
      <c r="I27" s="58"/>
      <c r="J27" s="58" t="s">
        <v>41</v>
      </c>
      <c r="K27" s="58" t="s">
        <v>126</v>
      </c>
      <c r="L27" s="58" t="s">
        <v>127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9.5" customHeight="1" outlineLevel="1" collapsed="1">
      <c r="A28" s="49" t="s">
        <v>135</v>
      </c>
      <c r="B28" s="49" t="s">
        <v>136</v>
      </c>
      <c r="C28" s="50" t="s">
        <v>68</v>
      </c>
      <c r="D28" s="24" t="s">
        <v>44</v>
      </c>
      <c r="E28" s="46" t="s">
        <v>63</v>
      </c>
      <c r="F28" s="52"/>
      <c r="G28" s="52" t="s">
        <v>64</v>
      </c>
      <c r="H28" s="53" t="s">
        <v>65</v>
      </c>
      <c r="I28" s="52"/>
      <c r="J28" s="52" t="s">
        <v>42</v>
      </c>
      <c r="K28" s="52" t="s">
        <v>20</v>
      </c>
      <c r="L28" s="52" t="s">
        <v>21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9.5" customHeight="1" outlineLevel="2">
      <c r="A29" s="57" t="s">
        <v>137</v>
      </c>
      <c r="B29" s="57" t="s">
        <v>138</v>
      </c>
      <c r="C29" s="55" t="s">
        <v>75</v>
      </c>
      <c r="D29" s="19" t="s">
        <v>14</v>
      </c>
      <c r="E29" s="51" t="s">
        <v>69</v>
      </c>
      <c r="F29" s="58" t="s">
        <v>139</v>
      </c>
      <c r="G29" s="58" t="s">
        <v>91</v>
      </c>
      <c r="H29" s="60" t="s">
        <v>140</v>
      </c>
      <c r="I29" s="58"/>
      <c r="J29" s="61" t="s">
        <v>39</v>
      </c>
      <c r="K29" s="58" t="s">
        <v>135</v>
      </c>
      <c r="L29" s="58" t="s">
        <v>136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9.5" customHeight="1" outlineLevel="2">
      <c r="A30" s="54" t="s">
        <v>141</v>
      </c>
      <c r="B30" s="54" t="s">
        <v>142</v>
      </c>
      <c r="C30" s="55" t="s">
        <v>75</v>
      </c>
      <c r="D30" s="19" t="s">
        <v>14</v>
      </c>
      <c r="E30" s="51" t="s">
        <v>69</v>
      </c>
      <c r="F30" s="56" t="s">
        <v>139</v>
      </c>
      <c r="G30" s="56" t="s">
        <v>90</v>
      </c>
      <c r="H30" s="59" t="s">
        <v>140</v>
      </c>
      <c r="I30" s="56"/>
      <c r="J30" s="62" t="s">
        <v>41</v>
      </c>
      <c r="K30" s="56" t="s">
        <v>135</v>
      </c>
      <c r="L30" s="56" t="s">
        <v>136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9.5" customHeight="1" outlineLevel="2">
      <c r="A31" s="57" t="s">
        <v>143</v>
      </c>
      <c r="B31" s="57" t="s">
        <v>144</v>
      </c>
      <c r="C31" s="55" t="s">
        <v>75</v>
      </c>
      <c r="D31" s="19" t="s">
        <v>14</v>
      </c>
      <c r="E31" s="51" t="s">
        <v>69</v>
      </c>
      <c r="F31" s="58" t="s">
        <v>87</v>
      </c>
      <c r="G31" s="58" t="s">
        <v>90</v>
      </c>
      <c r="H31" s="60" t="s">
        <v>140</v>
      </c>
      <c r="I31" s="58"/>
      <c r="J31" s="61" t="s">
        <v>39</v>
      </c>
      <c r="K31" s="58" t="s">
        <v>135</v>
      </c>
      <c r="L31" s="58" t="s">
        <v>136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9.5" customHeight="1" outlineLevel="2">
      <c r="A32" s="54" t="s">
        <v>145</v>
      </c>
      <c r="B32" s="54" t="s">
        <v>146</v>
      </c>
      <c r="C32" s="55" t="s">
        <v>75</v>
      </c>
      <c r="D32" s="19" t="s">
        <v>14</v>
      </c>
      <c r="E32" s="51" t="s">
        <v>69</v>
      </c>
      <c r="F32" s="56" t="s">
        <v>87</v>
      </c>
      <c r="G32" s="56" t="s">
        <v>90</v>
      </c>
      <c r="H32" s="59" t="s">
        <v>140</v>
      </c>
      <c r="I32" s="56"/>
      <c r="J32" s="62" t="s">
        <v>39</v>
      </c>
      <c r="K32" s="56" t="s">
        <v>135</v>
      </c>
      <c r="L32" s="56" t="s">
        <v>136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9.5" customHeight="1" outlineLevel="2">
      <c r="A33" s="57" t="s">
        <v>147</v>
      </c>
      <c r="B33" s="57" t="s">
        <v>148</v>
      </c>
      <c r="C33" s="55" t="s">
        <v>75</v>
      </c>
      <c r="D33" s="19" t="s">
        <v>14</v>
      </c>
      <c r="E33" s="51" t="s">
        <v>69</v>
      </c>
      <c r="F33" s="58" t="s">
        <v>139</v>
      </c>
      <c r="G33" s="58" t="s">
        <v>149</v>
      </c>
      <c r="H33" s="60" t="s">
        <v>118</v>
      </c>
      <c r="I33" s="58"/>
      <c r="J33" s="61" t="s">
        <v>41</v>
      </c>
      <c r="K33" s="58" t="s">
        <v>135</v>
      </c>
      <c r="L33" s="58" t="s">
        <v>136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9.5" customHeight="1" outlineLevel="2">
      <c r="A34" s="54" t="s">
        <v>150</v>
      </c>
      <c r="B34" s="54" t="s">
        <v>151</v>
      </c>
      <c r="C34" s="55" t="s">
        <v>75</v>
      </c>
      <c r="D34" s="19" t="s">
        <v>14</v>
      </c>
      <c r="E34" s="51" t="s">
        <v>69</v>
      </c>
      <c r="F34" s="56" t="s">
        <v>139</v>
      </c>
      <c r="G34" s="56" t="s">
        <v>149</v>
      </c>
      <c r="H34" s="59" t="s">
        <v>140</v>
      </c>
      <c r="I34" s="56"/>
      <c r="J34" s="62" t="s">
        <v>39</v>
      </c>
      <c r="K34" s="56" t="s">
        <v>135</v>
      </c>
      <c r="L34" s="56" t="s">
        <v>136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9.5" customHeight="1" outlineLevel="2">
      <c r="A35" s="57" t="s">
        <v>152</v>
      </c>
      <c r="B35" s="57" t="s">
        <v>153</v>
      </c>
      <c r="C35" s="55" t="s">
        <v>75</v>
      </c>
      <c r="D35" s="19" t="s">
        <v>14</v>
      </c>
      <c r="E35" s="51" t="s">
        <v>69</v>
      </c>
      <c r="F35" s="58" t="s">
        <v>70</v>
      </c>
      <c r="G35" s="58" t="s">
        <v>149</v>
      </c>
      <c r="H35" s="60" t="s">
        <v>140</v>
      </c>
      <c r="I35" s="58"/>
      <c r="J35" s="61" t="s">
        <v>39</v>
      </c>
      <c r="K35" s="58" t="s">
        <v>135</v>
      </c>
      <c r="L35" s="58" t="s">
        <v>136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9.5" customHeight="1" outlineLevel="2">
      <c r="A36" s="54" t="s">
        <v>154</v>
      </c>
      <c r="B36" s="54" t="s">
        <v>155</v>
      </c>
      <c r="C36" s="55" t="s">
        <v>75</v>
      </c>
      <c r="D36" s="24" t="s">
        <v>44</v>
      </c>
      <c r="E36" s="51" t="s">
        <v>69</v>
      </c>
      <c r="F36" s="62" t="s">
        <v>156</v>
      </c>
      <c r="G36" s="56" t="s">
        <v>157</v>
      </c>
      <c r="H36" s="59" t="s">
        <v>158</v>
      </c>
      <c r="I36" s="56"/>
      <c r="J36" s="56" t="s">
        <v>42</v>
      </c>
      <c r="K36" s="56" t="s">
        <v>135</v>
      </c>
      <c r="L36" s="56" t="s">
        <v>136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9.5" customHeight="1" outlineLevel="2">
      <c r="A37" s="57" t="s">
        <v>159</v>
      </c>
      <c r="B37" s="57" t="s">
        <v>160</v>
      </c>
      <c r="C37" s="55" t="s">
        <v>75</v>
      </c>
      <c r="D37" s="24" t="s">
        <v>44</v>
      </c>
      <c r="E37" s="51" t="s">
        <v>69</v>
      </c>
      <c r="F37" s="58" t="s">
        <v>87</v>
      </c>
      <c r="G37" s="58" t="s">
        <v>149</v>
      </c>
      <c r="H37" s="60" t="s">
        <v>161</v>
      </c>
      <c r="I37" s="58"/>
      <c r="J37" s="61" t="s">
        <v>41</v>
      </c>
      <c r="K37" s="58" t="s">
        <v>135</v>
      </c>
      <c r="L37" s="58" t="s">
        <v>136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9.5" customHeight="1" outlineLevel="2">
      <c r="A38" s="54" t="s">
        <v>162</v>
      </c>
      <c r="B38" s="54" t="s">
        <v>163</v>
      </c>
      <c r="C38" s="55" t="s">
        <v>75</v>
      </c>
      <c r="D38" s="24" t="s">
        <v>44</v>
      </c>
      <c r="E38" s="51" t="s">
        <v>69</v>
      </c>
      <c r="F38" s="56" t="s">
        <v>139</v>
      </c>
      <c r="G38" s="56" t="s">
        <v>76</v>
      </c>
      <c r="H38" s="59" t="s">
        <v>65</v>
      </c>
      <c r="I38" s="56"/>
      <c r="J38" s="56" t="s">
        <v>42</v>
      </c>
      <c r="K38" s="56" t="s">
        <v>135</v>
      </c>
      <c r="L38" s="56" t="s">
        <v>136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9.5" customHeight="1" outlineLevel="2">
      <c r="A39" s="57" t="s">
        <v>164</v>
      </c>
      <c r="B39" s="57" t="s">
        <v>165</v>
      </c>
      <c r="C39" s="55" t="s">
        <v>75</v>
      </c>
      <c r="D39" s="63" t="s">
        <v>44</v>
      </c>
      <c r="E39" s="51" t="s">
        <v>69</v>
      </c>
      <c r="F39" s="61" t="s">
        <v>70</v>
      </c>
      <c r="G39" s="58" t="s">
        <v>166</v>
      </c>
      <c r="H39" s="60" t="s">
        <v>158</v>
      </c>
      <c r="I39" s="58"/>
      <c r="J39" s="58" t="s">
        <v>42</v>
      </c>
      <c r="K39" s="58" t="s">
        <v>135</v>
      </c>
      <c r="L39" s="58" t="s">
        <v>136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C240" s="65"/>
      <c r="D240" s="65"/>
      <c r="E240" s="65"/>
      <c r="F240" s="65"/>
      <c r="H240" s="65"/>
      <c r="J240" s="65"/>
      <c r="K240" s="65"/>
      <c r="L240" s="65"/>
    </row>
    <row r="241" ht="15.75" customHeight="1">
      <c r="C241" s="65"/>
      <c r="D241" s="65"/>
      <c r="E241" s="65"/>
      <c r="F241" s="65"/>
      <c r="H241" s="65"/>
      <c r="J241" s="65"/>
      <c r="K241" s="65"/>
      <c r="L241" s="65"/>
    </row>
    <row r="242" ht="15.75" customHeight="1">
      <c r="C242" s="65"/>
      <c r="D242" s="65"/>
      <c r="E242" s="65"/>
      <c r="F242" s="65"/>
      <c r="H242" s="65"/>
      <c r="J242" s="65"/>
      <c r="K242" s="65"/>
      <c r="L242" s="65"/>
    </row>
    <row r="243" ht="15.75" customHeight="1">
      <c r="C243" s="65"/>
      <c r="D243" s="65"/>
      <c r="E243" s="65"/>
      <c r="F243" s="65"/>
      <c r="H243" s="65"/>
      <c r="J243" s="65"/>
      <c r="K243" s="65"/>
      <c r="L243" s="65"/>
    </row>
    <row r="244" ht="15.75" customHeight="1">
      <c r="C244" s="65"/>
      <c r="D244" s="65"/>
      <c r="E244" s="65"/>
      <c r="F244" s="65"/>
      <c r="H244" s="65"/>
      <c r="J244" s="65"/>
      <c r="K244" s="65"/>
      <c r="L244" s="65"/>
    </row>
    <row r="245" ht="15.75" customHeight="1">
      <c r="C245" s="65"/>
      <c r="D245" s="65"/>
      <c r="E245" s="65"/>
      <c r="F245" s="65"/>
      <c r="H245" s="65"/>
      <c r="J245" s="65"/>
      <c r="K245" s="65"/>
      <c r="L245" s="65"/>
    </row>
    <row r="246" ht="15.75" customHeight="1">
      <c r="C246" s="65"/>
      <c r="D246" s="65"/>
      <c r="E246" s="65"/>
      <c r="F246" s="65"/>
      <c r="H246" s="65"/>
      <c r="J246" s="65"/>
      <c r="K246" s="65"/>
      <c r="L246" s="65"/>
    </row>
    <row r="247" ht="15.75" customHeight="1">
      <c r="C247" s="65"/>
      <c r="D247" s="65"/>
      <c r="E247" s="65"/>
      <c r="F247" s="65"/>
      <c r="H247" s="65"/>
      <c r="J247" s="65"/>
      <c r="K247" s="65"/>
      <c r="L247" s="65"/>
    </row>
    <row r="248" ht="15.75" customHeight="1">
      <c r="C248" s="65"/>
      <c r="D248" s="65"/>
      <c r="E248" s="65"/>
      <c r="F248" s="65"/>
      <c r="H248" s="65"/>
      <c r="J248" s="65"/>
      <c r="K248" s="65"/>
      <c r="L248" s="65"/>
    </row>
    <row r="249" ht="15.75" customHeight="1">
      <c r="C249" s="65"/>
      <c r="D249" s="65"/>
      <c r="E249" s="65"/>
      <c r="F249" s="65"/>
      <c r="H249" s="65"/>
      <c r="J249" s="65"/>
      <c r="K249" s="65"/>
      <c r="L249" s="65"/>
    </row>
    <row r="250" ht="15.75" customHeight="1">
      <c r="C250" s="65"/>
      <c r="D250" s="65"/>
      <c r="E250" s="65"/>
      <c r="F250" s="65"/>
      <c r="H250" s="65"/>
      <c r="J250" s="65"/>
      <c r="K250" s="65"/>
      <c r="L250" s="65"/>
    </row>
    <row r="251" ht="15.75" customHeight="1">
      <c r="C251" s="65"/>
      <c r="D251" s="65"/>
      <c r="E251" s="65"/>
      <c r="F251" s="65"/>
      <c r="H251" s="65"/>
      <c r="J251" s="65"/>
      <c r="K251" s="65"/>
      <c r="L251" s="65"/>
    </row>
    <row r="252" ht="15.75" customHeight="1">
      <c r="C252" s="65"/>
      <c r="D252" s="65"/>
      <c r="E252" s="65"/>
      <c r="F252" s="65"/>
      <c r="H252" s="65"/>
      <c r="J252" s="65"/>
      <c r="K252" s="65"/>
      <c r="L252" s="65"/>
    </row>
    <row r="253" ht="15.75" customHeight="1">
      <c r="C253" s="65"/>
      <c r="D253" s="65"/>
      <c r="E253" s="65"/>
      <c r="F253" s="65"/>
      <c r="H253" s="65"/>
      <c r="J253" s="65"/>
      <c r="K253" s="65"/>
      <c r="L253" s="65"/>
    </row>
    <row r="254" ht="15.75" customHeight="1">
      <c r="C254" s="65"/>
      <c r="D254" s="65"/>
      <c r="E254" s="65"/>
      <c r="F254" s="65"/>
      <c r="H254" s="65"/>
      <c r="J254" s="65"/>
      <c r="K254" s="65"/>
      <c r="L254" s="65"/>
    </row>
    <row r="255" ht="15.75" customHeight="1">
      <c r="C255" s="65"/>
      <c r="D255" s="65"/>
      <c r="E255" s="65"/>
      <c r="F255" s="65"/>
      <c r="H255" s="65"/>
      <c r="J255" s="65"/>
      <c r="K255" s="65"/>
      <c r="L255" s="65"/>
    </row>
    <row r="256" ht="15.75" customHeight="1">
      <c r="C256" s="65"/>
      <c r="D256" s="65"/>
      <c r="E256" s="65"/>
      <c r="F256" s="65"/>
      <c r="H256" s="65"/>
      <c r="J256" s="65"/>
      <c r="K256" s="65"/>
      <c r="L256" s="65"/>
    </row>
    <row r="257" ht="15.75" customHeight="1">
      <c r="C257" s="65"/>
      <c r="D257" s="65"/>
      <c r="E257" s="65"/>
      <c r="F257" s="65"/>
      <c r="H257" s="65"/>
      <c r="J257" s="65"/>
      <c r="K257" s="65"/>
      <c r="L257" s="65"/>
    </row>
    <row r="258" ht="15.75" customHeight="1">
      <c r="C258" s="65"/>
      <c r="D258" s="65"/>
      <c r="E258" s="65"/>
      <c r="F258" s="65"/>
      <c r="H258" s="65"/>
      <c r="J258" s="65"/>
      <c r="K258" s="65"/>
      <c r="L258" s="65"/>
    </row>
    <row r="259" ht="15.75" customHeight="1">
      <c r="C259" s="65"/>
      <c r="D259" s="65"/>
      <c r="E259" s="65"/>
      <c r="F259" s="65"/>
      <c r="H259" s="65"/>
      <c r="J259" s="65"/>
      <c r="K259" s="65"/>
      <c r="L259" s="65"/>
    </row>
    <row r="260" ht="15.75" customHeight="1">
      <c r="C260" s="65"/>
      <c r="D260" s="65"/>
      <c r="E260" s="65"/>
      <c r="F260" s="65"/>
      <c r="H260" s="65"/>
      <c r="J260" s="65"/>
      <c r="K260" s="65"/>
      <c r="L260" s="65"/>
    </row>
    <row r="261" ht="15.75" customHeight="1">
      <c r="C261" s="65"/>
      <c r="D261" s="65"/>
      <c r="E261" s="65"/>
      <c r="F261" s="65"/>
      <c r="H261" s="65"/>
      <c r="J261" s="65"/>
      <c r="K261" s="65"/>
      <c r="L261" s="65"/>
    </row>
    <row r="262" ht="15.75" customHeight="1">
      <c r="C262" s="65"/>
      <c r="D262" s="65"/>
      <c r="E262" s="65"/>
      <c r="F262" s="65"/>
      <c r="H262" s="65"/>
      <c r="J262" s="65"/>
      <c r="K262" s="65"/>
      <c r="L262" s="65"/>
    </row>
    <row r="263" ht="15.75" customHeight="1">
      <c r="C263" s="65"/>
      <c r="D263" s="65"/>
      <c r="E263" s="65"/>
      <c r="F263" s="65"/>
      <c r="H263" s="65"/>
      <c r="J263" s="65"/>
      <c r="K263" s="65"/>
      <c r="L263" s="65"/>
    </row>
    <row r="264" ht="15.75" customHeight="1">
      <c r="C264" s="65"/>
      <c r="D264" s="65"/>
      <c r="E264" s="65"/>
      <c r="F264" s="65"/>
      <c r="H264" s="65"/>
      <c r="J264" s="65"/>
      <c r="K264" s="65"/>
      <c r="L264" s="65"/>
    </row>
    <row r="265" ht="15.75" customHeight="1">
      <c r="C265" s="65"/>
      <c r="D265" s="65"/>
      <c r="E265" s="65"/>
      <c r="F265" s="65"/>
      <c r="H265" s="65"/>
      <c r="J265" s="65"/>
      <c r="K265" s="65"/>
      <c r="L265" s="65"/>
    </row>
    <row r="266" ht="15.75" customHeight="1">
      <c r="C266" s="65"/>
      <c r="D266" s="65"/>
      <c r="E266" s="65"/>
      <c r="F266" s="65"/>
      <c r="H266" s="65"/>
      <c r="J266" s="65"/>
      <c r="K266" s="65"/>
      <c r="L266" s="65"/>
    </row>
    <row r="267" ht="15.75" customHeight="1">
      <c r="C267" s="65"/>
      <c r="D267" s="65"/>
      <c r="E267" s="65"/>
      <c r="F267" s="65"/>
      <c r="H267" s="65"/>
      <c r="J267" s="65"/>
      <c r="K267" s="65"/>
      <c r="L267" s="65"/>
    </row>
    <row r="268" ht="15.75" customHeight="1">
      <c r="C268" s="65"/>
      <c r="D268" s="65"/>
      <c r="E268" s="65"/>
      <c r="F268" s="65"/>
      <c r="H268" s="65"/>
      <c r="J268" s="65"/>
      <c r="K268" s="65"/>
      <c r="L268" s="65"/>
    </row>
    <row r="269" ht="15.75" customHeight="1">
      <c r="C269" s="65"/>
      <c r="D269" s="65"/>
      <c r="E269" s="65"/>
      <c r="F269" s="65"/>
      <c r="H269" s="65"/>
      <c r="J269" s="65"/>
      <c r="K269" s="65"/>
      <c r="L269" s="65"/>
    </row>
    <row r="270" ht="15.75" customHeight="1">
      <c r="C270" s="65"/>
      <c r="D270" s="65"/>
      <c r="E270" s="65"/>
      <c r="F270" s="65"/>
      <c r="H270" s="65"/>
      <c r="J270" s="65"/>
      <c r="K270" s="65"/>
      <c r="L270" s="65"/>
    </row>
    <row r="271" ht="15.75" customHeight="1">
      <c r="C271" s="65"/>
      <c r="D271" s="65"/>
      <c r="E271" s="65"/>
      <c r="F271" s="65"/>
      <c r="H271" s="65"/>
      <c r="J271" s="65"/>
      <c r="K271" s="65"/>
      <c r="L271" s="65"/>
    </row>
    <row r="272" ht="15.75" customHeight="1">
      <c r="C272" s="65"/>
      <c r="D272" s="65"/>
      <c r="E272" s="65"/>
      <c r="F272" s="65"/>
      <c r="H272" s="65"/>
      <c r="J272" s="65"/>
      <c r="K272" s="65"/>
      <c r="L272" s="65"/>
    </row>
    <row r="273" ht="15.75" customHeight="1">
      <c r="C273" s="65"/>
      <c r="D273" s="65"/>
      <c r="E273" s="65"/>
      <c r="F273" s="65"/>
      <c r="H273" s="65"/>
      <c r="J273" s="65"/>
      <c r="K273" s="65"/>
      <c r="L273" s="65"/>
    </row>
    <row r="274" ht="15.75" customHeight="1">
      <c r="C274" s="65"/>
      <c r="D274" s="65"/>
      <c r="E274" s="65"/>
      <c r="F274" s="65"/>
      <c r="H274" s="65"/>
      <c r="J274" s="65"/>
      <c r="K274" s="65"/>
      <c r="L274" s="65"/>
    </row>
    <row r="275" ht="15.75" customHeight="1">
      <c r="C275" s="65"/>
      <c r="D275" s="65"/>
      <c r="E275" s="65"/>
      <c r="F275" s="65"/>
      <c r="H275" s="65"/>
      <c r="J275" s="65"/>
      <c r="K275" s="65"/>
      <c r="L275" s="65"/>
    </row>
    <row r="276" ht="15.75" customHeight="1">
      <c r="C276" s="65"/>
      <c r="D276" s="65"/>
      <c r="E276" s="65"/>
      <c r="F276" s="65"/>
      <c r="H276" s="65"/>
      <c r="J276" s="65"/>
      <c r="K276" s="65"/>
      <c r="L276" s="65"/>
    </row>
    <row r="277" ht="15.75" customHeight="1">
      <c r="C277" s="65"/>
      <c r="D277" s="65"/>
      <c r="E277" s="65"/>
      <c r="F277" s="65"/>
      <c r="H277" s="65"/>
      <c r="J277" s="65"/>
      <c r="K277" s="65"/>
      <c r="L277" s="65"/>
    </row>
    <row r="278" ht="15.75" customHeight="1">
      <c r="C278" s="65"/>
      <c r="D278" s="65"/>
      <c r="E278" s="65"/>
      <c r="F278" s="65"/>
      <c r="H278" s="65"/>
      <c r="J278" s="65"/>
      <c r="K278" s="65"/>
      <c r="L278" s="65"/>
    </row>
    <row r="279" ht="15.75" customHeight="1">
      <c r="C279" s="65"/>
      <c r="D279" s="65"/>
      <c r="E279" s="65"/>
      <c r="F279" s="65"/>
      <c r="H279" s="65"/>
      <c r="J279" s="65"/>
      <c r="K279" s="65"/>
      <c r="L279" s="65"/>
    </row>
    <row r="280" ht="15.75" customHeight="1">
      <c r="C280" s="65"/>
      <c r="D280" s="65"/>
      <c r="E280" s="65"/>
      <c r="F280" s="65"/>
      <c r="H280" s="65"/>
      <c r="J280" s="65"/>
      <c r="K280" s="65"/>
      <c r="L280" s="65"/>
    </row>
    <row r="281" ht="15.75" customHeight="1">
      <c r="C281" s="65"/>
      <c r="D281" s="65"/>
      <c r="E281" s="65"/>
      <c r="F281" s="65"/>
      <c r="H281" s="65"/>
      <c r="J281" s="65"/>
      <c r="K281" s="65"/>
      <c r="L281" s="65"/>
    </row>
    <row r="282" ht="15.75" customHeight="1">
      <c r="C282" s="65"/>
      <c r="D282" s="65"/>
      <c r="E282" s="65"/>
      <c r="F282" s="65"/>
      <c r="H282" s="65"/>
      <c r="J282" s="65"/>
      <c r="K282" s="65"/>
      <c r="L282" s="65"/>
    </row>
    <row r="283" ht="15.75" customHeight="1">
      <c r="C283" s="65"/>
      <c r="D283" s="65"/>
      <c r="E283" s="65"/>
      <c r="F283" s="65"/>
      <c r="H283" s="65"/>
      <c r="J283" s="65"/>
      <c r="K283" s="65"/>
      <c r="L283" s="65"/>
    </row>
    <row r="284" ht="15.75" customHeight="1">
      <c r="C284" s="65"/>
      <c r="D284" s="65"/>
      <c r="E284" s="65"/>
      <c r="F284" s="65"/>
      <c r="H284" s="65"/>
      <c r="J284" s="65"/>
      <c r="K284" s="65"/>
      <c r="L284" s="65"/>
    </row>
    <row r="285" ht="15.75" customHeight="1">
      <c r="C285" s="65"/>
      <c r="D285" s="65"/>
      <c r="E285" s="65"/>
      <c r="F285" s="65"/>
      <c r="H285" s="65"/>
      <c r="J285" s="65"/>
      <c r="K285" s="65"/>
      <c r="L285" s="65"/>
    </row>
    <row r="286" ht="15.75" customHeight="1">
      <c r="C286" s="65"/>
      <c r="D286" s="65"/>
      <c r="E286" s="65"/>
      <c r="F286" s="65"/>
      <c r="H286" s="65"/>
      <c r="J286" s="65"/>
      <c r="K286" s="65"/>
      <c r="L286" s="65"/>
    </row>
    <row r="287" ht="15.75" customHeight="1">
      <c r="C287" s="65"/>
      <c r="D287" s="65"/>
      <c r="E287" s="65"/>
      <c r="F287" s="65"/>
      <c r="H287" s="65"/>
      <c r="J287" s="65"/>
      <c r="K287" s="65"/>
      <c r="L287" s="65"/>
    </row>
    <row r="288" ht="15.75" customHeight="1">
      <c r="C288" s="65"/>
      <c r="D288" s="65"/>
      <c r="E288" s="65"/>
      <c r="F288" s="65"/>
      <c r="H288" s="65"/>
      <c r="J288" s="65"/>
      <c r="K288" s="65"/>
      <c r="L288" s="65"/>
    </row>
    <row r="289" ht="15.75" customHeight="1">
      <c r="C289" s="65"/>
      <c r="D289" s="65"/>
      <c r="E289" s="65"/>
      <c r="F289" s="65"/>
      <c r="H289" s="65"/>
      <c r="J289" s="65"/>
      <c r="K289" s="65"/>
      <c r="L289" s="65"/>
    </row>
    <row r="290" ht="15.75" customHeight="1">
      <c r="C290" s="65"/>
      <c r="D290" s="65"/>
      <c r="E290" s="65"/>
      <c r="F290" s="65"/>
      <c r="H290" s="65"/>
      <c r="J290" s="65"/>
      <c r="K290" s="65"/>
      <c r="L290" s="65"/>
    </row>
    <row r="291" ht="15.75" customHeight="1">
      <c r="C291" s="65"/>
      <c r="D291" s="65"/>
      <c r="E291" s="65"/>
      <c r="F291" s="65"/>
      <c r="H291" s="65"/>
      <c r="J291" s="65"/>
      <c r="K291" s="65"/>
      <c r="L291" s="65"/>
    </row>
    <row r="292" ht="15.75" customHeight="1">
      <c r="C292" s="65"/>
      <c r="D292" s="65"/>
      <c r="E292" s="65"/>
      <c r="F292" s="65"/>
      <c r="H292" s="65"/>
      <c r="J292" s="65"/>
      <c r="K292" s="65"/>
      <c r="L292" s="65"/>
    </row>
    <row r="293" ht="15.75" customHeight="1">
      <c r="C293" s="65"/>
      <c r="D293" s="65"/>
      <c r="E293" s="65"/>
      <c r="F293" s="65"/>
      <c r="H293" s="65"/>
      <c r="J293" s="65"/>
      <c r="K293" s="65"/>
      <c r="L293" s="65"/>
    </row>
    <row r="294" ht="15.75" customHeight="1">
      <c r="C294" s="65"/>
      <c r="D294" s="65"/>
      <c r="E294" s="65"/>
      <c r="F294" s="65"/>
      <c r="H294" s="65"/>
      <c r="J294" s="65"/>
      <c r="K294" s="65"/>
      <c r="L294" s="65"/>
    </row>
    <row r="295" ht="15.75" customHeight="1">
      <c r="C295" s="65"/>
      <c r="D295" s="65"/>
      <c r="E295" s="65"/>
      <c r="F295" s="65"/>
      <c r="H295" s="65"/>
      <c r="J295" s="65"/>
      <c r="K295" s="65"/>
      <c r="L295" s="65"/>
    </row>
    <row r="296" ht="15.75" customHeight="1">
      <c r="C296" s="65"/>
      <c r="D296" s="65"/>
      <c r="E296" s="65"/>
      <c r="F296" s="65"/>
      <c r="H296" s="65"/>
      <c r="J296" s="65"/>
      <c r="K296" s="65"/>
      <c r="L296" s="65"/>
    </row>
    <row r="297" ht="15.75" customHeight="1">
      <c r="C297" s="65"/>
      <c r="D297" s="65"/>
      <c r="E297" s="65"/>
      <c r="F297" s="65"/>
      <c r="H297" s="65"/>
      <c r="J297" s="65"/>
      <c r="K297" s="65"/>
      <c r="L297" s="65"/>
    </row>
    <row r="298" ht="15.75" customHeight="1">
      <c r="C298" s="65"/>
      <c r="D298" s="65"/>
      <c r="E298" s="65"/>
      <c r="F298" s="65"/>
      <c r="H298" s="65"/>
      <c r="J298" s="65"/>
      <c r="K298" s="65"/>
      <c r="L298" s="65"/>
    </row>
    <row r="299" ht="15.75" customHeight="1">
      <c r="C299" s="65"/>
      <c r="D299" s="65"/>
      <c r="E299" s="65"/>
      <c r="F299" s="65"/>
      <c r="H299" s="65"/>
      <c r="J299" s="65"/>
      <c r="K299" s="65"/>
      <c r="L299" s="65"/>
    </row>
    <row r="300" ht="15.75" customHeight="1">
      <c r="C300" s="65"/>
      <c r="D300" s="65"/>
      <c r="E300" s="65"/>
      <c r="F300" s="65"/>
      <c r="H300" s="65"/>
      <c r="J300" s="65"/>
      <c r="K300" s="65"/>
      <c r="L300" s="65"/>
    </row>
    <row r="301" ht="15.75" customHeight="1">
      <c r="C301" s="65"/>
      <c r="D301" s="65"/>
      <c r="E301" s="65"/>
      <c r="F301" s="65"/>
      <c r="H301" s="65"/>
      <c r="J301" s="65"/>
      <c r="K301" s="65"/>
      <c r="L301" s="65"/>
    </row>
    <row r="302" ht="15.75" customHeight="1">
      <c r="C302" s="65"/>
      <c r="D302" s="65"/>
      <c r="E302" s="65"/>
      <c r="F302" s="65"/>
      <c r="H302" s="65"/>
      <c r="J302" s="65"/>
      <c r="K302" s="65"/>
      <c r="L302" s="65"/>
    </row>
    <row r="303" ht="15.75" customHeight="1">
      <c r="C303" s="65"/>
      <c r="D303" s="65"/>
      <c r="E303" s="65"/>
      <c r="F303" s="65"/>
      <c r="H303" s="65"/>
      <c r="J303" s="65"/>
      <c r="K303" s="65"/>
      <c r="L303" s="65"/>
    </row>
    <row r="304" ht="15.75" customHeight="1">
      <c r="C304" s="65"/>
      <c r="D304" s="65"/>
      <c r="E304" s="65"/>
      <c r="F304" s="65"/>
      <c r="H304" s="65"/>
      <c r="J304" s="65"/>
      <c r="K304" s="65"/>
      <c r="L304" s="65"/>
    </row>
    <row r="305" ht="15.75" customHeight="1">
      <c r="C305" s="65"/>
      <c r="D305" s="65"/>
      <c r="E305" s="65"/>
      <c r="F305" s="65"/>
      <c r="H305" s="65"/>
      <c r="J305" s="65"/>
      <c r="K305" s="65"/>
      <c r="L305" s="65"/>
    </row>
    <row r="306" ht="15.75" customHeight="1">
      <c r="C306" s="65"/>
      <c r="D306" s="65"/>
      <c r="E306" s="65"/>
      <c r="F306" s="65"/>
      <c r="H306" s="65"/>
      <c r="J306" s="65"/>
      <c r="K306" s="65"/>
      <c r="L306" s="65"/>
    </row>
    <row r="307" ht="15.75" customHeight="1">
      <c r="C307" s="65"/>
      <c r="D307" s="65"/>
      <c r="E307" s="65"/>
      <c r="F307" s="65"/>
      <c r="H307" s="65"/>
      <c r="J307" s="65"/>
      <c r="K307" s="65"/>
      <c r="L307" s="65"/>
    </row>
    <row r="308" ht="15.75" customHeight="1">
      <c r="C308" s="65"/>
      <c r="D308" s="65"/>
      <c r="E308" s="65"/>
      <c r="F308" s="65"/>
      <c r="H308" s="65"/>
      <c r="J308" s="65"/>
      <c r="K308" s="65"/>
      <c r="L308" s="65"/>
    </row>
    <row r="309" ht="15.75" customHeight="1">
      <c r="C309" s="65"/>
      <c r="D309" s="65"/>
      <c r="E309" s="65"/>
      <c r="F309" s="65"/>
      <c r="H309" s="65"/>
      <c r="J309" s="65"/>
      <c r="K309" s="65"/>
      <c r="L309" s="65"/>
    </row>
    <row r="310" ht="15.75" customHeight="1">
      <c r="C310" s="65"/>
      <c r="D310" s="65"/>
      <c r="E310" s="65"/>
      <c r="F310" s="65"/>
      <c r="H310" s="65"/>
      <c r="J310" s="65"/>
      <c r="K310" s="65"/>
      <c r="L310" s="65"/>
    </row>
    <row r="311" ht="15.75" customHeight="1">
      <c r="C311" s="65"/>
      <c r="D311" s="65"/>
      <c r="E311" s="65"/>
      <c r="F311" s="65"/>
      <c r="H311" s="65"/>
      <c r="J311" s="65"/>
      <c r="K311" s="65"/>
      <c r="L311" s="65"/>
    </row>
    <row r="312" ht="15.75" customHeight="1">
      <c r="C312" s="65"/>
      <c r="D312" s="65"/>
      <c r="E312" s="65"/>
      <c r="F312" s="65"/>
      <c r="H312" s="65"/>
      <c r="J312" s="65"/>
      <c r="K312" s="65"/>
      <c r="L312" s="65"/>
    </row>
    <row r="313" ht="15.75" customHeight="1">
      <c r="C313" s="65"/>
      <c r="D313" s="65"/>
      <c r="E313" s="65"/>
      <c r="F313" s="65"/>
      <c r="H313" s="65"/>
      <c r="J313" s="65"/>
      <c r="K313" s="65"/>
      <c r="L313" s="65"/>
    </row>
    <row r="314" ht="15.75" customHeight="1">
      <c r="C314" s="65"/>
      <c r="D314" s="65"/>
      <c r="E314" s="65"/>
      <c r="F314" s="65"/>
      <c r="H314" s="65"/>
      <c r="J314" s="65"/>
      <c r="K314" s="65"/>
      <c r="L314" s="65"/>
    </row>
    <row r="315" ht="15.75" customHeight="1">
      <c r="C315" s="65"/>
      <c r="D315" s="65"/>
      <c r="E315" s="65"/>
      <c r="F315" s="65"/>
      <c r="H315" s="65"/>
      <c r="J315" s="65"/>
      <c r="K315" s="65"/>
      <c r="L315" s="65"/>
    </row>
    <row r="316" ht="15.75" customHeight="1">
      <c r="C316" s="65"/>
      <c r="D316" s="65"/>
      <c r="E316" s="65"/>
      <c r="F316" s="65"/>
      <c r="H316" s="65"/>
      <c r="J316" s="65"/>
      <c r="K316" s="65"/>
      <c r="L316" s="65"/>
    </row>
    <row r="317" ht="15.75" customHeight="1">
      <c r="C317" s="65"/>
      <c r="D317" s="65"/>
      <c r="E317" s="65"/>
      <c r="F317" s="65"/>
      <c r="H317" s="65"/>
      <c r="J317" s="65"/>
      <c r="K317" s="65"/>
      <c r="L317" s="65"/>
    </row>
    <row r="318" ht="15.75" customHeight="1">
      <c r="C318" s="65"/>
      <c r="D318" s="65"/>
      <c r="E318" s="65"/>
      <c r="F318" s="65"/>
      <c r="H318" s="65"/>
      <c r="J318" s="65"/>
      <c r="K318" s="65"/>
      <c r="L318" s="65"/>
    </row>
    <row r="319" ht="15.75" customHeight="1">
      <c r="C319" s="65"/>
      <c r="D319" s="65"/>
      <c r="E319" s="65"/>
      <c r="F319" s="65"/>
      <c r="H319" s="65"/>
      <c r="J319" s="65"/>
      <c r="K319" s="65"/>
      <c r="L319" s="65"/>
    </row>
    <row r="320" ht="15.75" customHeight="1">
      <c r="C320" s="65"/>
      <c r="D320" s="65"/>
      <c r="E320" s="65"/>
      <c r="F320" s="65"/>
      <c r="H320" s="65"/>
      <c r="J320" s="65"/>
      <c r="K320" s="65"/>
      <c r="L320" s="65"/>
    </row>
    <row r="321" ht="15.75" customHeight="1">
      <c r="C321" s="65"/>
      <c r="D321" s="65"/>
      <c r="E321" s="65"/>
      <c r="F321" s="65"/>
      <c r="H321" s="65"/>
      <c r="J321" s="65"/>
      <c r="K321" s="65"/>
      <c r="L321" s="65"/>
    </row>
    <row r="322" ht="15.75" customHeight="1">
      <c r="C322" s="65"/>
      <c r="D322" s="65"/>
      <c r="E322" s="65"/>
      <c r="F322" s="65"/>
      <c r="H322" s="65"/>
      <c r="J322" s="65"/>
      <c r="K322" s="65"/>
      <c r="L322" s="65"/>
    </row>
    <row r="323" ht="15.75" customHeight="1">
      <c r="C323" s="65"/>
      <c r="D323" s="65"/>
      <c r="E323" s="65"/>
      <c r="F323" s="65"/>
      <c r="H323" s="65"/>
      <c r="J323" s="65"/>
      <c r="K323" s="65"/>
      <c r="L323" s="65"/>
    </row>
    <row r="324" ht="15.75" customHeight="1">
      <c r="C324" s="65"/>
      <c r="D324" s="65"/>
      <c r="E324" s="65"/>
      <c r="F324" s="65"/>
      <c r="H324" s="65"/>
      <c r="J324" s="65"/>
      <c r="K324" s="65"/>
      <c r="L324" s="65"/>
    </row>
    <row r="325" ht="15.75" customHeight="1">
      <c r="C325" s="65"/>
      <c r="D325" s="65"/>
      <c r="E325" s="65"/>
      <c r="F325" s="65"/>
      <c r="H325" s="65"/>
      <c r="J325" s="65"/>
      <c r="K325" s="65"/>
      <c r="L325" s="65"/>
    </row>
    <row r="326" ht="15.75" customHeight="1">
      <c r="C326" s="65"/>
      <c r="D326" s="65"/>
      <c r="E326" s="65"/>
      <c r="F326" s="65"/>
      <c r="H326" s="65"/>
      <c r="J326" s="65"/>
      <c r="K326" s="65"/>
      <c r="L326" s="65"/>
    </row>
    <row r="327" ht="15.75" customHeight="1">
      <c r="C327" s="65"/>
      <c r="D327" s="65"/>
      <c r="E327" s="65"/>
      <c r="F327" s="65"/>
      <c r="H327" s="65"/>
      <c r="J327" s="65"/>
      <c r="K327" s="65"/>
      <c r="L327" s="65"/>
    </row>
    <row r="328" ht="15.75" customHeight="1">
      <c r="C328" s="65"/>
      <c r="D328" s="65"/>
      <c r="E328" s="65"/>
      <c r="F328" s="65"/>
      <c r="H328" s="65"/>
      <c r="J328" s="65"/>
      <c r="K328" s="65"/>
      <c r="L328" s="65"/>
    </row>
    <row r="329" ht="15.75" customHeight="1">
      <c r="C329" s="65"/>
      <c r="D329" s="65"/>
      <c r="E329" s="65"/>
      <c r="F329" s="65"/>
      <c r="H329" s="65"/>
      <c r="J329" s="65"/>
      <c r="K329" s="65"/>
      <c r="L329" s="65"/>
    </row>
    <row r="330" ht="15.75" customHeight="1">
      <c r="C330" s="65"/>
      <c r="D330" s="65"/>
      <c r="E330" s="65"/>
      <c r="F330" s="65"/>
      <c r="H330" s="65"/>
      <c r="J330" s="65"/>
      <c r="K330" s="65"/>
      <c r="L330" s="65"/>
    </row>
    <row r="331" ht="15.75" customHeight="1">
      <c r="C331" s="65"/>
      <c r="D331" s="65"/>
      <c r="E331" s="65"/>
      <c r="F331" s="65"/>
      <c r="H331" s="65"/>
      <c r="J331" s="65"/>
      <c r="K331" s="65"/>
      <c r="L331" s="65"/>
    </row>
    <row r="332" ht="15.75" customHeight="1">
      <c r="C332" s="65"/>
      <c r="D332" s="65"/>
      <c r="E332" s="65"/>
      <c r="F332" s="65"/>
      <c r="H332" s="65"/>
      <c r="J332" s="65"/>
      <c r="K332" s="65"/>
      <c r="L332" s="65"/>
    </row>
    <row r="333" ht="15.75" customHeight="1">
      <c r="C333" s="65"/>
      <c r="D333" s="65"/>
      <c r="E333" s="65"/>
      <c r="F333" s="65"/>
      <c r="H333" s="65"/>
      <c r="J333" s="65"/>
      <c r="K333" s="65"/>
      <c r="L333" s="65"/>
    </row>
    <row r="334" ht="15.75" customHeight="1">
      <c r="C334" s="65"/>
      <c r="D334" s="65"/>
      <c r="E334" s="65"/>
      <c r="F334" s="65"/>
      <c r="H334" s="65"/>
      <c r="J334" s="65"/>
      <c r="K334" s="65"/>
      <c r="L334" s="65"/>
    </row>
    <row r="335" ht="15.75" customHeight="1">
      <c r="C335" s="65"/>
      <c r="D335" s="65"/>
      <c r="E335" s="65"/>
      <c r="F335" s="65"/>
      <c r="H335" s="65"/>
      <c r="J335" s="65"/>
      <c r="K335" s="65"/>
      <c r="L335" s="65"/>
    </row>
    <row r="336" ht="15.75" customHeight="1">
      <c r="C336" s="65"/>
      <c r="D336" s="65"/>
      <c r="E336" s="65"/>
      <c r="F336" s="65"/>
      <c r="H336" s="65"/>
      <c r="J336" s="65"/>
      <c r="K336" s="65"/>
      <c r="L336" s="65"/>
    </row>
    <row r="337" ht="15.75" customHeight="1">
      <c r="C337" s="65"/>
      <c r="D337" s="65"/>
      <c r="E337" s="65"/>
      <c r="F337" s="65"/>
      <c r="H337" s="65"/>
      <c r="J337" s="65"/>
      <c r="K337" s="65"/>
      <c r="L337" s="65"/>
    </row>
    <row r="338" ht="15.75" customHeight="1">
      <c r="C338" s="65"/>
      <c r="D338" s="65"/>
      <c r="E338" s="65"/>
      <c r="F338" s="65"/>
      <c r="H338" s="65"/>
      <c r="J338" s="65"/>
      <c r="K338" s="65"/>
      <c r="L338" s="65"/>
    </row>
    <row r="339" ht="15.75" customHeight="1">
      <c r="C339" s="65"/>
      <c r="D339" s="65"/>
      <c r="E339" s="65"/>
      <c r="F339" s="65"/>
      <c r="H339" s="65"/>
      <c r="J339" s="65"/>
      <c r="K339" s="65"/>
      <c r="L339" s="65"/>
    </row>
    <row r="340" ht="15.75" customHeight="1">
      <c r="C340" s="65"/>
      <c r="D340" s="65"/>
      <c r="E340" s="65"/>
      <c r="F340" s="65"/>
      <c r="H340" s="65"/>
      <c r="J340" s="65"/>
      <c r="K340" s="65"/>
      <c r="L340" s="65"/>
    </row>
    <row r="341" ht="15.75" customHeight="1">
      <c r="C341" s="65"/>
      <c r="D341" s="65"/>
      <c r="E341" s="65"/>
      <c r="F341" s="65"/>
      <c r="H341" s="65"/>
      <c r="J341" s="65"/>
      <c r="K341" s="65"/>
      <c r="L341" s="65"/>
    </row>
    <row r="342" ht="15.75" customHeight="1">
      <c r="C342" s="65"/>
      <c r="D342" s="65"/>
      <c r="E342" s="65"/>
      <c r="F342" s="65"/>
      <c r="H342" s="65"/>
      <c r="J342" s="65"/>
      <c r="K342" s="65"/>
      <c r="L342" s="65"/>
    </row>
    <row r="343" ht="15.75" customHeight="1">
      <c r="C343" s="65"/>
      <c r="D343" s="65"/>
      <c r="E343" s="65"/>
      <c r="F343" s="65"/>
      <c r="H343" s="65"/>
      <c r="J343" s="65"/>
      <c r="K343" s="65"/>
      <c r="L343" s="65"/>
    </row>
    <row r="344" ht="15.75" customHeight="1">
      <c r="C344" s="65"/>
      <c r="D344" s="65"/>
      <c r="E344" s="65"/>
      <c r="F344" s="65"/>
      <c r="H344" s="65"/>
      <c r="J344" s="65"/>
      <c r="K344" s="65"/>
      <c r="L344" s="65"/>
    </row>
    <row r="345" ht="15.75" customHeight="1">
      <c r="C345" s="65"/>
      <c r="D345" s="65"/>
      <c r="E345" s="65"/>
      <c r="F345" s="65"/>
      <c r="H345" s="65"/>
      <c r="J345" s="65"/>
      <c r="K345" s="65"/>
      <c r="L345" s="65"/>
    </row>
    <row r="346" ht="15.75" customHeight="1">
      <c r="C346" s="65"/>
      <c r="D346" s="65"/>
      <c r="E346" s="65"/>
      <c r="F346" s="65"/>
      <c r="H346" s="65"/>
      <c r="J346" s="65"/>
      <c r="K346" s="65"/>
      <c r="L346" s="65"/>
    </row>
    <row r="347" ht="15.75" customHeight="1">
      <c r="C347" s="65"/>
      <c r="D347" s="65"/>
      <c r="E347" s="65"/>
      <c r="F347" s="65"/>
      <c r="H347" s="65"/>
      <c r="J347" s="65"/>
      <c r="K347" s="65"/>
      <c r="L347" s="65"/>
    </row>
    <row r="348" ht="15.75" customHeight="1">
      <c r="C348" s="65"/>
      <c r="D348" s="65"/>
      <c r="E348" s="65"/>
      <c r="F348" s="65"/>
      <c r="H348" s="65"/>
      <c r="J348" s="65"/>
      <c r="K348" s="65"/>
      <c r="L348" s="65"/>
    </row>
    <row r="349" ht="15.75" customHeight="1">
      <c r="C349" s="65"/>
      <c r="D349" s="65"/>
      <c r="E349" s="65"/>
      <c r="F349" s="65"/>
      <c r="H349" s="65"/>
      <c r="J349" s="65"/>
      <c r="K349" s="65"/>
      <c r="L349" s="65"/>
    </row>
    <row r="350" ht="15.75" customHeight="1">
      <c r="C350" s="65"/>
      <c r="D350" s="65"/>
      <c r="E350" s="65"/>
      <c r="F350" s="65"/>
      <c r="H350" s="65"/>
      <c r="J350" s="65"/>
      <c r="K350" s="65"/>
      <c r="L350" s="65"/>
    </row>
    <row r="351" ht="15.75" customHeight="1">
      <c r="C351" s="65"/>
      <c r="D351" s="65"/>
      <c r="E351" s="65"/>
      <c r="F351" s="65"/>
      <c r="H351" s="65"/>
      <c r="J351" s="65"/>
      <c r="K351" s="65"/>
      <c r="L351" s="65"/>
    </row>
    <row r="352" ht="15.75" customHeight="1">
      <c r="C352" s="65"/>
      <c r="D352" s="65"/>
      <c r="E352" s="65"/>
      <c r="F352" s="65"/>
      <c r="H352" s="65"/>
      <c r="J352" s="65"/>
      <c r="K352" s="65"/>
      <c r="L352" s="65"/>
    </row>
    <row r="353" ht="15.75" customHeight="1">
      <c r="C353" s="65"/>
      <c r="D353" s="65"/>
      <c r="E353" s="65"/>
      <c r="F353" s="65"/>
      <c r="H353" s="65"/>
      <c r="J353" s="65"/>
      <c r="K353" s="65"/>
      <c r="L353" s="65"/>
    </row>
    <row r="354" ht="15.75" customHeight="1">
      <c r="C354" s="65"/>
      <c r="D354" s="65"/>
      <c r="E354" s="65"/>
      <c r="F354" s="65"/>
      <c r="H354" s="65"/>
      <c r="J354" s="65"/>
      <c r="K354" s="65"/>
      <c r="L354" s="65"/>
    </row>
    <row r="355" ht="15.75" customHeight="1">
      <c r="C355" s="65"/>
      <c r="D355" s="65"/>
      <c r="E355" s="65"/>
      <c r="F355" s="65"/>
      <c r="H355" s="65"/>
      <c r="J355" s="65"/>
      <c r="K355" s="65"/>
      <c r="L355" s="65"/>
    </row>
    <row r="356" ht="15.75" customHeight="1">
      <c r="C356" s="65"/>
      <c r="D356" s="65"/>
      <c r="E356" s="65"/>
      <c r="F356" s="65"/>
      <c r="H356" s="65"/>
      <c r="J356" s="65"/>
      <c r="K356" s="65"/>
      <c r="L356" s="65"/>
    </row>
    <row r="357" ht="15.75" customHeight="1">
      <c r="C357" s="65"/>
      <c r="D357" s="65"/>
      <c r="E357" s="65"/>
      <c r="F357" s="65"/>
      <c r="H357" s="65"/>
      <c r="J357" s="65"/>
      <c r="K357" s="65"/>
      <c r="L357" s="65"/>
    </row>
    <row r="358" ht="15.75" customHeight="1">
      <c r="C358" s="65"/>
      <c r="D358" s="65"/>
      <c r="E358" s="65"/>
      <c r="F358" s="65"/>
      <c r="H358" s="65"/>
      <c r="J358" s="65"/>
      <c r="K358" s="65"/>
      <c r="L358" s="65"/>
    </row>
    <row r="359" ht="15.75" customHeight="1">
      <c r="C359" s="65"/>
      <c r="D359" s="65"/>
      <c r="E359" s="65"/>
      <c r="F359" s="65"/>
      <c r="H359" s="65"/>
      <c r="J359" s="65"/>
      <c r="K359" s="65"/>
      <c r="L359" s="65"/>
    </row>
    <row r="360" ht="15.75" customHeight="1">
      <c r="C360" s="65"/>
      <c r="D360" s="65"/>
      <c r="E360" s="65"/>
      <c r="F360" s="65"/>
      <c r="H360" s="65"/>
      <c r="J360" s="65"/>
      <c r="K360" s="65"/>
      <c r="L360" s="65"/>
    </row>
    <row r="361" ht="15.75" customHeight="1">
      <c r="C361" s="65"/>
      <c r="D361" s="65"/>
      <c r="E361" s="65"/>
      <c r="F361" s="65"/>
      <c r="H361" s="65"/>
      <c r="J361" s="65"/>
      <c r="K361" s="65"/>
      <c r="L361" s="65"/>
    </row>
    <row r="362" ht="15.75" customHeight="1">
      <c r="C362" s="65"/>
      <c r="D362" s="65"/>
      <c r="E362" s="65"/>
      <c r="F362" s="65"/>
      <c r="H362" s="65"/>
      <c r="J362" s="65"/>
      <c r="K362" s="65"/>
      <c r="L362" s="65"/>
    </row>
    <row r="363" ht="15.75" customHeight="1">
      <c r="C363" s="65"/>
      <c r="D363" s="65"/>
      <c r="E363" s="65"/>
      <c r="F363" s="65"/>
      <c r="H363" s="65"/>
      <c r="J363" s="65"/>
      <c r="K363" s="65"/>
      <c r="L363" s="65"/>
    </row>
    <row r="364" ht="15.75" customHeight="1">
      <c r="C364" s="65"/>
      <c r="D364" s="65"/>
      <c r="E364" s="65"/>
      <c r="F364" s="65"/>
      <c r="H364" s="65"/>
      <c r="J364" s="65"/>
      <c r="K364" s="65"/>
      <c r="L364" s="65"/>
    </row>
    <row r="365" ht="15.75" customHeight="1">
      <c r="C365" s="65"/>
      <c r="D365" s="65"/>
      <c r="E365" s="65"/>
      <c r="F365" s="65"/>
      <c r="H365" s="65"/>
      <c r="J365" s="65"/>
      <c r="K365" s="65"/>
      <c r="L365" s="65"/>
    </row>
    <row r="366" ht="15.75" customHeight="1">
      <c r="C366" s="65"/>
      <c r="D366" s="65"/>
      <c r="E366" s="65"/>
      <c r="F366" s="65"/>
      <c r="H366" s="65"/>
      <c r="J366" s="65"/>
      <c r="K366" s="65"/>
      <c r="L366" s="65"/>
    </row>
    <row r="367" ht="15.75" customHeight="1">
      <c r="C367" s="65"/>
      <c r="D367" s="65"/>
      <c r="E367" s="65"/>
      <c r="F367" s="65"/>
      <c r="H367" s="65"/>
      <c r="J367" s="65"/>
      <c r="K367" s="65"/>
      <c r="L367" s="65"/>
    </row>
    <row r="368" ht="15.75" customHeight="1">
      <c r="C368" s="65"/>
      <c r="D368" s="65"/>
      <c r="E368" s="65"/>
      <c r="F368" s="65"/>
      <c r="H368" s="65"/>
      <c r="J368" s="65"/>
      <c r="K368" s="65"/>
      <c r="L368" s="65"/>
    </row>
    <row r="369" ht="15.75" customHeight="1">
      <c r="C369" s="65"/>
      <c r="D369" s="65"/>
      <c r="E369" s="65"/>
      <c r="F369" s="65"/>
      <c r="H369" s="65"/>
      <c r="J369" s="65"/>
      <c r="K369" s="65"/>
      <c r="L369" s="65"/>
    </row>
    <row r="370" ht="15.75" customHeight="1">
      <c r="C370" s="65"/>
      <c r="D370" s="65"/>
      <c r="E370" s="65"/>
      <c r="F370" s="65"/>
      <c r="H370" s="65"/>
      <c r="J370" s="65"/>
      <c r="K370" s="65"/>
      <c r="L370" s="65"/>
    </row>
    <row r="371" ht="15.75" customHeight="1">
      <c r="C371" s="65"/>
      <c r="D371" s="65"/>
      <c r="E371" s="65"/>
      <c r="F371" s="65"/>
      <c r="H371" s="65"/>
      <c r="J371" s="65"/>
      <c r="K371" s="65"/>
      <c r="L371" s="65"/>
    </row>
    <row r="372" ht="15.75" customHeight="1">
      <c r="C372" s="65"/>
      <c r="D372" s="65"/>
      <c r="E372" s="65"/>
      <c r="F372" s="65"/>
      <c r="H372" s="65"/>
      <c r="J372" s="65"/>
      <c r="K372" s="65"/>
      <c r="L372" s="65"/>
    </row>
    <row r="373" ht="15.75" customHeight="1">
      <c r="C373" s="65"/>
      <c r="D373" s="65"/>
      <c r="E373" s="65"/>
      <c r="F373" s="65"/>
      <c r="H373" s="65"/>
      <c r="J373" s="65"/>
      <c r="K373" s="65"/>
      <c r="L373" s="65"/>
    </row>
    <row r="374" ht="15.75" customHeight="1">
      <c r="C374" s="65"/>
      <c r="D374" s="65"/>
      <c r="E374" s="65"/>
      <c r="F374" s="65"/>
      <c r="H374" s="65"/>
      <c r="J374" s="65"/>
      <c r="K374" s="65"/>
      <c r="L374" s="65"/>
    </row>
    <row r="375" ht="15.75" customHeight="1">
      <c r="C375" s="65"/>
      <c r="D375" s="65"/>
      <c r="E375" s="65"/>
      <c r="F375" s="65"/>
      <c r="H375" s="65"/>
      <c r="J375" s="65"/>
      <c r="K375" s="65"/>
      <c r="L375" s="65"/>
    </row>
    <row r="376" ht="15.75" customHeight="1">
      <c r="C376" s="65"/>
      <c r="D376" s="65"/>
      <c r="E376" s="65"/>
      <c r="F376" s="65"/>
      <c r="H376" s="65"/>
      <c r="J376" s="65"/>
      <c r="K376" s="65"/>
      <c r="L376" s="65"/>
    </row>
    <row r="377" ht="15.75" customHeight="1">
      <c r="C377" s="65"/>
      <c r="D377" s="65"/>
      <c r="E377" s="65"/>
      <c r="F377" s="65"/>
      <c r="H377" s="65"/>
      <c r="J377" s="65"/>
      <c r="K377" s="65"/>
      <c r="L377" s="65"/>
    </row>
    <row r="378" ht="15.75" customHeight="1">
      <c r="C378" s="65"/>
      <c r="D378" s="65"/>
      <c r="E378" s="65"/>
      <c r="F378" s="65"/>
      <c r="H378" s="65"/>
      <c r="J378" s="65"/>
      <c r="K378" s="65"/>
      <c r="L378" s="65"/>
    </row>
    <row r="379" ht="15.75" customHeight="1">
      <c r="C379" s="65"/>
      <c r="D379" s="65"/>
      <c r="E379" s="65"/>
      <c r="F379" s="65"/>
      <c r="H379" s="65"/>
      <c r="J379" s="65"/>
      <c r="K379" s="65"/>
      <c r="L379" s="65"/>
    </row>
    <row r="380" ht="15.75" customHeight="1">
      <c r="C380" s="65"/>
      <c r="D380" s="65"/>
      <c r="E380" s="65"/>
      <c r="F380" s="65"/>
      <c r="H380" s="65"/>
      <c r="J380" s="65"/>
      <c r="K380" s="65"/>
      <c r="L380" s="65"/>
    </row>
    <row r="381" ht="15.75" customHeight="1">
      <c r="C381" s="65"/>
      <c r="D381" s="65"/>
      <c r="E381" s="65"/>
      <c r="F381" s="65"/>
      <c r="H381" s="65"/>
      <c r="J381" s="65"/>
      <c r="K381" s="65"/>
      <c r="L381" s="65"/>
    </row>
    <row r="382" ht="15.75" customHeight="1">
      <c r="C382" s="65"/>
      <c r="D382" s="65"/>
      <c r="E382" s="65"/>
      <c r="F382" s="65"/>
      <c r="H382" s="65"/>
      <c r="J382" s="65"/>
      <c r="K382" s="65"/>
      <c r="L382" s="65"/>
    </row>
    <row r="383" ht="15.75" customHeight="1">
      <c r="C383" s="65"/>
      <c r="D383" s="65"/>
      <c r="E383" s="65"/>
      <c r="F383" s="65"/>
      <c r="H383" s="65"/>
      <c r="J383" s="65"/>
      <c r="K383" s="65"/>
      <c r="L383" s="65"/>
    </row>
    <row r="384" ht="15.75" customHeight="1">
      <c r="C384" s="65"/>
      <c r="D384" s="65"/>
      <c r="E384" s="65"/>
      <c r="F384" s="65"/>
      <c r="H384" s="65"/>
      <c r="J384" s="65"/>
      <c r="K384" s="65"/>
      <c r="L384" s="65"/>
    </row>
    <row r="385" ht="15.75" customHeight="1">
      <c r="C385" s="65"/>
      <c r="D385" s="65"/>
      <c r="E385" s="65"/>
      <c r="F385" s="65"/>
      <c r="H385" s="65"/>
      <c r="J385" s="65"/>
      <c r="K385" s="65"/>
      <c r="L385" s="65"/>
    </row>
    <row r="386" ht="15.75" customHeight="1">
      <c r="C386" s="65"/>
      <c r="D386" s="65"/>
      <c r="E386" s="65"/>
      <c r="F386" s="65"/>
      <c r="H386" s="65"/>
      <c r="J386" s="65"/>
      <c r="K386" s="65"/>
      <c r="L386" s="65"/>
    </row>
    <row r="387" ht="15.75" customHeight="1">
      <c r="C387" s="65"/>
      <c r="D387" s="65"/>
      <c r="E387" s="65"/>
      <c r="F387" s="65"/>
      <c r="H387" s="65"/>
      <c r="J387" s="65"/>
      <c r="K387" s="65"/>
      <c r="L387" s="65"/>
    </row>
    <row r="388" ht="15.75" customHeight="1">
      <c r="C388" s="65"/>
      <c r="D388" s="65"/>
      <c r="E388" s="65"/>
      <c r="F388" s="65"/>
      <c r="H388" s="65"/>
      <c r="J388" s="65"/>
      <c r="K388" s="65"/>
      <c r="L388" s="65"/>
    </row>
    <row r="389" ht="15.75" customHeight="1">
      <c r="C389" s="65"/>
      <c r="D389" s="65"/>
      <c r="E389" s="65"/>
      <c r="F389" s="65"/>
      <c r="H389" s="65"/>
      <c r="J389" s="65"/>
      <c r="K389" s="65"/>
      <c r="L389" s="65"/>
    </row>
    <row r="390" ht="15.75" customHeight="1">
      <c r="C390" s="65"/>
      <c r="D390" s="65"/>
      <c r="E390" s="65"/>
      <c r="F390" s="65"/>
      <c r="H390" s="65"/>
      <c r="J390" s="65"/>
      <c r="K390" s="65"/>
      <c r="L390" s="65"/>
    </row>
    <row r="391" ht="15.75" customHeight="1">
      <c r="C391" s="65"/>
      <c r="D391" s="65"/>
      <c r="E391" s="65"/>
      <c r="F391" s="65"/>
      <c r="H391" s="65"/>
      <c r="J391" s="65"/>
      <c r="K391" s="65"/>
      <c r="L391" s="65"/>
    </row>
    <row r="392" ht="15.75" customHeight="1">
      <c r="C392" s="65"/>
      <c r="D392" s="65"/>
      <c r="E392" s="65"/>
      <c r="F392" s="65"/>
      <c r="H392" s="65"/>
      <c r="J392" s="65"/>
      <c r="K392" s="65"/>
      <c r="L392" s="65"/>
    </row>
    <row r="393" ht="15.75" customHeight="1">
      <c r="C393" s="65"/>
      <c r="D393" s="65"/>
      <c r="E393" s="65"/>
      <c r="F393" s="65"/>
      <c r="H393" s="65"/>
      <c r="J393" s="65"/>
      <c r="K393" s="65"/>
      <c r="L393" s="65"/>
    </row>
    <row r="394" ht="15.75" customHeight="1">
      <c r="C394" s="65"/>
      <c r="D394" s="65"/>
      <c r="E394" s="65"/>
      <c r="F394" s="65"/>
      <c r="H394" s="65"/>
      <c r="J394" s="65"/>
      <c r="K394" s="65"/>
      <c r="L394" s="65"/>
    </row>
    <row r="395" ht="15.75" customHeight="1">
      <c r="C395" s="65"/>
      <c r="D395" s="65"/>
      <c r="E395" s="65"/>
      <c r="F395" s="65"/>
      <c r="H395" s="65"/>
      <c r="J395" s="65"/>
      <c r="K395" s="65"/>
      <c r="L395" s="65"/>
    </row>
    <row r="396" ht="15.75" customHeight="1">
      <c r="C396" s="65"/>
      <c r="D396" s="65"/>
      <c r="E396" s="65"/>
      <c r="F396" s="65"/>
      <c r="H396" s="65"/>
      <c r="J396" s="65"/>
      <c r="K396" s="65"/>
      <c r="L396" s="65"/>
    </row>
    <row r="397" ht="15.75" customHeight="1">
      <c r="C397" s="65"/>
      <c r="D397" s="65"/>
      <c r="E397" s="65"/>
      <c r="F397" s="65"/>
      <c r="H397" s="65"/>
      <c r="J397" s="65"/>
      <c r="K397" s="65"/>
      <c r="L397" s="65"/>
    </row>
    <row r="398" ht="15.75" customHeight="1">
      <c r="C398" s="65"/>
      <c r="D398" s="65"/>
      <c r="E398" s="65"/>
      <c r="F398" s="65"/>
      <c r="H398" s="65"/>
      <c r="J398" s="65"/>
      <c r="K398" s="65"/>
      <c r="L398" s="65"/>
    </row>
    <row r="399" ht="15.75" customHeight="1">
      <c r="C399" s="65"/>
      <c r="D399" s="65"/>
      <c r="E399" s="65"/>
      <c r="F399" s="65"/>
      <c r="H399" s="65"/>
      <c r="J399" s="65"/>
      <c r="K399" s="65"/>
      <c r="L399" s="65"/>
    </row>
    <row r="400" ht="15.75" customHeight="1">
      <c r="C400" s="65"/>
      <c r="D400" s="65"/>
      <c r="E400" s="65"/>
      <c r="F400" s="65"/>
      <c r="H400" s="65"/>
      <c r="J400" s="65"/>
      <c r="K400" s="65"/>
      <c r="L400" s="65"/>
    </row>
    <row r="401" ht="15.75" customHeight="1">
      <c r="C401" s="65"/>
      <c r="D401" s="65"/>
      <c r="E401" s="65"/>
      <c r="F401" s="65"/>
      <c r="H401" s="65"/>
      <c r="J401" s="65"/>
      <c r="K401" s="65"/>
      <c r="L401" s="65"/>
    </row>
    <row r="402" ht="15.75" customHeight="1">
      <c r="C402" s="65"/>
      <c r="D402" s="65"/>
      <c r="E402" s="65"/>
      <c r="F402" s="65"/>
      <c r="H402" s="65"/>
      <c r="J402" s="65"/>
      <c r="K402" s="65"/>
      <c r="L402" s="65"/>
    </row>
    <row r="403" ht="15.75" customHeight="1">
      <c r="C403" s="65"/>
      <c r="D403" s="65"/>
      <c r="E403" s="65"/>
      <c r="F403" s="65"/>
      <c r="H403" s="65"/>
      <c r="J403" s="65"/>
      <c r="K403" s="65"/>
      <c r="L403" s="65"/>
    </row>
    <row r="404" ht="15.75" customHeight="1">
      <c r="C404" s="65"/>
      <c r="D404" s="65"/>
      <c r="E404" s="65"/>
      <c r="F404" s="65"/>
      <c r="H404" s="65"/>
      <c r="J404" s="65"/>
      <c r="K404" s="65"/>
      <c r="L404" s="65"/>
    </row>
    <row r="405" ht="15.75" customHeight="1">
      <c r="C405" s="65"/>
      <c r="D405" s="65"/>
      <c r="E405" s="65"/>
      <c r="F405" s="65"/>
      <c r="H405" s="65"/>
      <c r="J405" s="65"/>
      <c r="K405" s="65"/>
      <c r="L405" s="65"/>
    </row>
    <row r="406" ht="15.75" customHeight="1">
      <c r="C406" s="65"/>
      <c r="D406" s="65"/>
      <c r="E406" s="65"/>
      <c r="F406" s="65"/>
      <c r="H406" s="65"/>
      <c r="J406" s="65"/>
      <c r="K406" s="65"/>
      <c r="L406" s="65"/>
    </row>
    <row r="407" ht="15.75" customHeight="1">
      <c r="C407" s="65"/>
      <c r="D407" s="65"/>
      <c r="E407" s="65"/>
      <c r="F407" s="65"/>
      <c r="H407" s="65"/>
      <c r="J407" s="65"/>
      <c r="K407" s="65"/>
      <c r="L407" s="65"/>
    </row>
    <row r="408" ht="15.75" customHeight="1">
      <c r="C408" s="65"/>
      <c r="D408" s="65"/>
      <c r="E408" s="65"/>
      <c r="F408" s="65"/>
      <c r="H408" s="65"/>
      <c r="J408" s="65"/>
      <c r="K408" s="65"/>
      <c r="L408" s="65"/>
    </row>
    <row r="409" ht="15.75" customHeight="1">
      <c r="C409" s="65"/>
      <c r="D409" s="65"/>
      <c r="E409" s="65"/>
      <c r="F409" s="65"/>
      <c r="H409" s="65"/>
      <c r="J409" s="65"/>
      <c r="K409" s="65"/>
      <c r="L409" s="65"/>
    </row>
    <row r="410" ht="15.75" customHeight="1">
      <c r="C410" s="65"/>
      <c r="D410" s="65"/>
      <c r="E410" s="65"/>
      <c r="F410" s="65"/>
      <c r="H410" s="65"/>
      <c r="J410" s="65"/>
      <c r="K410" s="65"/>
      <c r="L410" s="65"/>
    </row>
    <row r="411" ht="15.75" customHeight="1">
      <c r="C411" s="65"/>
      <c r="D411" s="65"/>
      <c r="E411" s="65"/>
      <c r="F411" s="65"/>
      <c r="H411" s="65"/>
      <c r="J411" s="65"/>
      <c r="K411" s="65"/>
      <c r="L411" s="65"/>
    </row>
    <row r="412" ht="15.75" customHeight="1">
      <c r="C412" s="65"/>
      <c r="D412" s="65"/>
      <c r="E412" s="65"/>
      <c r="F412" s="65"/>
      <c r="H412" s="65"/>
      <c r="J412" s="65"/>
      <c r="K412" s="65"/>
      <c r="L412" s="65"/>
    </row>
    <row r="413" ht="15.75" customHeight="1">
      <c r="C413" s="65"/>
      <c r="D413" s="65"/>
      <c r="E413" s="65"/>
      <c r="F413" s="65"/>
      <c r="H413" s="65"/>
      <c r="J413" s="65"/>
      <c r="K413" s="65"/>
      <c r="L413" s="65"/>
    </row>
    <row r="414" ht="15.75" customHeight="1">
      <c r="C414" s="65"/>
      <c r="D414" s="65"/>
      <c r="E414" s="65"/>
      <c r="F414" s="65"/>
      <c r="H414" s="65"/>
      <c r="J414" s="65"/>
      <c r="K414" s="65"/>
      <c r="L414" s="65"/>
    </row>
    <row r="415" ht="15.75" customHeight="1">
      <c r="C415" s="65"/>
      <c r="D415" s="65"/>
      <c r="E415" s="65"/>
      <c r="F415" s="65"/>
      <c r="H415" s="65"/>
      <c r="J415" s="65"/>
      <c r="K415" s="65"/>
      <c r="L415" s="65"/>
    </row>
    <row r="416" ht="15.75" customHeight="1">
      <c r="C416" s="65"/>
      <c r="D416" s="65"/>
      <c r="E416" s="65"/>
      <c r="F416" s="65"/>
      <c r="H416" s="65"/>
      <c r="J416" s="65"/>
      <c r="K416" s="65"/>
      <c r="L416" s="65"/>
    </row>
    <row r="417" ht="15.75" customHeight="1">
      <c r="C417" s="65"/>
      <c r="D417" s="65"/>
      <c r="E417" s="65"/>
      <c r="F417" s="65"/>
      <c r="H417" s="65"/>
      <c r="J417" s="65"/>
      <c r="K417" s="65"/>
      <c r="L417" s="65"/>
    </row>
    <row r="418" ht="15.75" customHeight="1">
      <c r="C418" s="65"/>
      <c r="D418" s="65"/>
      <c r="E418" s="65"/>
      <c r="F418" s="65"/>
      <c r="H418" s="65"/>
      <c r="J418" s="65"/>
      <c r="K418" s="65"/>
      <c r="L418" s="65"/>
    </row>
    <row r="419" ht="15.75" customHeight="1">
      <c r="C419" s="65"/>
      <c r="D419" s="65"/>
      <c r="E419" s="65"/>
      <c r="F419" s="65"/>
      <c r="H419" s="65"/>
      <c r="J419" s="65"/>
      <c r="K419" s="65"/>
      <c r="L419" s="65"/>
    </row>
    <row r="420" ht="15.75" customHeight="1">
      <c r="C420" s="65"/>
      <c r="D420" s="65"/>
      <c r="E420" s="65"/>
      <c r="F420" s="65"/>
      <c r="H420" s="65"/>
      <c r="J420" s="65"/>
      <c r="K420" s="65"/>
      <c r="L420" s="65"/>
    </row>
    <row r="421" ht="15.75" customHeight="1">
      <c r="C421" s="65"/>
      <c r="D421" s="65"/>
      <c r="E421" s="65"/>
      <c r="F421" s="65"/>
      <c r="H421" s="65"/>
      <c r="J421" s="65"/>
      <c r="K421" s="65"/>
      <c r="L421" s="65"/>
    </row>
    <row r="422" ht="15.75" customHeight="1">
      <c r="C422" s="65"/>
      <c r="D422" s="65"/>
      <c r="E422" s="65"/>
      <c r="F422" s="65"/>
      <c r="H422" s="65"/>
      <c r="J422" s="65"/>
      <c r="K422" s="65"/>
      <c r="L422" s="65"/>
    </row>
    <row r="423" ht="15.75" customHeight="1">
      <c r="C423" s="65"/>
      <c r="D423" s="65"/>
      <c r="E423" s="65"/>
      <c r="F423" s="65"/>
      <c r="H423" s="65"/>
      <c r="J423" s="65"/>
      <c r="K423" s="65"/>
      <c r="L423" s="65"/>
    </row>
    <row r="424" ht="15.75" customHeight="1">
      <c r="C424" s="65"/>
      <c r="D424" s="65"/>
      <c r="E424" s="65"/>
      <c r="F424" s="65"/>
      <c r="H424" s="65"/>
      <c r="J424" s="65"/>
      <c r="K424" s="65"/>
      <c r="L424" s="65"/>
    </row>
    <row r="425" ht="15.75" customHeight="1">
      <c r="C425" s="65"/>
      <c r="D425" s="65"/>
      <c r="E425" s="65"/>
      <c r="F425" s="65"/>
      <c r="H425" s="65"/>
      <c r="J425" s="65"/>
      <c r="K425" s="65"/>
      <c r="L425" s="65"/>
    </row>
    <row r="426" ht="15.75" customHeight="1">
      <c r="C426" s="65"/>
      <c r="D426" s="65"/>
      <c r="E426" s="65"/>
      <c r="F426" s="65"/>
      <c r="H426" s="65"/>
      <c r="J426" s="65"/>
      <c r="K426" s="65"/>
      <c r="L426" s="65"/>
    </row>
    <row r="427" ht="15.75" customHeight="1">
      <c r="C427" s="65"/>
      <c r="D427" s="65"/>
      <c r="E427" s="65"/>
      <c r="F427" s="65"/>
      <c r="H427" s="65"/>
      <c r="J427" s="65"/>
      <c r="K427" s="65"/>
      <c r="L427" s="65"/>
    </row>
    <row r="428" ht="15.75" customHeight="1">
      <c r="C428" s="65"/>
      <c r="D428" s="65"/>
      <c r="E428" s="65"/>
      <c r="F428" s="65"/>
      <c r="H428" s="65"/>
      <c r="J428" s="65"/>
      <c r="K428" s="65"/>
      <c r="L428" s="65"/>
    </row>
    <row r="429" ht="15.75" customHeight="1">
      <c r="C429" s="65"/>
      <c r="D429" s="65"/>
      <c r="E429" s="65"/>
      <c r="F429" s="65"/>
      <c r="H429" s="65"/>
      <c r="J429" s="65"/>
      <c r="K429" s="65"/>
      <c r="L429" s="65"/>
    </row>
    <row r="430" ht="15.75" customHeight="1">
      <c r="C430" s="65"/>
      <c r="D430" s="65"/>
      <c r="E430" s="65"/>
      <c r="F430" s="65"/>
      <c r="H430" s="65"/>
      <c r="J430" s="65"/>
      <c r="K430" s="65"/>
      <c r="L430" s="65"/>
    </row>
    <row r="431" ht="15.75" customHeight="1">
      <c r="C431" s="65"/>
      <c r="D431" s="65"/>
      <c r="E431" s="65"/>
      <c r="F431" s="65"/>
      <c r="H431" s="65"/>
      <c r="J431" s="65"/>
      <c r="K431" s="65"/>
      <c r="L431" s="65"/>
    </row>
    <row r="432" ht="15.75" customHeight="1">
      <c r="C432" s="65"/>
      <c r="D432" s="65"/>
      <c r="E432" s="65"/>
      <c r="F432" s="65"/>
      <c r="H432" s="65"/>
      <c r="J432" s="65"/>
      <c r="K432" s="65"/>
      <c r="L432" s="65"/>
    </row>
    <row r="433" ht="15.75" customHeight="1">
      <c r="C433" s="65"/>
      <c r="D433" s="65"/>
      <c r="E433" s="65"/>
      <c r="F433" s="65"/>
      <c r="H433" s="65"/>
      <c r="J433" s="65"/>
      <c r="K433" s="65"/>
      <c r="L433" s="65"/>
    </row>
    <row r="434" ht="15.75" customHeight="1">
      <c r="C434" s="65"/>
      <c r="D434" s="65"/>
      <c r="E434" s="65"/>
      <c r="F434" s="65"/>
      <c r="H434" s="65"/>
      <c r="J434" s="65"/>
      <c r="K434" s="65"/>
      <c r="L434" s="65"/>
    </row>
    <row r="435" ht="15.75" customHeight="1">
      <c r="C435" s="65"/>
      <c r="D435" s="65"/>
      <c r="E435" s="65"/>
      <c r="F435" s="65"/>
      <c r="H435" s="65"/>
      <c r="J435" s="65"/>
      <c r="K435" s="65"/>
      <c r="L435" s="65"/>
    </row>
    <row r="436" ht="15.75" customHeight="1">
      <c r="C436" s="65"/>
      <c r="D436" s="65"/>
      <c r="E436" s="65"/>
      <c r="F436" s="65"/>
      <c r="H436" s="65"/>
      <c r="J436" s="65"/>
      <c r="K436" s="65"/>
      <c r="L436" s="65"/>
    </row>
    <row r="437" ht="15.75" customHeight="1">
      <c r="C437" s="65"/>
      <c r="D437" s="65"/>
      <c r="E437" s="65"/>
      <c r="F437" s="65"/>
      <c r="H437" s="65"/>
      <c r="J437" s="65"/>
      <c r="K437" s="65"/>
      <c r="L437" s="65"/>
    </row>
    <row r="438" ht="15.75" customHeight="1">
      <c r="C438" s="65"/>
      <c r="D438" s="65"/>
      <c r="E438" s="65"/>
      <c r="F438" s="65"/>
      <c r="H438" s="65"/>
      <c r="J438" s="65"/>
      <c r="K438" s="65"/>
      <c r="L438" s="65"/>
    </row>
    <row r="439" ht="15.75" customHeight="1">
      <c r="C439" s="65"/>
      <c r="D439" s="65"/>
      <c r="E439" s="65"/>
      <c r="F439" s="65"/>
      <c r="H439" s="65"/>
      <c r="J439" s="65"/>
      <c r="K439" s="65"/>
      <c r="L439" s="65"/>
    </row>
    <row r="440" ht="15.75" customHeight="1">
      <c r="C440" s="65"/>
      <c r="D440" s="65"/>
      <c r="E440" s="65"/>
      <c r="F440" s="65"/>
      <c r="H440" s="65"/>
      <c r="J440" s="65"/>
      <c r="K440" s="65"/>
      <c r="L440" s="65"/>
    </row>
    <row r="441" ht="15.75" customHeight="1">
      <c r="C441" s="65"/>
      <c r="D441" s="65"/>
      <c r="E441" s="65"/>
      <c r="F441" s="65"/>
      <c r="H441" s="65"/>
      <c r="J441" s="65"/>
      <c r="K441" s="65"/>
      <c r="L441" s="65"/>
    </row>
    <row r="442" ht="15.75" customHeight="1">
      <c r="C442" s="65"/>
      <c r="D442" s="65"/>
      <c r="E442" s="65"/>
      <c r="F442" s="65"/>
      <c r="H442" s="65"/>
      <c r="J442" s="65"/>
      <c r="K442" s="65"/>
      <c r="L442" s="65"/>
    </row>
    <row r="443" ht="15.75" customHeight="1">
      <c r="C443" s="65"/>
      <c r="D443" s="65"/>
      <c r="E443" s="65"/>
      <c r="F443" s="65"/>
      <c r="H443" s="65"/>
      <c r="J443" s="65"/>
      <c r="K443" s="65"/>
      <c r="L443" s="65"/>
    </row>
    <row r="444" ht="15.75" customHeight="1">
      <c r="C444" s="65"/>
      <c r="D444" s="65"/>
      <c r="E444" s="65"/>
      <c r="F444" s="65"/>
      <c r="H444" s="65"/>
      <c r="J444" s="65"/>
      <c r="K444" s="65"/>
      <c r="L444" s="65"/>
    </row>
    <row r="445" ht="15.75" customHeight="1">
      <c r="C445" s="65"/>
      <c r="D445" s="65"/>
      <c r="E445" s="65"/>
      <c r="F445" s="65"/>
      <c r="H445" s="65"/>
      <c r="J445" s="65"/>
      <c r="K445" s="65"/>
      <c r="L445" s="65"/>
    </row>
    <row r="446" ht="15.75" customHeight="1">
      <c r="C446" s="65"/>
      <c r="D446" s="65"/>
      <c r="E446" s="65"/>
      <c r="F446" s="65"/>
      <c r="H446" s="65"/>
      <c r="J446" s="65"/>
      <c r="K446" s="65"/>
      <c r="L446" s="65"/>
    </row>
    <row r="447" ht="15.75" customHeight="1">
      <c r="C447" s="65"/>
      <c r="D447" s="65"/>
      <c r="E447" s="65"/>
      <c r="F447" s="65"/>
      <c r="H447" s="65"/>
      <c r="J447" s="65"/>
      <c r="K447" s="65"/>
      <c r="L447" s="65"/>
    </row>
    <row r="448" ht="15.75" customHeight="1">
      <c r="C448" s="65"/>
      <c r="D448" s="65"/>
      <c r="E448" s="65"/>
      <c r="F448" s="65"/>
      <c r="H448" s="65"/>
      <c r="J448" s="65"/>
      <c r="K448" s="65"/>
      <c r="L448" s="65"/>
    </row>
    <row r="449" ht="15.75" customHeight="1">
      <c r="C449" s="65"/>
      <c r="D449" s="65"/>
      <c r="E449" s="65"/>
      <c r="F449" s="65"/>
      <c r="H449" s="65"/>
      <c r="J449" s="65"/>
      <c r="K449" s="65"/>
      <c r="L449" s="65"/>
    </row>
    <row r="450" ht="15.75" customHeight="1">
      <c r="C450" s="65"/>
      <c r="D450" s="65"/>
      <c r="E450" s="65"/>
      <c r="F450" s="65"/>
      <c r="H450" s="65"/>
      <c r="J450" s="65"/>
      <c r="K450" s="65"/>
      <c r="L450" s="65"/>
    </row>
    <row r="451" ht="15.75" customHeight="1">
      <c r="C451" s="65"/>
      <c r="D451" s="65"/>
      <c r="E451" s="65"/>
      <c r="F451" s="65"/>
      <c r="H451" s="65"/>
      <c r="J451" s="65"/>
      <c r="K451" s="65"/>
      <c r="L451" s="65"/>
    </row>
    <row r="452" ht="15.75" customHeight="1">
      <c r="C452" s="65"/>
      <c r="D452" s="65"/>
      <c r="E452" s="65"/>
      <c r="F452" s="65"/>
      <c r="H452" s="65"/>
      <c r="J452" s="65"/>
      <c r="K452" s="65"/>
      <c r="L452" s="65"/>
    </row>
    <row r="453" ht="15.75" customHeight="1">
      <c r="C453" s="65"/>
      <c r="D453" s="65"/>
      <c r="E453" s="65"/>
      <c r="F453" s="65"/>
      <c r="H453" s="65"/>
      <c r="J453" s="65"/>
      <c r="K453" s="65"/>
      <c r="L453" s="65"/>
    </row>
    <row r="454" ht="15.75" customHeight="1">
      <c r="C454" s="65"/>
      <c r="D454" s="65"/>
      <c r="E454" s="65"/>
      <c r="F454" s="65"/>
      <c r="H454" s="65"/>
      <c r="J454" s="65"/>
      <c r="K454" s="65"/>
      <c r="L454" s="65"/>
    </row>
    <row r="455" ht="15.75" customHeight="1">
      <c r="C455" s="65"/>
      <c r="D455" s="65"/>
      <c r="E455" s="65"/>
      <c r="F455" s="65"/>
      <c r="H455" s="65"/>
      <c r="J455" s="65"/>
      <c r="K455" s="65"/>
      <c r="L455" s="65"/>
    </row>
    <row r="456" ht="15.75" customHeight="1">
      <c r="C456" s="65"/>
      <c r="D456" s="65"/>
      <c r="E456" s="65"/>
      <c r="F456" s="65"/>
      <c r="H456" s="65"/>
      <c r="J456" s="65"/>
      <c r="K456" s="65"/>
      <c r="L456" s="65"/>
    </row>
    <row r="457" ht="15.75" customHeight="1">
      <c r="C457" s="65"/>
      <c r="D457" s="65"/>
      <c r="E457" s="65"/>
      <c r="F457" s="65"/>
      <c r="H457" s="65"/>
      <c r="J457" s="65"/>
      <c r="K457" s="65"/>
      <c r="L457" s="65"/>
    </row>
    <row r="458" ht="15.75" customHeight="1">
      <c r="C458" s="65"/>
      <c r="D458" s="65"/>
      <c r="E458" s="65"/>
      <c r="F458" s="65"/>
      <c r="H458" s="65"/>
      <c r="J458" s="65"/>
      <c r="K458" s="65"/>
      <c r="L458" s="65"/>
    </row>
    <row r="459" ht="15.75" customHeight="1">
      <c r="C459" s="65"/>
      <c r="D459" s="65"/>
      <c r="E459" s="65"/>
      <c r="F459" s="65"/>
      <c r="H459" s="65"/>
      <c r="J459" s="65"/>
      <c r="K459" s="65"/>
      <c r="L459" s="65"/>
    </row>
    <row r="460" ht="15.75" customHeight="1">
      <c r="C460" s="65"/>
      <c r="D460" s="65"/>
      <c r="E460" s="65"/>
      <c r="F460" s="65"/>
      <c r="H460" s="65"/>
      <c r="J460" s="65"/>
      <c r="K460" s="65"/>
      <c r="L460" s="65"/>
    </row>
    <row r="461" ht="15.75" customHeight="1">
      <c r="C461" s="65"/>
      <c r="D461" s="65"/>
      <c r="E461" s="65"/>
      <c r="F461" s="65"/>
      <c r="H461" s="65"/>
      <c r="J461" s="65"/>
      <c r="K461" s="65"/>
      <c r="L461" s="65"/>
    </row>
    <row r="462" ht="15.75" customHeight="1">
      <c r="C462" s="65"/>
      <c r="D462" s="65"/>
      <c r="E462" s="65"/>
      <c r="F462" s="65"/>
      <c r="H462" s="65"/>
      <c r="J462" s="65"/>
      <c r="K462" s="65"/>
      <c r="L462" s="65"/>
    </row>
    <row r="463" ht="15.75" customHeight="1">
      <c r="C463" s="65"/>
      <c r="D463" s="65"/>
      <c r="E463" s="65"/>
      <c r="F463" s="65"/>
      <c r="H463" s="65"/>
      <c r="J463" s="65"/>
      <c r="K463" s="65"/>
      <c r="L463" s="65"/>
    </row>
    <row r="464" ht="15.75" customHeight="1">
      <c r="C464" s="65"/>
      <c r="D464" s="65"/>
      <c r="E464" s="65"/>
      <c r="F464" s="65"/>
      <c r="H464" s="65"/>
      <c r="J464" s="65"/>
      <c r="K464" s="65"/>
      <c r="L464" s="65"/>
    </row>
    <row r="465" ht="15.75" customHeight="1">
      <c r="C465" s="65"/>
      <c r="D465" s="65"/>
      <c r="E465" s="65"/>
      <c r="F465" s="65"/>
      <c r="H465" s="65"/>
      <c r="J465" s="65"/>
      <c r="K465" s="65"/>
      <c r="L465" s="65"/>
    </row>
    <row r="466" ht="15.75" customHeight="1">
      <c r="C466" s="65"/>
      <c r="D466" s="65"/>
      <c r="E466" s="65"/>
      <c r="F466" s="65"/>
      <c r="H466" s="65"/>
      <c r="J466" s="65"/>
      <c r="K466" s="65"/>
      <c r="L466" s="65"/>
    </row>
    <row r="467" ht="15.75" customHeight="1">
      <c r="C467" s="65"/>
      <c r="D467" s="65"/>
      <c r="E467" s="65"/>
      <c r="F467" s="65"/>
      <c r="H467" s="65"/>
      <c r="J467" s="65"/>
      <c r="K467" s="65"/>
      <c r="L467" s="65"/>
    </row>
    <row r="468" ht="15.75" customHeight="1">
      <c r="C468" s="65"/>
      <c r="D468" s="65"/>
      <c r="E468" s="65"/>
      <c r="F468" s="65"/>
      <c r="H468" s="65"/>
      <c r="J468" s="65"/>
      <c r="K468" s="65"/>
      <c r="L468" s="65"/>
    </row>
    <row r="469" ht="15.75" customHeight="1">
      <c r="C469" s="65"/>
      <c r="D469" s="65"/>
      <c r="E469" s="65"/>
      <c r="F469" s="65"/>
      <c r="H469" s="65"/>
      <c r="J469" s="65"/>
      <c r="K469" s="65"/>
      <c r="L469" s="65"/>
    </row>
    <row r="470" ht="15.75" customHeight="1">
      <c r="C470" s="65"/>
      <c r="D470" s="65"/>
      <c r="E470" s="65"/>
      <c r="F470" s="65"/>
      <c r="H470" s="65"/>
      <c r="J470" s="65"/>
      <c r="K470" s="65"/>
      <c r="L470" s="65"/>
    </row>
    <row r="471" ht="15.75" customHeight="1">
      <c r="C471" s="65"/>
      <c r="D471" s="65"/>
      <c r="E471" s="65"/>
      <c r="F471" s="65"/>
      <c r="H471" s="65"/>
      <c r="J471" s="65"/>
      <c r="K471" s="65"/>
      <c r="L471" s="65"/>
    </row>
    <row r="472" ht="15.75" customHeight="1">
      <c r="C472" s="65"/>
      <c r="D472" s="65"/>
      <c r="E472" s="65"/>
      <c r="F472" s="65"/>
      <c r="H472" s="65"/>
      <c r="J472" s="65"/>
      <c r="K472" s="65"/>
      <c r="L472" s="65"/>
    </row>
    <row r="473" ht="15.75" customHeight="1">
      <c r="C473" s="65"/>
      <c r="D473" s="65"/>
      <c r="E473" s="65"/>
      <c r="F473" s="65"/>
      <c r="H473" s="65"/>
      <c r="J473" s="65"/>
      <c r="K473" s="65"/>
      <c r="L473" s="65"/>
    </row>
    <row r="474" ht="15.75" customHeight="1">
      <c r="C474" s="65"/>
      <c r="D474" s="65"/>
      <c r="E474" s="65"/>
      <c r="F474" s="65"/>
      <c r="H474" s="65"/>
      <c r="J474" s="65"/>
      <c r="K474" s="65"/>
      <c r="L474" s="65"/>
    </row>
    <row r="475" ht="15.75" customHeight="1">
      <c r="C475" s="65"/>
      <c r="D475" s="65"/>
      <c r="E475" s="65"/>
      <c r="F475" s="65"/>
      <c r="H475" s="65"/>
      <c r="J475" s="65"/>
      <c r="K475" s="65"/>
      <c r="L475" s="65"/>
    </row>
    <row r="476" ht="15.75" customHeight="1">
      <c r="C476" s="65"/>
      <c r="D476" s="65"/>
      <c r="E476" s="65"/>
      <c r="F476" s="65"/>
      <c r="H476" s="65"/>
      <c r="J476" s="65"/>
      <c r="K476" s="65"/>
      <c r="L476" s="65"/>
    </row>
    <row r="477" ht="15.75" customHeight="1">
      <c r="C477" s="65"/>
      <c r="D477" s="65"/>
      <c r="E477" s="65"/>
      <c r="F477" s="65"/>
      <c r="H477" s="65"/>
      <c r="J477" s="65"/>
      <c r="K477" s="65"/>
      <c r="L477" s="65"/>
    </row>
    <row r="478" ht="15.75" customHeight="1">
      <c r="C478" s="65"/>
      <c r="D478" s="65"/>
      <c r="E478" s="65"/>
      <c r="F478" s="65"/>
      <c r="H478" s="65"/>
      <c r="J478" s="65"/>
      <c r="K478" s="65"/>
      <c r="L478" s="65"/>
    </row>
    <row r="479" ht="15.75" customHeight="1">
      <c r="C479" s="65"/>
      <c r="D479" s="65"/>
      <c r="E479" s="65"/>
      <c r="F479" s="65"/>
      <c r="H479" s="65"/>
      <c r="J479" s="65"/>
      <c r="K479" s="65"/>
      <c r="L479" s="65"/>
    </row>
    <row r="480" ht="15.75" customHeight="1">
      <c r="C480" s="65"/>
      <c r="D480" s="65"/>
      <c r="E480" s="65"/>
      <c r="F480" s="65"/>
      <c r="H480" s="65"/>
      <c r="J480" s="65"/>
      <c r="K480" s="65"/>
      <c r="L480" s="65"/>
    </row>
    <row r="481" ht="15.75" customHeight="1">
      <c r="C481" s="65"/>
      <c r="D481" s="65"/>
      <c r="E481" s="65"/>
      <c r="F481" s="65"/>
      <c r="H481" s="65"/>
      <c r="J481" s="65"/>
      <c r="K481" s="65"/>
      <c r="L481" s="65"/>
    </row>
    <row r="482" ht="15.75" customHeight="1">
      <c r="C482" s="65"/>
      <c r="D482" s="65"/>
      <c r="E482" s="65"/>
      <c r="F482" s="65"/>
      <c r="H482" s="65"/>
      <c r="J482" s="65"/>
      <c r="K482" s="65"/>
      <c r="L482" s="65"/>
    </row>
    <row r="483" ht="15.75" customHeight="1">
      <c r="C483" s="65"/>
      <c r="D483" s="65"/>
      <c r="E483" s="65"/>
      <c r="F483" s="65"/>
      <c r="H483" s="65"/>
      <c r="J483" s="65"/>
      <c r="K483" s="65"/>
      <c r="L483" s="65"/>
    </row>
    <row r="484" ht="15.75" customHeight="1">
      <c r="C484" s="65"/>
      <c r="D484" s="65"/>
      <c r="E484" s="65"/>
      <c r="F484" s="65"/>
      <c r="H484" s="65"/>
      <c r="J484" s="65"/>
      <c r="K484" s="65"/>
      <c r="L484" s="65"/>
    </row>
    <row r="485" ht="15.75" customHeight="1">
      <c r="C485" s="65"/>
      <c r="D485" s="65"/>
      <c r="E485" s="65"/>
      <c r="F485" s="65"/>
      <c r="H485" s="65"/>
      <c r="J485" s="65"/>
      <c r="K485" s="65"/>
      <c r="L485" s="65"/>
    </row>
    <row r="486" ht="15.75" customHeight="1">
      <c r="C486" s="65"/>
      <c r="D486" s="65"/>
      <c r="E486" s="65"/>
      <c r="F486" s="65"/>
      <c r="H486" s="65"/>
      <c r="J486" s="65"/>
      <c r="K486" s="65"/>
      <c r="L486" s="65"/>
    </row>
    <row r="487" ht="15.75" customHeight="1">
      <c r="C487" s="65"/>
      <c r="D487" s="65"/>
      <c r="E487" s="65"/>
      <c r="F487" s="65"/>
      <c r="H487" s="65"/>
      <c r="J487" s="65"/>
      <c r="K487" s="65"/>
      <c r="L487" s="65"/>
    </row>
    <row r="488" ht="15.75" customHeight="1">
      <c r="C488" s="65"/>
      <c r="D488" s="65"/>
      <c r="E488" s="65"/>
      <c r="F488" s="65"/>
      <c r="H488" s="65"/>
      <c r="J488" s="65"/>
      <c r="K488" s="65"/>
      <c r="L488" s="65"/>
    </row>
    <row r="489" ht="15.75" customHeight="1">
      <c r="C489" s="65"/>
      <c r="D489" s="65"/>
      <c r="E489" s="65"/>
      <c r="F489" s="65"/>
      <c r="H489" s="65"/>
      <c r="J489" s="65"/>
      <c r="K489" s="65"/>
      <c r="L489" s="65"/>
    </row>
    <row r="490" ht="15.75" customHeight="1">
      <c r="C490" s="65"/>
      <c r="D490" s="65"/>
      <c r="E490" s="65"/>
      <c r="F490" s="65"/>
      <c r="H490" s="65"/>
      <c r="J490" s="65"/>
      <c r="K490" s="65"/>
      <c r="L490" s="65"/>
    </row>
    <row r="491" ht="15.75" customHeight="1">
      <c r="C491" s="65"/>
      <c r="D491" s="65"/>
      <c r="E491" s="65"/>
      <c r="F491" s="65"/>
      <c r="H491" s="65"/>
      <c r="J491" s="65"/>
      <c r="K491" s="65"/>
      <c r="L491" s="65"/>
    </row>
    <row r="492" ht="15.75" customHeight="1">
      <c r="C492" s="65"/>
      <c r="D492" s="65"/>
      <c r="E492" s="65"/>
      <c r="F492" s="65"/>
      <c r="H492" s="65"/>
      <c r="J492" s="65"/>
      <c r="K492" s="65"/>
      <c r="L492" s="65"/>
    </row>
    <row r="493" ht="15.75" customHeight="1">
      <c r="C493" s="65"/>
      <c r="D493" s="65"/>
      <c r="E493" s="65"/>
      <c r="F493" s="65"/>
      <c r="H493" s="65"/>
      <c r="J493" s="65"/>
      <c r="K493" s="65"/>
      <c r="L493" s="65"/>
    </row>
    <row r="494" ht="15.75" customHeight="1">
      <c r="C494" s="65"/>
      <c r="D494" s="65"/>
      <c r="E494" s="65"/>
      <c r="F494" s="65"/>
      <c r="H494" s="65"/>
      <c r="J494" s="65"/>
      <c r="K494" s="65"/>
      <c r="L494" s="65"/>
    </row>
    <row r="495" ht="15.75" customHeight="1">
      <c r="C495" s="65"/>
      <c r="D495" s="65"/>
      <c r="E495" s="65"/>
      <c r="F495" s="65"/>
      <c r="H495" s="65"/>
      <c r="J495" s="65"/>
      <c r="K495" s="65"/>
      <c r="L495" s="65"/>
    </row>
    <row r="496" ht="15.75" customHeight="1">
      <c r="C496" s="65"/>
      <c r="D496" s="65"/>
      <c r="E496" s="65"/>
      <c r="F496" s="65"/>
      <c r="H496" s="65"/>
      <c r="J496" s="65"/>
      <c r="K496" s="65"/>
      <c r="L496" s="65"/>
    </row>
    <row r="497" ht="15.75" customHeight="1">
      <c r="C497" s="65"/>
      <c r="D497" s="65"/>
      <c r="E497" s="65"/>
      <c r="F497" s="65"/>
      <c r="H497" s="65"/>
      <c r="J497" s="65"/>
      <c r="K497" s="65"/>
      <c r="L497" s="65"/>
    </row>
    <row r="498" ht="15.75" customHeight="1">
      <c r="C498" s="65"/>
      <c r="D498" s="65"/>
      <c r="E498" s="65"/>
      <c r="F498" s="65"/>
      <c r="H498" s="65"/>
      <c r="J498" s="65"/>
      <c r="K498" s="65"/>
      <c r="L498" s="65"/>
    </row>
    <row r="499" ht="15.75" customHeight="1">
      <c r="C499" s="65"/>
      <c r="D499" s="65"/>
      <c r="E499" s="65"/>
      <c r="F499" s="65"/>
      <c r="H499" s="65"/>
      <c r="J499" s="65"/>
      <c r="K499" s="65"/>
      <c r="L499" s="65"/>
    </row>
    <row r="500" ht="15.75" customHeight="1">
      <c r="C500" s="65"/>
      <c r="D500" s="65"/>
      <c r="E500" s="65"/>
      <c r="F500" s="65"/>
      <c r="H500" s="65"/>
      <c r="J500" s="65"/>
      <c r="K500" s="65"/>
      <c r="L500" s="65"/>
    </row>
    <row r="501" ht="15.75" customHeight="1">
      <c r="C501" s="65"/>
      <c r="D501" s="65"/>
      <c r="E501" s="65"/>
      <c r="F501" s="65"/>
      <c r="H501" s="65"/>
      <c r="J501" s="65"/>
      <c r="K501" s="65"/>
      <c r="L501" s="65"/>
    </row>
    <row r="502" ht="15.75" customHeight="1">
      <c r="C502" s="65"/>
      <c r="D502" s="65"/>
      <c r="E502" s="65"/>
      <c r="F502" s="65"/>
      <c r="H502" s="65"/>
      <c r="J502" s="65"/>
      <c r="K502" s="65"/>
      <c r="L502" s="65"/>
    </row>
    <row r="503" ht="15.75" customHeight="1">
      <c r="C503" s="65"/>
      <c r="D503" s="65"/>
      <c r="E503" s="65"/>
      <c r="F503" s="65"/>
      <c r="H503" s="65"/>
      <c r="J503" s="65"/>
      <c r="K503" s="65"/>
      <c r="L503" s="65"/>
    </row>
    <row r="504" ht="15.75" customHeight="1">
      <c r="C504" s="65"/>
      <c r="D504" s="65"/>
      <c r="E504" s="65"/>
      <c r="F504" s="65"/>
      <c r="H504" s="65"/>
      <c r="J504" s="65"/>
      <c r="K504" s="65"/>
      <c r="L504" s="65"/>
    </row>
    <row r="505" ht="15.75" customHeight="1">
      <c r="C505" s="65"/>
      <c r="D505" s="65"/>
      <c r="E505" s="65"/>
      <c r="F505" s="65"/>
      <c r="H505" s="65"/>
      <c r="J505" s="65"/>
      <c r="K505" s="65"/>
      <c r="L505" s="65"/>
    </row>
    <row r="506" ht="15.75" customHeight="1">
      <c r="C506" s="65"/>
      <c r="D506" s="65"/>
      <c r="E506" s="65"/>
      <c r="F506" s="65"/>
      <c r="H506" s="65"/>
      <c r="J506" s="65"/>
      <c r="K506" s="65"/>
      <c r="L506" s="65"/>
    </row>
    <row r="507" ht="15.75" customHeight="1">
      <c r="C507" s="65"/>
      <c r="D507" s="65"/>
      <c r="E507" s="65"/>
      <c r="F507" s="65"/>
      <c r="H507" s="65"/>
      <c r="J507" s="65"/>
      <c r="K507" s="65"/>
      <c r="L507" s="65"/>
    </row>
    <row r="508" ht="15.75" customHeight="1">
      <c r="C508" s="65"/>
      <c r="D508" s="65"/>
      <c r="E508" s="65"/>
      <c r="F508" s="65"/>
      <c r="H508" s="65"/>
      <c r="J508" s="65"/>
      <c r="K508" s="65"/>
      <c r="L508" s="65"/>
    </row>
    <row r="509" ht="15.75" customHeight="1">
      <c r="C509" s="65"/>
      <c r="D509" s="65"/>
      <c r="E509" s="65"/>
      <c r="F509" s="65"/>
      <c r="H509" s="65"/>
      <c r="J509" s="65"/>
      <c r="K509" s="65"/>
      <c r="L509" s="65"/>
    </row>
    <row r="510" ht="15.75" customHeight="1">
      <c r="C510" s="65"/>
      <c r="D510" s="65"/>
      <c r="E510" s="65"/>
      <c r="F510" s="65"/>
      <c r="H510" s="65"/>
      <c r="J510" s="65"/>
      <c r="K510" s="65"/>
      <c r="L510" s="65"/>
    </row>
    <row r="511" ht="15.75" customHeight="1">
      <c r="C511" s="65"/>
      <c r="D511" s="65"/>
      <c r="E511" s="65"/>
      <c r="F511" s="65"/>
      <c r="H511" s="65"/>
      <c r="J511" s="65"/>
      <c r="K511" s="65"/>
      <c r="L511" s="65"/>
    </row>
    <row r="512" ht="15.75" customHeight="1">
      <c r="C512" s="65"/>
      <c r="D512" s="65"/>
      <c r="E512" s="65"/>
      <c r="F512" s="65"/>
      <c r="H512" s="65"/>
      <c r="J512" s="65"/>
      <c r="K512" s="65"/>
      <c r="L512" s="65"/>
    </row>
    <row r="513" ht="15.75" customHeight="1">
      <c r="C513" s="65"/>
      <c r="D513" s="65"/>
      <c r="E513" s="65"/>
      <c r="F513" s="65"/>
      <c r="H513" s="65"/>
      <c r="J513" s="65"/>
      <c r="K513" s="65"/>
      <c r="L513" s="65"/>
    </row>
    <row r="514" ht="15.75" customHeight="1">
      <c r="C514" s="65"/>
      <c r="D514" s="65"/>
      <c r="E514" s="65"/>
      <c r="F514" s="65"/>
      <c r="H514" s="65"/>
      <c r="J514" s="65"/>
      <c r="K514" s="65"/>
      <c r="L514" s="65"/>
    </row>
    <row r="515" ht="15.75" customHeight="1">
      <c r="C515" s="65"/>
      <c r="D515" s="65"/>
      <c r="E515" s="65"/>
      <c r="F515" s="65"/>
      <c r="H515" s="65"/>
      <c r="J515" s="65"/>
      <c r="K515" s="65"/>
      <c r="L515" s="65"/>
    </row>
    <row r="516" ht="15.75" customHeight="1">
      <c r="C516" s="65"/>
      <c r="D516" s="65"/>
      <c r="E516" s="65"/>
      <c r="F516" s="65"/>
      <c r="H516" s="65"/>
      <c r="J516" s="65"/>
      <c r="K516" s="65"/>
      <c r="L516" s="65"/>
    </row>
    <row r="517" ht="15.75" customHeight="1">
      <c r="C517" s="65"/>
      <c r="D517" s="65"/>
      <c r="E517" s="65"/>
      <c r="F517" s="65"/>
      <c r="H517" s="65"/>
      <c r="J517" s="65"/>
      <c r="K517" s="65"/>
      <c r="L517" s="65"/>
    </row>
    <row r="518" ht="15.75" customHeight="1">
      <c r="C518" s="65"/>
      <c r="D518" s="65"/>
      <c r="E518" s="65"/>
      <c r="F518" s="65"/>
      <c r="H518" s="65"/>
      <c r="J518" s="65"/>
      <c r="K518" s="65"/>
      <c r="L518" s="65"/>
    </row>
    <row r="519" ht="15.75" customHeight="1">
      <c r="C519" s="65"/>
      <c r="D519" s="65"/>
      <c r="E519" s="65"/>
      <c r="F519" s="65"/>
      <c r="H519" s="65"/>
      <c r="J519" s="65"/>
      <c r="K519" s="65"/>
      <c r="L519" s="65"/>
    </row>
    <row r="520" ht="15.75" customHeight="1">
      <c r="C520" s="65"/>
      <c r="D520" s="65"/>
      <c r="E520" s="65"/>
      <c r="F520" s="65"/>
      <c r="H520" s="65"/>
      <c r="J520" s="65"/>
      <c r="K520" s="65"/>
      <c r="L520" s="65"/>
    </row>
    <row r="521" ht="15.75" customHeight="1">
      <c r="C521" s="65"/>
      <c r="D521" s="65"/>
      <c r="E521" s="65"/>
      <c r="F521" s="65"/>
      <c r="H521" s="65"/>
      <c r="J521" s="65"/>
      <c r="K521" s="65"/>
      <c r="L521" s="65"/>
    </row>
    <row r="522" ht="15.75" customHeight="1">
      <c r="C522" s="65"/>
      <c r="D522" s="65"/>
      <c r="E522" s="65"/>
      <c r="F522" s="65"/>
      <c r="H522" s="65"/>
      <c r="J522" s="65"/>
      <c r="K522" s="65"/>
      <c r="L522" s="65"/>
    </row>
    <row r="523" ht="15.75" customHeight="1">
      <c r="C523" s="65"/>
      <c r="D523" s="65"/>
      <c r="E523" s="65"/>
      <c r="F523" s="65"/>
      <c r="H523" s="65"/>
      <c r="J523" s="65"/>
      <c r="K523" s="65"/>
      <c r="L523" s="65"/>
    </row>
    <row r="524" ht="15.75" customHeight="1">
      <c r="C524" s="65"/>
      <c r="D524" s="65"/>
      <c r="E524" s="65"/>
      <c r="F524" s="65"/>
      <c r="H524" s="65"/>
      <c r="J524" s="65"/>
      <c r="K524" s="65"/>
      <c r="L524" s="65"/>
    </row>
    <row r="525" ht="15.75" customHeight="1">
      <c r="C525" s="65"/>
      <c r="D525" s="65"/>
      <c r="E525" s="65"/>
      <c r="F525" s="65"/>
      <c r="H525" s="65"/>
      <c r="J525" s="65"/>
      <c r="K525" s="65"/>
      <c r="L525" s="65"/>
    </row>
    <row r="526" ht="15.75" customHeight="1">
      <c r="C526" s="65"/>
      <c r="D526" s="65"/>
      <c r="E526" s="65"/>
      <c r="F526" s="65"/>
      <c r="H526" s="65"/>
      <c r="J526" s="65"/>
      <c r="K526" s="65"/>
      <c r="L526" s="65"/>
    </row>
    <row r="527" ht="15.75" customHeight="1">
      <c r="C527" s="65"/>
      <c r="D527" s="65"/>
      <c r="E527" s="65"/>
      <c r="F527" s="65"/>
      <c r="H527" s="65"/>
      <c r="J527" s="65"/>
      <c r="K527" s="65"/>
      <c r="L527" s="65"/>
    </row>
    <row r="528" ht="15.75" customHeight="1">
      <c r="C528" s="65"/>
      <c r="D528" s="65"/>
      <c r="E528" s="65"/>
      <c r="F528" s="65"/>
      <c r="H528" s="65"/>
      <c r="J528" s="65"/>
      <c r="K528" s="65"/>
      <c r="L528" s="65"/>
    </row>
    <row r="529" ht="15.75" customHeight="1">
      <c r="C529" s="65"/>
      <c r="D529" s="65"/>
      <c r="E529" s="65"/>
      <c r="F529" s="65"/>
      <c r="H529" s="65"/>
      <c r="J529" s="65"/>
      <c r="K529" s="65"/>
      <c r="L529" s="65"/>
    </row>
    <row r="530" ht="15.75" customHeight="1">
      <c r="C530" s="65"/>
      <c r="D530" s="65"/>
      <c r="E530" s="65"/>
      <c r="F530" s="65"/>
      <c r="H530" s="65"/>
      <c r="J530" s="65"/>
      <c r="K530" s="65"/>
      <c r="L530" s="65"/>
    </row>
    <row r="531" ht="15.75" customHeight="1">
      <c r="C531" s="65"/>
      <c r="D531" s="65"/>
      <c r="E531" s="65"/>
      <c r="F531" s="65"/>
      <c r="H531" s="65"/>
      <c r="J531" s="65"/>
      <c r="K531" s="65"/>
      <c r="L531" s="65"/>
    </row>
    <row r="532" ht="15.75" customHeight="1">
      <c r="C532" s="65"/>
      <c r="D532" s="65"/>
      <c r="E532" s="65"/>
      <c r="F532" s="65"/>
      <c r="H532" s="65"/>
      <c r="J532" s="65"/>
      <c r="K532" s="65"/>
      <c r="L532" s="65"/>
    </row>
    <row r="533" ht="15.75" customHeight="1">
      <c r="C533" s="65"/>
      <c r="D533" s="65"/>
      <c r="E533" s="65"/>
      <c r="F533" s="65"/>
      <c r="H533" s="65"/>
      <c r="J533" s="65"/>
      <c r="K533" s="65"/>
      <c r="L533" s="65"/>
    </row>
    <row r="534" ht="15.75" customHeight="1">
      <c r="C534" s="65"/>
      <c r="D534" s="65"/>
      <c r="E534" s="65"/>
      <c r="F534" s="65"/>
      <c r="H534" s="65"/>
      <c r="J534" s="65"/>
      <c r="K534" s="65"/>
      <c r="L534" s="65"/>
    </row>
    <row r="535" ht="15.75" customHeight="1">
      <c r="C535" s="65"/>
      <c r="D535" s="65"/>
      <c r="E535" s="65"/>
      <c r="F535" s="65"/>
      <c r="H535" s="65"/>
      <c r="J535" s="65"/>
      <c r="K535" s="65"/>
      <c r="L535" s="65"/>
    </row>
    <row r="536" ht="15.75" customHeight="1">
      <c r="C536" s="65"/>
      <c r="D536" s="65"/>
      <c r="E536" s="65"/>
      <c r="F536" s="65"/>
      <c r="H536" s="65"/>
      <c r="J536" s="65"/>
      <c r="K536" s="65"/>
      <c r="L536" s="65"/>
    </row>
    <row r="537" ht="15.75" customHeight="1">
      <c r="C537" s="65"/>
      <c r="D537" s="65"/>
      <c r="E537" s="65"/>
      <c r="F537" s="65"/>
      <c r="H537" s="65"/>
      <c r="J537" s="65"/>
      <c r="K537" s="65"/>
      <c r="L537" s="65"/>
    </row>
    <row r="538" ht="15.75" customHeight="1">
      <c r="C538" s="65"/>
      <c r="D538" s="65"/>
      <c r="E538" s="65"/>
      <c r="F538" s="65"/>
      <c r="H538" s="65"/>
      <c r="J538" s="65"/>
      <c r="K538" s="65"/>
      <c r="L538" s="65"/>
    </row>
    <row r="539" ht="15.75" customHeight="1">
      <c r="C539" s="65"/>
      <c r="D539" s="65"/>
      <c r="E539" s="65"/>
      <c r="F539" s="65"/>
      <c r="H539" s="65"/>
      <c r="J539" s="65"/>
      <c r="K539" s="65"/>
      <c r="L539" s="65"/>
    </row>
    <row r="540" ht="15.75" customHeight="1">
      <c r="C540" s="65"/>
      <c r="D540" s="65"/>
      <c r="E540" s="65"/>
      <c r="F540" s="65"/>
      <c r="H540" s="65"/>
      <c r="J540" s="65"/>
      <c r="K540" s="65"/>
      <c r="L540" s="65"/>
    </row>
    <row r="541" ht="15.75" customHeight="1">
      <c r="C541" s="65"/>
      <c r="D541" s="65"/>
      <c r="E541" s="65"/>
      <c r="F541" s="65"/>
      <c r="H541" s="65"/>
      <c r="J541" s="65"/>
      <c r="K541" s="65"/>
      <c r="L541" s="65"/>
    </row>
    <row r="542" ht="15.75" customHeight="1">
      <c r="C542" s="65"/>
      <c r="D542" s="65"/>
      <c r="E542" s="65"/>
      <c r="F542" s="65"/>
      <c r="H542" s="65"/>
      <c r="J542" s="65"/>
      <c r="K542" s="65"/>
      <c r="L542" s="65"/>
    </row>
    <row r="543" ht="15.75" customHeight="1">
      <c r="C543" s="65"/>
      <c r="D543" s="65"/>
      <c r="E543" s="65"/>
      <c r="F543" s="65"/>
      <c r="H543" s="65"/>
      <c r="J543" s="65"/>
      <c r="K543" s="65"/>
      <c r="L543" s="65"/>
    </row>
    <row r="544" ht="15.75" customHeight="1">
      <c r="C544" s="65"/>
      <c r="D544" s="65"/>
      <c r="E544" s="65"/>
      <c r="F544" s="65"/>
      <c r="H544" s="65"/>
      <c r="J544" s="65"/>
      <c r="K544" s="65"/>
      <c r="L544" s="65"/>
    </row>
    <row r="545" ht="15.75" customHeight="1">
      <c r="C545" s="65"/>
      <c r="D545" s="65"/>
      <c r="E545" s="65"/>
      <c r="F545" s="65"/>
      <c r="H545" s="65"/>
      <c r="J545" s="65"/>
      <c r="K545" s="65"/>
      <c r="L545" s="65"/>
    </row>
    <row r="546" ht="15.75" customHeight="1">
      <c r="C546" s="65"/>
      <c r="D546" s="65"/>
      <c r="E546" s="65"/>
      <c r="F546" s="65"/>
      <c r="H546" s="65"/>
      <c r="J546" s="65"/>
      <c r="K546" s="65"/>
      <c r="L546" s="65"/>
    </row>
    <row r="547" ht="15.75" customHeight="1">
      <c r="C547" s="65"/>
      <c r="D547" s="65"/>
      <c r="E547" s="65"/>
      <c r="F547" s="65"/>
      <c r="H547" s="65"/>
      <c r="J547" s="65"/>
      <c r="K547" s="65"/>
      <c r="L547" s="65"/>
    </row>
    <row r="548" ht="15.75" customHeight="1">
      <c r="C548" s="65"/>
      <c r="D548" s="65"/>
      <c r="E548" s="65"/>
      <c r="F548" s="65"/>
      <c r="H548" s="65"/>
      <c r="J548" s="65"/>
      <c r="K548" s="65"/>
      <c r="L548" s="65"/>
    </row>
    <row r="549" ht="15.75" customHeight="1">
      <c r="C549" s="65"/>
      <c r="D549" s="65"/>
      <c r="E549" s="65"/>
      <c r="F549" s="65"/>
      <c r="H549" s="65"/>
      <c r="J549" s="65"/>
      <c r="K549" s="65"/>
      <c r="L549" s="65"/>
    </row>
    <row r="550" ht="15.75" customHeight="1">
      <c r="C550" s="65"/>
      <c r="D550" s="65"/>
      <c r="E550" s="65"/>
      <c r="F550" s="65"/>
      <c r="H550" s="65"/>
      <c r="J550" s="65"/>
      <c r="K550" s="65"/>
      <c r="L550" s="65"/>
    </row>
    <row r="551" ht="15.75" customHeight="1">
      <c r="C551" s="65"/>
      <c r="D551" s="65"/>
      <c r="E551" s="65"/>
      <c r="F551" s="65"/>
      <c r="H551" s="65"/>
      <c r="J551" s="65"/>
      <c r="K551" s="65"/>
      <c r="L551" s="65"/>
    </row>
    <row r="552" ht="15.75" customHeight="1">
      <c r="C552" s="65"/>
      <c r="D552" s="65"/>
      <c r="E552" s="65"/>
      <c r="F552" s="65"/>
      <c r="H552" s="65"/>
      <c r="J552" s="65"/>
      <c r="K552" s="65"/>
      <c r="L552" s="65"/>
    </row>
    <row r="553" ht="15.75" customHeight="1">
      <c r="C553" s="65"/>
      <c r="D553" s="65"/>
      <c r="E553" s="65"/>
      <c r="F553" s="65"/>
      <c r="H553" s="65"/>
      <c r="J553" s="65"/>
      <c r="K553" s="65"/>
      <c r="L553" s="65"/>
    </row>
    <row r="554" ht="15.75" customHeight="1">
      <c r="C554" s="65"/>
      <c r="D554" s="65"/>
      <c r="E554" s="65"/>
      <c r="F554" s="65"/>
      <c r="H554" s="65"/>
      <c r="J554" s="65"/>
      <c r="K554" s="65"/>
      <c r="L554" s="65"/>
    </row>
    <row r="555" ht="15.75" customHeight="1">
      <c r="C555" s="65"/>
      <c r="D555" s="65"/>
      <c r="E555" s="65"/>
      <c r="F555" s="65"/>
      <c r="H555" s="65"/>
      <c r="J555" s="65"/>
      <c r="K555" s="65"/>
      <c r="L555" s="65"/>
    </row>
    <row r="556" ht="15.75" customHeight="1">
      <c r="C556" s="65"/>
      <c r="D556" s="65"/>
      <c r="E556" s="65"/>
      <c r="F556" s="65"/>
      <c r="H556" s="65"/>
      <c r="J556" s="65"/>
      <c r="K556" s="65"/>
      <c r="L556" s="65"/>
    </row>
    <row r="557" ht="15.75" customHeight="1">
      <c r="C557" s="65"/>
      <c r="D557" s="65"/>
      <c r="E557" s="65"/>
      <c r="F557" s="65"/>
      <c r="H557" s="65"/>
      <c r="J557" s="65"/>
      <c r="K557" s="65"/>
      <c r="L557" s="65"/>
    </row>
    <row r="558" ht="15.75" customHeight="1">
      <c r="C558" s="65"/>
      <c r="D558" s="65"/>
      <c r="E558" s="65"/>
      <c r="F558" s="65"/>
      <c r="H558" s="65"/>
      <c r="J558" s="65"/>
      <c r="K558" s="65"/>
      <c r="L558" s="65"/>
    </row>
    <row r="559" ht="15.75" customHeight="1">
      <c r="C559" s="65"/>
      <c r="D559" s="65"/>
      <c r="E559" s="65"/>
      <c r="F559" s="65"/>
      <c r="H559" s="65"/>
      <c r="J559" s="65"/>
      <c r="K559" s="65"/>
      <c r="L559" s="65"/>
    </row>
    <row r="560" ht="15.75" customHeight="1">
      <c r="C560" s="65"/>
      <c r="D560" s="65"/>
      <c r="E560" s="65"/>
      <c r="F560" s="65"/>
      <c r="H560" s="65"/>
      <c r="J560" s="65"/>
      <c r="K560" s="65"/>
      <c r="L560" s="65"/>
    </row>
    <row r="561" ht="15.75" customHeight="1">
      <c r="C561" s="65"/>
      <c r="D561" s="65"/>
      <c r="E561" s="65"/>
      <c r="F561" s="65"/>
      <c r="H561" s="65"/>
      <c r="J561" s="65"/>
      <c r="K561" s="65"/>
      <c r="L561" s="65"/>
    </row>
    <row r="562" ht="15.75" customHeight="1">
      <c r="C562" s="65"/>
      <c r="D562" s="65"/>
      <c r="E562" s="65"/>
      <c r="F562" s="65"/>
      <c r="H562" s="65"/>
      <c r="J562" s="65"/>
      <c r="K562" s="65"/>
      <c r="L562" s="65"/>
    </row>
    <row r="563" ht="15.75" customHeight="1">
      <c r="C563" s="65"/>
      <c r="D563" s="65"/>
      <c r="E563" s="65"/>
      <c r="F563" s="65"/>
      <c r="H563" s="65"/>
      <c r="J563" s="65"/>
      <c r="K563" s="65"/>
      <c r="L563" s="65"/>
    </row>
    <row r="564" ht="15.75" customHeight="1">
      <c r="C564" s="65"/>
      <c r="D564" s="65"/>
      <c r="E564" s="65"/>
      <c r="F564" s="65"/>
      <c r="H564" s="65"/>
      <c r="J564" s="65"/>
      <c r="K564" s="65"/>
      <c r="L564" s="65"/>
    </row>
    <row r="565" ht="15.75" customHeight="1">
      <c r="C565" s="65"/>
      <c r="D565" s="65"/>
      <c r="E565" s="65"/>
      <c r="F565" s="65"/>
      <c r="H565" s="65"/>
      <c r="J565" s="65"/>
      <c r="K565" s="65"/>
      <c r="L565" s="65"/>
    </row>
    <row r="566" ht="15.75" customHeight="1">
      <c r="C566" s="65"/>
      <c r="D566" s="65"/>
      <c r="E566" s="65"/>
      <c r="F566" s="65"/>
      <c r="H566" s="65"/>
      <c r="J566" s="65"/>
      <c r="K566" s="65"/>
      <c r="L566" s="65"/>
    </row>
    <row r="567" ht="15.75" customHeight="1">
      <c r="C567" s="65"/>
      <c r="D567" s="65"/>
      <c r="E567" s="65"/>
      <c r="F567" s="65"/>
      <c r="H567" s="65"/>
      <c r="J567" s="65"/>
      <c r="K567" s="65"/>
      <c r="L567" s="65"/>
    </row>
    <row r="568" ht="15.75" customHeight="1">
      <c r="C568" s="65"/>
      <c r="D568" s="65"/>
      <c r="E568" s="65"/>
      <c r="F568" s="65"/>
      <c r="H568" s="65"/>
      <c r="J568" s="65"/>
      <c r="K568" s="65"/>
      <c r="L568" s="65"/>
    </row>
    <row r="569" ht="15.75" customHeight="1">
      <c r="C569" s="65"/>
      <c r="D569" s="65"/>
      <c r="E569" s="65"/>
      <c r="F569" s="65"/>
      <c r="H569" s="65"/>
      <c r="J569" s="65"/>
      <c r="K569" s="65"/>
      <c r="L569" s="65"/>
    </row>
    <row r="570" ht="15.75" customHeight="1">
      <c r="C570" s="65"/>
      <c r="D570" s="65"/>
      <c r="E570" s="65"/>
      <c r="F570" s="65"/>
      <c r="H570" s="65"/>
      <c r="J570" s="65"/>
      <c r="K570" s="65"/>
      <c r="L570" s="65"/>
    </row>
    <row r="571" ht="15.75" customHeight="1">
      <c r="C571" s="65"/>
      <c r="D571" s="65"/>
      <c r="E571" s="65"/>
      <c r="F571" s="65"/>
      <c r="H571" s="65"/>
      <c r="J571" s="65"/>
      <c r="K571" s="65"/>
      <c r="L571" s="65"/>
    </row>
    <row r="572" ht="15.75" customHeight="1">
      <c r="C572" s="65"/>
      <c r="D572" s="65"/>
      <c r="E572" s="65"/>
      <c r="F572" s="65"/>
      <c r="H572" s="65"/>
      <c r="J572" s="65"/>
      <c r="K572" s="65"/>
      <c r="L572" s="65"/>
    </row>
    <row r="573" ht="15.75" customHeight="1">
      <c r="C573" s="65"/>
      <c r="D573" s="65"/>
      <c r="E573" s="65"/>
      <c r="F573" s="65"/>
      <c r="H573" s="65"/>
      <c r="J573" s="65"/>
      <c r="K573" s="65"/>
      <c r="L573" s="65"/>
    </row>
    <row r="574" ht="15.75" customHeight="1">
      <c r="C574" s="65"/>
      <c r="D574" s="65"/>
      <c r="E574" s="65"/>
      <c r="F574" s="65"/>
      <c r="H574" s="65"/>
      <c r="J574" s="65"/>
      <c r="K574" s="65"/>
      <c r="L574" s="65"/>
    </row>
    <row r="575" ht="15.75" customHeight="1">
      <c r="C575" s="65"/>
      <c r="D575" s="65"/>
      <c r="E575" s="65"/>
      <c r="F575" s="65"/>
      <c r="H575" s="65"/>
      <c r="J575" s="65"/>
      <c r="K575" s="65"/>
      <c r="L575" s="65"/>
    </row>
    <row r="576" ht="15.75" customHeight="1">
      <c r="C576" s="65"/>
      <c r="D576" s="65"/>
      <c r="E576" s="65"/>
      <c r="F576" s="65"/>
      <c r="H576" s="65"/>
      <c r="J576" s="65"/>
      <c r="K576" s="65"/>
      <c r="L576" s="65"/>
    </row>
    <row r="577" ht="15.75" customHeight="1">
      <c r="C577" s="65"/>
      <c r="D577" s="65"/>
      <c r="E577" s="65"/>
      <c r="F577" s="65"/>
      <c r="H577" s="65"/>
      <c r="J577" s="65"/>
      <c r="K577" s="65"/>
      <c r="L577" s="65"/>
    </row>
    <row r="578" ht="15.75" customHeight="1">
      <c r="C578" s="65"/>
      <c r="D578" s="65"/>
      <c r="E578" s="65"/>
      <c r="F578" s="65"/>
      <c r="H578" s="65"/>
      <c r="J578" s="65"/>
      <c r="K578" s="65"/>
      <c r="L578" s="65"/>
    </row>
    <row r="579" ht="15.75" customHeight="1">
      <c r="C579" s="65"/>
      <c r="D579" s="65"/>
      <c r="E579" s="65"/>
      <c r="F579" s="65"/>
      <c r="H579" s="65"/>
      <c r="J579" s="65"/>
      <c r="K579" s="65"/>
      <c r="L579" s="65"/>
    </row>
    <row r="580" ht="15.75" customHeight="1">
      <c r="C580" s="65"/>
      <c r="D580" s="65"/>
      <c r="E580" s="65"/>
      <c r="F580" s="65"/>
      <c r="H580" s="65"/>
      <c r="J580" s="65"/>
      <c r="K580" s="65"/>
      <c r="L580" s="65"/>
    </row>
    <row r="581" ht="15.75" customHeight="1">
      <c r="C581" s="65"/>
      <c r="D581" s="65"/>
      <c r="E581" s="65"/>
      <c r="F581" s="65"/>
      <c r="H581" s="65"/>
      <c r="J581" s="65"/>
      <c r="K581" s="65"/>
      <c r="L581" s="65"/>
    </row>
    <row r="582" ht="15.75" customHeight="1">
      <c r="C582" s="65"/>
      <c r="D582" s="65"/>
      <c r="E582" s="65"/>
      <c r="F582" s="65"/>
      <c r="H582" s="65"/>
      <c r="J582" s="65"/>
      <c r="K582" s="65"/>
      <c r="L582" s="65"/>
    </row>
    <row r="583" ht="15.75" customHeight="1">
      <c r="C583" s="65"/>
      <c r="D583" s="65"/>
      <c r="E583" s="65"/>
      <c r="F583" s="65"/>
      <c r="H583" s="65"/>
      <c r="J583" s="65"/>
      <c r="K583" s="65"/>
      <c r="L583" s="65"/>
    </row>
    <row r="584" ht="15.75" customHeight="1">
      <c r="C584" s="65"/>
      <c r="D584" s="65"/>
      <c r="E584" s="65"/>
      <c r="F584" s="65"/>
      <c r="H584" s="65"/>
      <c r="J584" s="65"/>
      <c r="K584" s="65"/>
      <c r="L584" s="65"/>
    </row>
    <row r="585" ht="15.75" customHeight="1">
      <c r="C585" s="65"/>
      <c r="D585" s="65"/>
      <c r="E585" s="65"/>
      <c r="F585" s="65"/>
      <c r="H585" s="65"/>
      <c r="J585" s="65"/>
      <c r="K585" s="65"/>
      <c r="L585" s="65"/>
    </row>
    <row r="586" ht="15.75" customHeight="1">
      <c r="C586" s="65"/>
      <c r="D586" s="65"/>
      <c r="E586" s="65"/>
      <c r="F586" s="65"/>
      <c r="H586" s="65"/>
      <c r="J586" s="65"/>
      <c r="K586" s="65"/>
      <c r="L586" s="65"/>
    </row>
    <row r="587" ht="15.75" customHeight="1">
      <c r="C587" s="65"/>
      <c r="D587" s="65"/>
      <c r="E587" s="65"/>
      <c r="F587" s="65"/>
      <c r="H587" s="65"/>
      <c r="J587" s="65"/>
      <c r="K587" s="65"/>
      <c r="L587" s="65"/>
    </row>
    <row r="588" ht="15.75" customHeight="1">
      <c r="C588" s="65"/>
      <c r="D588" s="65"/>
      <c r="E588" s="65"/>
      <c r="F588" s="65"/>
      <c r="H588" s="65"/>
      <c r="J588" s="65"/>
      <c r="K588" s="65"/>
      <c r="L588" s="65"/>
    </row>
    <row r="589" ht="15.75" customHeight="1">
      <c r="C589" s="65"/>
      <c r="D589" s="65"/>
      <c r="E589" s="65"/>
      <c r="F589" s="65"/>
      <c r="H589" s="65"/>
      <c r="J589" s="65"/>
      <c r="K589" s="65"/>
      <c r="L589" s="65"/>
    </row>
    <row r="590" ht="15.75" customHeight="1">
      <c r="C590" s="65"/>
      <c r="D590" s="65"/>
      <c r="E590" s="65"/>
      <c r="F590" s="65"/>
      <c r="H590" s="65"/>
      <c r="J590" s="65"/>
      <c r="K590" s="65"/>
      <c r="L590" s="65"/>
    </row>
    <row r="591" ht="15.75" customHeight="1">
      <c r="C591" s="65"/>
      <c r="D591" s="65"/>
      <c r="E591" s="65"/>
      <c r="F591" s="65"/>
      <c r="H591" s="65"/>
      <c r="J591" s="65"/>
      <c r="K591" s="65"/>
      <c r="L591" s="65"/>
    </row>
    <row r="592" ht="15.75" customHeight="1">
      <c r="C592" s="65"/>
      <c r="D592" s="65"/>
      <c r="E592" s="65"/>
      <c r="F592" s="65"/>
      <c r="H592" s="65"/>
      <c r="J592" s="65"/>
      <c r="K592" s="65"/>
      <c r="L592" s="65"/>
    </row>
    <row r="593" ht="15.75" customHeight="1">
      <c r="C593" s="65"/>
      <c r="D593" s="65"/>
      <c r="E593" s="65"/>
      <c r="F593" s="65"/>
      <c r="H593" s="65"/>
      <c r="J593" s="65"/>
      <c r="K593" s="65"/>
      <c r="L593" s="65"/>
    </row>
    <row r="594" ht="15.75" customHeight="1">
      <c r="C594" s="65"/>
      <c r="D594" s="65"/>
      <c r="E594" s="65"/>
      <c r="F594" s="65"/>
      <c r="H594" s="65"/>
      <c r="J594" s="65"/>
      <c r="K594" s="65"/>
      <c r="L594" s="65"/>
    </row>
    <row r="595" ht="15.75" customHeight="1">
      <c r="C595" s="65"/>
      <c r="D595" s="65"/>
      <c r="E595" s="65"/>
      <c r="F595" s="65"/>
      <c r="H595" s="65"/>
      <c r="J595" s="65"/>
      <c r="K595" s="65"/>
      <c r="L595" s="65"/>
    </row>
    <row r="596" ht="15.75" customHeight="1">
      <c r="C596" s="65"/>
      <c r="D596" s="65"/>
      <c r="E596" s="65"/>
      <c r="F596" s="65"/>
      <c r="H596" s="65"/>
      <c r="J596" s="65"/>
      <c r="K596" s="65"/>
      <c r="L596" s="65"/>
    </row>
    <row r="597" ht="15.75" customHeight="1">
      <c r="C597" s="65"/>
      <c r="D597" s="65"/>
      <c r="E597" s="65"/>
      <c r="F597" s="65"/>
      <c r="H597" s="65"/>
      <c r="J597" s="65"/>
      <c r="K597" s="65"/>
      <c r="L597" s="65"/>
    </row>
    <row r="598" ht="15.75" customHeight="1">
      <c r="C598" s="65"/>
      <c r="D598" s="65"/>
      <c r="E598" s="65"/>
      <c r="F598" s="65"/>
      <c r="H598" s="65"/>
      <c r="J598" s="65"/>
      <c r="K598" s="65"/>
      <c r="L598" s="65"/>
    </row>
    <row r="599" ht="15.75" customHeight="1">
      <c r="C599" s="65"/>
      <c r="D599" s="65"/>
      <c r="E599" s="65"/>
      <c r="F599" s="65"/>
      <c r="H599" s="65"/>
      <c r="J599" s="65"/>
      <c r="K599" s="65"/>
      <c r="L599" s="65"/>
    </row>
    <row r="600" ht="15.75" customHeight="1">
      <c r="C600" s="65"/>
      <c r="D600" s="65"/>
      <c r="E600" s="65"/>
      <c r="F600" s="65"/>
      <c r="H600" s="65"/>
      <c r="J600" s="65"/>
      <c r="K600" s="65"/>
      <c r="L600" s="65"/>
    </row>
    <row r="601" ht="15.75" customHeight="1">
      <c r="C601" s="65"/>
      <c r="D601" s="65"/>
      <c r="E601" s="65"/>
      <c r="F601" s="65"/>
      <c r="H601" s="65"/>
      <c r="J601" s="65"/>
      <c r="K601" s="65"/>
      <c r="L601" s="65"/>
    </row>
    <row r="602" ht="15.75" customHeight="1">
      <c r="C602" s="65"/>
      <c r="D602" s="65"/>
      <c r="E602" s="65"/>
      <c r="F602" s="65"/>
      <c r="H602" s="65"/>
      <c r="J602" s="65"/>
      <c r="K602" s="65"/>
      <c r="L602" s="65"/>
    </row>
    <row r="603" ht="15.75" customHeight="1">
      <c r="C603" s="65"/>
      <c r="D603" s="65"/>
      <c r="E603" s="65"/>
      <c r="F603" s="65"/>
      <c r="H603" s="65"/>
      <c r="J603" s="65"/>
      <c r="K603" s="65"/>
      <c r="L603" s="65"/>
    </row>
    <row r="604" ht="15.75" customHeight="1">
      <c r="C604" s="65"/>
      <c r="D604" s="65"/>
      <c r="E604" s="65"/>
      <c r="F604" s="65"/>
      <c r="H604" s="65"/>
      <c r="J604" s="65"/>
      <c r="K604" s="65"/>
      <c r="L604" s="65"/>
    </row>
    <row r="605" ht="15.75" customHeight="1">
      <c r="C605" s="65"/>
      <c r="D605" s="65"/>
      <c r="E605" s="65"/>
      <c r="F605" s="65"/>
      <c r="H605" s="65"/>
      <c r="J605" s="65"/>
      <c r="K605" s="65"/>
      <c r="L605" s="65"/>
    </row>
    <row r="606" ht="15.75" customHeight="1">
      <c r="C606" s="65"/>
      <c r="D606" s="65"/>
      <c r="E606" s="65"/>
      <c r="F606" s="65"/>
      <c r="H606" s="65"/>
      <c r="J606" s="65"/>
      <c r="K606" s="65"/>
      <c r="L606" s="65"/>
    </row>
    <row r="607" ht="15.75" customHeight="1">
      <c r="C607" s="65"/>
      <c r="D607" s="65"/>
      <c r="E607" s="65"/>
      <c r="F607" s="65"/>
      <c r="H607" s="65"/>
      <c r="J607" s="65"/>
      <c r="K607" s="65"/>
      <c r="L607" s="65"/>
    </row>
    <row r="608" ht="15.75" customHeight="1">
      <c r="C608" s="65"/>
      <c r="D608" s="65"/>
      <c r="E608" s="65"/>
      <c r="F608" s="65"/>
      <c r="H608" s="65"/>
      <c r="J608" s="65"/>
      <c r="K608" s="65"/>
      <c r="L608" s="65"/>
    </row>
    <row r="609" ht="15.75" customHeight="1">
      <c r="C609" s="65"/>
      <c r="D609" s="65"/>
      <c r="E609" s="65"/>
      <c r="F609" s="65"/>
      <c r="H609" s="65"/>
      <c r="J609" s="65"/>
      <c r="K609" s="65"/>
      <c r="L609" s="65"/>
    </row>
    <row r="610" ht="15.75" customHeight="1">
      <c r="C610" s="65"/>
      <c r="D610" s="65"/>
      <c r="E610" s="65"/>
      <c r="F610" s="65"/>
      <c r="H610" s="65"/>
      <c r="J610" s="65"/>
      <c r="K610" s="65"/>
      <c r="L610" s="65"/>
    </row>
    <row r="611" ht="15.75" customHeight="1">
      <c r="C611" s="65"/>
      <c r="D611" s="65"/>
      <c r="E611" s="65"/>
      <c r="F611" s="65"/>
      <c r="H611" s="65"/>
      <c r="J611" s="65"/>
      <c r="K611" s="65"/>
      <c r="L611" s="65"/>
    </row>
    <row r="612" ht="15.75" customHeight="1">
      <c r="C612" s="65"/>
      <c r="D612" s="65"/>
      <c r="E612" s="65"/>
      <c r="F612" s="65"/>
      <c r="H612" s="65"/>
      <c r="J612" s="65"/>
      <c r="K612" s="65"/>
      <c r="L612" s="65"/>
    </row>
    <row r="613" ht="15.75" customHeight="1">
      <c r="C613" s="65"/>
      <c r="D613" s="65"/>
      <c r="E613" s="65"/>
      <c r="F613" s="65"/>
      <c r="H613" s="65"/>
      <c r="J613" s="65"/>
      <c r="K613" s="65"/>
      <c r="L613" s="65"/>
    </row>
    <row r="614" ht="15.75" customHeight="1">
      <c r="C614" s="65"/>
      <c r="D614" s="65"/>
      <c r="E614" s="65"/>
      <c r="F614" s="65"/>
      <c r="H614" s="65"/>
      <c r="J614" s="65"/>
      <c r="K614" s="65"/>
      <c r="L614" s="65"/>
    </row>
    <row r="615" ht="15.75" customHeight="1">
      <c r="C615" s="65"/>
      <c r="D615" s="65"/>
      <c r="E615" s="65"/>
      <c r="F615" s="65"/>
      <c r="H615" s="65"/>
      <c r="J615" s="65"/>
      <c r="K615" s="65"/>
      <c r="L615" s="65"/>
    </row>
    <row r="616" ht="15.75" customHeight="1">
      <c r="C616" s="65"/>
      <c r="D616" s="65"/>
      <c r="E616" s="65"/>
      <c r="F616" s="65"/>
      <c r="H616" s="65"/>
      <c r="J616" s="65"/>
      <c r="K616" s="65"/>
      <c r="L616" s="65"/>
    </row>
    <row r="617" ht="15.75" customHeight="1">
      <c r="C617" s="65"/>
      <c r="D617" s="65"/>
      <c r="E617" s="65"/>
      <c r="F617" s="65"/>
      <c r="H617" s="65"/>
      <c r="J617" s="65"/>
      <c r="K617" s="65"/>
      <c r="L617" s="65"/>
    </row>
    <row r="618" ht="15.75" customHeight="1">
      <c r="C618" s="65"/>
      <c r="D618" s="65"/>
      <c r="E618" s="65"/>
      <c r="F618" s="65"/>
      <c r="H618" s="65"/>
      <c r="J618" s="65"/>
      <c r="K618" s="65"/>
      <c r="L618" s="65"/>
    </row>
    <row r="619" ht="15.75" customHeight="1">
      <c r="C619" s="65"/>
      <c r="D619" s="65"/>
      <c r="E619" s="65"/>
      <c r="F619" s="65"/>
      <c r="H619" s="65"/>
      <c r="J619" s="65"/>
      <c r="K619" s="65"/>
      <c r="L619" s="65"/>
    </row>
    <row r="620" ht="15.75" customHeight="1">
      <c r="C620" s="65"/>
      <c r="D620" s="65"/>
      <c r="E620" s="65"/>
      <c r="F620" s="65"/>
      <c r="H620" s="65"/>
      <c r="J620" s="65"/>
      <c r="K620" s="65"/>
      <c r="L620" s="65"/>
    </row>
    <row r="621" ht="15.75" customHeight="1">
      <c r="C621" s="65"/>
      <c r="D621" s="65"/>
      <c r="E621" s="65"/>
      <c r="F621" s="65"/>
      <c r="H621" s="65"/>
      <c r="J621" s="65"/>
      <c r="K621" s="65"/>
      <c r="L621" s="65"/>
    </row>
    <row r="622" ht="15.75" customHeight="1">
      <c r="C622" s="65"/>
      <c r="D622" s="65"/>
      <c r="E622" s="65"/>
      <c r="F622" s="65"/>
      <c r="H622" s="65"/>
      <c r="J622" s="65"/>
      <c r="K622" s="65"/>
      <c r="L622" s="65"/>
    </row>
    <row r="623" ht="15.75" customHeight="1">
      <c r="C623" s="65"/>
      <c r="D623" s="65"/>
      <c r="E623" s="65"/>
      <c r="F623" s="65"/>
      <c r="H623" s="65"/>
      <c r="J623" s="65"/>
      <c r="K623" s="65"/>
      <c r="L623" s="65"/>
    </row>
    <row r="624" ht="15.75" customHeight="1">
      <c r="C624" s="65"/>
      <c r="D624" s="65"/>
      <c r="E624" s="65"/>
      <c r="F624" s="65"/>
      <c r="H624" s="65"/>
      <c r="J624" s="65"/>
      <c r="K624" s="65"/>
      <c r="L624" s="65"/>
    </row>
    <row r="625" ht="15.75" customHeight="1">
      <c r="C625" s="65"/>
      <c r="D625" s="65"/>
      <c r="E625" s="65"/>
      <c r="F625" s="65"/>
      <c r="H625" s="65"/>
      <c r="J625" s="65"/>
      <c r="K625" s="65"/>
      <c r="L625" s="65"/>
    </row>
    <row r="626" ht="15.75" customHeight="1">
      <c r="C626" s="65"/>
      <c r="D626" s="65"/>
      <c r="E626" s="65"/>
      <c r="F626" s="65"/>
      <c r="H626" s="65"/>
      <c r="J626" s="65"/>
      <c r="K626" s="65"/>
      <c r="L626" s="65"/>
    </row>
    <row r="627" ht="15.75" customHeight="1">
      <c r="C627" s="65"/>
      <c r="D627" s="65"/>
      <c r="E627" s="65"/>
      <c r="F627" s="65"/>
      <c r="H627" s="65"/>
      <c r="J627" s="65"/>
      <c r="K627" s="65"/>
      <c r="L627" s="65"/>
    </row>
    <row r="628" ht="15.75" customHeight="1">
      <c r="C628" s="65"/>
      <c r="D628" s="65"/>
      <c r="E628" s="65"/>
      <c r="F628" s="65"/>
      <c r="H628" s="65"/>
      <c r="J628" s="65"/>
      <c r="K628" s="65"/>
      <c r="L628" s="65"/>
    </row>
    <row r="629" ht="15.75" customHeight="1">
      <c r="C629" s="65"/>
      <c r="D629" s="65"/>
      <c r="E629" s="65"/>
      <c r="F629" s="65"/>
      <c r="H629" s="65"/>
      <c r="J629" s="65"/>
      <c r="K629" s="65"/>
      <c r="L629" s="65"/>
    </row>
    <row r="630" ht="15.75" customHeight="1">
      <c r="C630" s="65"/>
      <c r="D630" s="65"/>
      <c r="E630" s="65"/>
      <c r="F630" s="65"/>
      <c r="H630" s="65"/>
      <c r="J630" s="65"/>
      <c r="K630" s="65"/>
      <c r="L630" s="65"/>
    </row>
    <row r="631" ht="15.75" customHeight="1">
      <c r="C631" s="65"/>
      <c r="D631" s="65"/>
      <c r="E631" s="65"/>
      <c r="F631" s="65"/>
      <c r="H631" s="65"/>
      <c r="J631" s="65"/>
      <c r="K631" s="65"/>
      <c r="L631" s="65"/>
    </row>
    <row r="632" ht="15.75" customHeight="1">
      <c r="C632" s="65"/>
      <c r="D632" s="65"/>
      <c r="E632" s="65"/>
      <c r="F632" s="65"/>
      <c r="H632" s="65"/>
      <c r="J632" s="65"/>
      <c r="K632" s="65"/>
      <c r="L632" s="65"/>
    </row>
    <row r="633" ht="15.75" customHeight="1">
      <c r="C633" s="65"/>
      <c r="D633" s="65"/>
      <c r="E633" s="65"/>
      <c r="F633" s="65"/>
      <c r="H633" s="65"/>
      <c r="J633" s="65"/>
      <c r="K633" s="65"/>
      <c r="L633" s="65"/>
    </row>
    <row r="634" ht="15.75" customHeight="1">
      <c r="C634" s="65"/>
      <c r="D634" s="65"/>
      <c r="E634" s="65"/>
      <c r="F634" s="65"/>
      <c r="H634" s="65"/>
      <c r="J634" s="65"/>
      <c r="K634" s="65"/>
      <c r="L634" s="65"/>
    </row>
    <row r="635" ht="15.75" customHeight="1">
      <c r="C635" s="65"/>
      <c r="D635" s="65"/>
      <c r="E635" s="65"/>
      <c r="F635" s="65"/>
      <c r="H635" s="65"/>
      <c r="J635" s="65"/>
      <c r="K635" s="65"/>
      <c r="L635" s="65"/>
    </row>
    <row r="636" ht="15.75" customHeight="1">
      <c r="C636" s="65"/>
      <c r="D636" s="65"/>
      <c r="E636" s="65"/>
      <c r="F636" s="65"/>
      <c r="H636" s="65"/>
      <c r="J636" s="65"/>
      <c r="K636" s="65"/>
      <c r="L636" s="65"/>
    </row>
    <row r="637" ht="15.75" customHeight="1">
      <c r="C637" s="65"/>
      <c r="D637" s="65"/>
      <c r="E637" s="65"/>
      <c r="F637" s="65"/>
      <c r="H637" s="65"/>
      <c r="J637" s="65"/>
      <c r="K637" s="65"/>
      <c r="L637" s="65"/>
    </row>
    <row r="638" ht="15.75" customHeight="1">
      <c r="C638" s="65"/>
      <c r="D638" s="65"/>
      <c r="E638" s="65"/>
      <c r="F638" s="65"/>
      <c r="H638" s="65"/>
      <c r="J638" s="65"/>
      <c r="K638" s="65"/>
      <c r="L638" s="65"/>
    </row>
    <row r="639" ht="15.75" customHeight="1">
      <c r="C639" s="65"/>
      <c r="D639" s="65"/>
      <c r="E639" s="65"/>
      <c r="F639" s="65"/>
      <c r="H639" s="65"/>
      <c r="J639" s="65"/>
      <c r="K639" s="65"/>
      <c r="L639" s="65"/>
    </row>
    <row r="640" ht="15.75" customHeight="1">
      <c r="C640" s="65"/>
      <c r="D640" s="65"/>
      <c r="E640" s="65"/>
      <c r="F640" s="65"/>
      <c r="H640" s="65"/>
      <c r="J640" s="65"/>
      <c r="K640" s="65"/>
      <c r="L640" s="65"/>
    </row>
    <row r="641" ht="15.75" customHeight="1">
      <c r="C641" s="65"/>
      <c r="D641" s="65"/>
      <c r="E641" s="65"/>
      <c r="F641" s="65"/>
      <c r="H641" s="65"/>
      <c r="J641" s="65"/>
      <c r="K641" s="65"/>
      <c r="L641" s="65"/>
    </row>
    <row r="642" ht="15.75" customHeight="1">
      <c r="C642" s="65"/>
      <c r="D642" s="65"/>
      <c r="E642" s="65"/>
      <c r="F642" s="65"/>
      <c r="H642" s="65"/>
      <c r="J642" s="65"/>
      <c r="K642" s="65"/>
      <c r="L642" s="65"/>
    </row>
    <row r="643" ht="15.75" customHeight="1">
      <c r="C643" s="65"/>
      <c r="D643" s="65"/>
      <c r="E643" s="65"/>
      <c r="F643" s="65"/>
      <c r="H643" s="65"/>
      <c r="J643" s="65"/>
      <c r="K643" s="65"/>
      <c r="L643" s="65"/>
    </row>
    <row r="644" ht="15.75" customHeight="1">
      <c r="C644" s="65"/>
      <c r="D644" s="65"/>
      <c r="E644" s="65"/>
      <c r="F644" s="65"/>
      <c r="H644" s="65"/>
      <c r="J644" s="65"/>
      <c r="K644" s="65"/>
      <c r="L644" s="65"/>
    </row>
    <row r="645" ht="15.75" customHeight="1">
      <c r="C645" s="65"/>
      <c r="D645" s="65"/>
      <c r="E645" s="65"/>
      <c r="F645" s="65"/>
      <c r="H645" s="65"/>
      <c r="J645" s="65"/>
      <c r="K645" s="65"/>
      <c r="L645" s="65"/>
    </row>
    <row r="646" ht="15.75" customHeight="1">
      <c r="C646" s="65"/>
      <c r="D646" s="65"/>
      <c r="E646" s="65"/>
      <c r="F646" s="65"/>
      <c r="H646" s="65"/>
      <c r="J646" s="65"/>
      <c r="K646" s="65"/>
      <c r="L646" s="65"/>
    </row>
    <row r="647" ht="15.75" customHeight="1">
      <c r="C647" s="65"/>
      <c r="D647" s="65"/>
      <c r="E647" s="65"/>
      <c r="F647" s="65"/>
      <c r="H647" s="65"/>
      <c r="J647" s="65"/>
      <c r="K647" s="65"/>
      <c r="L647" s="65"/>
    </row>
    <row r="648" ht="15.75" customHeight="1">
      <c r="C648" s="65"/>
      <c r="D648" s="65"/>
      <c r="E648" s="65"/>
      <c r="F648" s="65"/>
      <c r="H648" s="65"/>
      <c r="J648" s="65"/>
      <c r="K648" s="65"/>
      <c r="L648" s="65"/>
    </row>
    <row r="649" ht="15.75" customHeight="1">
      <c r="C649" s="65"/>
      <c r="D649" s="65"/>
      <c r="E649" s="65"/>
      <c r="F649" s="65"/>
      <c r="H649" s="65"/>
      <c r="J649" s="65"/>
      <c r="K649" s="65"/>
      <c r="L649" s="65"/>
    </row>
    <row r="650" ht="15.75" customHeight="1">
      <c r="C650" s="65"/>
      <c r="D650" s="65"/>
      <c r="E650" s="65"/>
      <c r="F650" s="65"/>
      <c r="H650" s="65"/>
      <c r="J650" s="65"/>
      <c r="K650" s="65"/>
      <c r="L650" s="65"/>
    </row>
    <row r="651" ht="15.75" customHeight="1">
      <c r="C651" s="65"/>
      <c r="D651" s="65"/>
      <c r="E651" s="65"/>
      <c r="F651" s="65"/>
      <c r="H651" s="65"/>
      <c r="J651" s="65"/>
      <c r="K651" s="65"/>
      <c r="L651" s="65"/>
    </row>
    <row r="652" ht="15.75" customHeight="1">
      <c r="C652" s="65"/>
      <c r="D652" s="65"/>
      <c r="E652" s="65"/>
      <c r="F652" s="65"/>
      <c r="H652" s="65"/>
      <c r="J652" s="65"/>
      <c r="K652" s="65"/>
      <c r="L652" s="65"/>
    </row>
    <row r="653" ht="15.75" customHeight="1">
      <c r="C653" s="65"/>
      <c r="D653" s="65"/>
      <c r="E653" s="65"/>
      <c r="F653" s="65"/>
      <c r="H653" s="65"/>
      <c r="J653" s="65"/>
      <c r="K653" s="65"/>
      <c r="L653" s="65"/>
    </row>
    <row r="654" ht="15.75" customHeight="1">
      <c r="C654" s="65"/>
      <c r="D654" s="65"/>
      <c r="E654" s="65"/>
      <c r="F654" s="65"/>
      <c r="H654" s="65"/>
      <c r="J654" s="65"/>
      <c r="K654" s="65"/>
      <c r="L654" s="65"/>
    </row>
    <row r="655" ht="15.75" customHeight="1">
      <c r="C655" s="65"/>
      <c r="D655" s="65"/>
      <c r="E655" s="65"/>
      <c r="F655" s="65"/>
      <c r="H655" s="65"/>
      <c r="J655" s="65"/>
      <c r="K655" s="65"/>
      <c r="L655" s="65"/>
    </row>
    <row r="656" ht="15.75" customHeight="1">
      <c r="C656" s="65"/>
      <c r="D656" s="65"/>
      <c r="E656" s="65"/>
      <c r="F656" s="65"/>
      <c r="H656" s="65"/>
      <c r="J656" s="65"/>
      <c r="K656" s="65"/>
      <c r="L656" s="65"/>
    </row>
    <row r="657" ht="15.75" customHeight="1">
      <c r="C657" s="65"/>
      <c r="D657" s="65"/>
      <c r="E657" s="65"/>
      <c r="F657" s="65"/>
      <c r="H657" s="65"/>
      <c r="J657" s="65"/>
      <c r="K657" s="65"/>
      <c r="L657" s="65"/>
    </row>
    <row r="658" ht="15.75" customHeight="1">
      <c r="C658" s="65"/>
      <c r="D658" s="65"/>
      <c r="E658" s="65"/>
      <c r="F658" s="65"/>
      <c r="H658" s="65"/>
      <c r="J658" s="65"/>
      <c r="K658" s="65"/>
      <c r="L658" s="65"/>
    </row>
    <row r="659" ht="15.75" customHeight="1">
      <c r="C659" s="65"/>
      <c r="D659" s="65"/>
      <c r="E659" s="65"/>
      <c r="F659" s="65"/>
      <c r="H659" s="65"/>
      <c r="J659" s="65"/>
      <c r="K659" s="65"/>
      <c r="L659" s="65"/>
    </row>
    <row r="660" ht="15.75" customHeight="1">
      <c r="C660" s="65"/>
      <c r="D660" s="65"/>
      <c r="E660" s="65"/>
      <c r="F660" s="65"/>
      <c r="H660" s="65"/>
      <c r="J660" s="65"/>
      <c r="K660" s="65"/>
      <c r="L660" s="65"/>
    </row>
    <row r="661" ht="15.75" customHeight="1">
      <c r="C661" s="65"/>
      <c r="D661" s="65"/>
      <c r="E661" s="65"/>
      <c r="F661" s="65"/>
      <c r="H661" s="65"/>
      <c r="J661" s="65"/>
      <c r="K661" s="65"/>
      <c r="L661" s="65"/>
    </row>
    <row r="662" ht="15.75" customHeight="1">
      <c r="C662" s="65"/>
      <c r="D662" s="65"/>
      <c r="E662" s="65"/>
      <c r="F662" s="65"/>
      <c r="H662" s="65"/>
      <c r="J662" s="65"/>
      <c r="K662" s="65"/>
      <c r="L662" s="65"/>
    </row>
    <row r="663" ht="15.75" customHeight="1">
      <c r="C663" s="65"/>
      <c r="D663" s="65"/>
      <c r="E663" s="65"/>
      <c r="F663" s="65"/>
      <c r="H663" s="65"/>
      <c r="J663" s="65"/>
      <c r="K663" s="65"/>
      <c r="L663" s="65"/>
    </row>
    <row r="664" ht="15.75" customHeight="1">
      <c r="C664" s="65"/>
      <c r="D664" s="65"/>
      <c r="E664" s="65"/>
      <c r="F664" s="65"/>
      <c r="H664" s="65"/>
      <c r="J664" s="65"/>
      <c r="K664" s="65"/>
      <c r="L664" s="65"/>
    </row>
    <row r="665" ht="15.75" customHeight="1">
      <c r="C665" s="65"/>
      <c r="D665" s="65"/>
      <c r="E665" s="65"/>
      <c r="F665" s="65"/>
      <c r="H665" s="65"/>
      <c r="J665" s="65"/>
      <c r="K665" s="65"/>
      <c r="L665" s="65"/>
    </row>
    <row r="666" ht="15.75" customHeight="1">
      <c r="C666" s="65"/>
      <c r="D666" s="65"/>
      <c r="E666" s="65"/>
      <c r="F666" s="65"/>
      <c r="H666" s="65"/>
      <c r="J666" s="65"/>
      <c r="K666" s="65"/>
      <c r="L666" s="65"/>
    </row>
    <row r="667" ht="15.75" customHeight="1">
      <c r="C667" s="65"/>
      <c r="D667" s="65"/>
      <c r="E667" s="65"/>
      <c r="F667" s="65"/>
      <c r="H667" s="65"/>
      <c r="J667" s="65"/>
      <c r="K667" s="65"/>
      <c r="L667" s="65"/>
    </row>
    <row r="668" ht="15.75" customHeight="1">
      <c r="C668" s="65"/>
      <c r="D668" s="65"/>
      <c r="E668" s="65"/>
      <c r="F668" s="65"/>
      <c r="H668" s="65"/>
      <c r="J668" s="65"/>
      <c r="K668" s="65"/>
      <c r="L668" s="65"/>
    </row>
    <row r="669" ht="15.75" customHeight="1">
      <c r="C669" s="65"/>
      <c r="D669" s="65"/>
      <c r="E669" s="65"/>
      <c r="F669" s="65"/>
      <c r="H669" s="65"/>
      <c r="J669" s="65"/>
      <c r="K669" s="65"/>
      <c r="L669" s="65"/>
    </row>
    <row r="670" ht="15.75" customHeight="1">
      <c r="C670" s="65"/>
      <c r="D670" s="65"/>
      <c r="E670" s="65"/>
      <c r="F670" s="65"/>
      <c r="H670" s="65"/>
      <c r="J670" s="65"/>
      <c r="K670" s="65"/>
      <c r="L670" s="65"/>
    </row>
    <row r="671" ht="15.75" customHeight="1">
      <c r="C671" s="65"/>
      <c r="D671" s="65"/>
      <c r="E671" s="65"/>
      <c r="F671" s="65"/>
      <c r="H671" s="65"/>
      <c r="J671" s="65"/>
      <c r="K671" s="65"/>
      <c r="L671" s="65"/>
    </row>
    <row r="672" ht="15.75" customHeight="1">
      <c r="C672" s="65"/>
      <c r="D672" s="65"/>
      <c r="E672" s="65"/>
      <c r="F672" s="65"/>
      <c r="H672" s="65"/>
      <c r="J672" s="65"/>
      <c r="K672" s="65"/>
      <c r="L672" s="65"/>
    </row>
    <row r="673" ht="15.75" customHeight="1">
      <c r="C673" s="65"/>
      <c r="D673" s="65"/>
      <c r="E673" s="65"/>
      <c r="F673" s="65"/>
      <c r="H673" s="65"/>
      <c r="J673" s="65"/>
      <c r="K673" s="65"/>
      <c r="L673" s="65"/>
    </row>
    <row r="674" ht="15.75" customHeight="1">
      <c r="C674" s="65"/>
      <c r="D674" s="65"/>
      <c r="E674" s="65"/>
      <c r="F674" s="65"/>
      <c r="H674" s="65"/>
      <c r="J674" s="65"/>
      <c r="K674" s="65"/>
      <c r="L674" s="65"/>
    </row>
    <row r="675" ht="15.75" customHeight="1">
      <c r="C675" s="65"/>
      <c r="D675" s="65"/>
      <c r="E675" s="65"/>
      <c r="F675" s="65"/>
      <c r="H675" s="65"/>
      <c r="J675" s="65"/>
      <c r="K675" s="65"/>
      <c r="L675" s="65"/>
    </row>
    <row r="676" ht="15.75" customHeight="1">
      <c r="C676" s="65"/>
      <c r="D676" s="65"/>
      <c r="E676" s="65"/>
      <c r="F676" s="65"/>
      <c r="H676" s="65"/>
      <c r="J676" s="65"/>
      <c r="K676" s="65"/>
      <c r="L676" s="65"/>
    </row>
    <row r="677" ht="15.75" customHeight="1">
      <c r="C677" s="65"/>
      <c r="D677" s="65"/>
      <c r="E677" s="65"/>
      <c r="F677" s="65"/>
      <c r="H677" s="65"/>
      <c r="J677" s="65"/>
      <c r="K677" s="65"/>
      <c r="L677" s="65"/>
    </row>
    <row r="678" ht="15.75" customHeight="1">
      <c r="C678" s="65"/>
      <c r="D678" s="65"/>
      <c r="E678" s="65"/>
      <c r="F678" s="65"/>
      <c r="H678" s="65"/>
      <c r="J678" s="65"/>
      <c r="K678" s="65"/>
      <c r="L678" s="65"/>
    </row>
    <row r="679" ht="15.75" customHeight="1">
      <c r="C679" s="65"/>
      <c r="D679" s="65"/>
      <c r="E679" s="65"/>
      <c r="F679" s="65"/>
      <c r="H679" s="65"/>
      <c r="J679" s="65"/>
      <c r="K679" s="65"/>
      <c r="L679" s="65"/>
    </row>
    <row r="680" ht="15.75" customHeight="1">
      <c r="C680" s="65"/>
      <c r="D680" s="65"/>
      <c r="E680" s="65"/>
      <c r="F680" s="65"/>
      <c r="H680" s="65"/>
      <c r="J680" s="65"/>
      <c r="K680" s="65"/>
      <c r="L680" s="65"/>
    </row>
    <row r="681" ht="15.75" customHeight="1">
      <c r="C681" s="65"/>
      <c r="D681" s="65"/>
      <c r="E681" s="65"/>
      <c r="F681" s="65"/>
      <c r="H681" s="65"/>
      <c r="J681" s="65"/>
      <c r="K681" s="65"/>
      <c r="L681" s="65"/>
    </row>
    <row r="682" ht="15.75" customHeight="1">
      <c r="C682" s="65"/>
      <c r="D682" s="65"/>
      <c r="E682" s="65"/>
      <c r="F682" s="65"/>
      <c r="H682" s="65"/>
      <c r="J682" s="65"/>
      <c r="K682" s="65"/>
      <c r="L682" s="65"/>
    </row>
    <row r="683" ht="15.75" customHeight="1">
      <c r="C683" s="65"/>
      <c r="D683" s="65"/>
      <c r="E683" s="65"/>
      <c r="F683" s="65"/>
      <c r="H683" s="65"/>
      <c r="J683" s="65"/>
      <c r="K683" s="65"/>
      <c r="L683" s="65"/>
    </row>
    <row r="684" ht="15.75" customHeight="1">
      <c r="C684" s="65"/>
      <c r="D684" s="65"/>
      <c r="E684" s="65"/>
      <c r="F684" s="65"/>
      <c r="H684" s="65"/>
      <c r="J684" s="65"/>
      <c r="K684" s="65"/>
      <c r="L684" s="65"/>
    </row>
    <row r="685" ht="15.75" customHeight="1">
      <c r="C685" s="65"/>
      <c r="D685" s="65"/>
      <c r="E685" s="65"/>
      <c r="F685" s="65"/>
      <c r="H685" s="65"/>
      <c r="J685" s="65"/>
      <c r="K685" s="65"/>
      <c r="L685" s="65"/>
    </row>
    <row r="686" ht="15.75" customHeight="1">
      <c r="C686" s="65"/>
      <c r="D686" s="65"/>
      <c r="E686" s="65"/>
      <c r="F686" s="65"/>
      <c r="H686" s="65"/>
      <c r="J686" s="65"/>
      <c r="K686" s="65"/>
      <c r="L686" s="65"/>
    </row>
    <row r="687" ht="15.75" customHeight="1">
      <c r="C687" s="65"/>
      <c r="D687" s="65"/>
      <c r="E687" s="65"/>
      <c r="F687" s="65"/>
      <c r="H687" s="65"/>
      <c r="J687" s="65"/>
      <c r="K687" s="65"/>
      <c r="L687" s="65"/>
    </row>
    <row r="688" ht="15.75" customHeight="1">
      <c r="C688" s="65"/>
      <c r="D688" s="65"/>
      <c r="E688" s="65"/>
      <c r="F688" s="65"/>
      <c r="H688" s="65"/>
      <c r="J688" s="65"/>
      <c r="K688" s="65"/>
      <c r="L688" s="65"/>
    </row>
    <row r="689" ht="15.75" customHeight="1">
      <c r="C689" s="65"/>
      <c r="D689" s="65"/>
      <c r="E689" s="65"/>
      <c r="F689" s="65"/>
      <c r="H689" s="65"/>
      <c r="J689" s="65"/>
      <c r="K689" s="65"/>
      <c r="L689" s="65"/>
    </row>
    <row r="690" ht="15.75" customHeight="1">
      <c r="C690" s="65"/>
      <c r="D690" s="65"/>
      <c r="E690" s="65"/>
      <c r="F690" s="65"/>
      <c r="H690" s="65"/>
      <c r="J690" s="65"/>
      <c r="K690" s="65"/>
      <c r="L690" s="65"/>
    </row>
    <row r="691" ht="15.75" customHeight="1">
      <c r="C691" s="65"/>
      <c r="D691" s="65"/>
      <c r="E691" s="65"/>
      <c r="F691" s="65"/>
      <c r="H691" s="65"/>
      <c r="J691" s="65"/>
      <c r="K691" s="65"/>
      <c r="L691" s="65"/>
    </row>
    <row r="692" ht="15.75" customHeight="1">
      <c r="C692" s="65"/>
      <c r="D692" s="65"/>
      <c r="E692" s="65"/>
      <c r="F692" s="65"/>
      <c r="H692" s="65"/>
      <c r="J692" s="65"/>
      <c r="K692" s="65"/>
      <c r="L692" s="65"/>
    </row>
    <row r="693" ht="15.75" customHeight="1">
      <c r="C693" s="65"/>
      <c r="D693" s="65"/>
      <c r="E693" s="65"/>
      <c r="F693" s="65"/>
      <c r="H693" s="65"/>
      <c r="J693" s="65"/>
      <c r="K693" s="65"/>
      <c r="L693" s="65"/>
    </row>
    <row r="694" ht="15.75" customHeight="1">
      <c r="C694" s="65"/>
      <c r="D694" s="65"/>
      <c r="E694" s="65"/>
      <c r="F694" s="65"/>
      <c r="H694" s="65"/>
      <c r="J694" s="65"/>
      <c r="K694" s="65"/>
      <c r="L694" s="65"/>
    </row>
    <row r="695" ht="15.75" customHeight="1">
      <c r="C695" s="65"/>
      <c r="D695" s="65"/>
      <c r="E695" s="65"/>
      <c r="F695" s="65"/>
      <c r="H695" s="65"/>
      <c r="J695" s="65"/>
      <c r="K695" s="65"/>
      <c r="L695" s="65"/>
    </row>
    <row r="696" ht="15.75" customHeight="1">
      <c r="C696" s="65"/>
      <c r="D696" s="65"/>
      <c r="E696" s="65"/>
      <c r="F696" s="65"/>
      <c r="H696" s="65"/>
      <c r="J696" s="65"/>
      <c r="K696" s="65"/>
      <c r="L696" s="65"/>
    </row>
    <row r="697" ht="15.75" customHeight="1">
      <c r="C697" s="65"/>
      <c r="D697" s="65"/>
      <c r="E697" s="65"/>
      <c r="F697" s="65"/>
      <c r="H697" s="65"/>
      <c r="J697" s="65"/>
      <c r="K697" s="65"/>
      <c r="L697" s="65"/>
    </row>
    <row r="698" ht="15.75" customHeight="1">
      <c r="C698" s="65"/>
      <c r="D698" s="65"/>
      <c r="E698" s="65"/>
      <c r="F698" s="65"/>
      <c r="H698" s="65"/>
      <c r="J698" s="65"/>
      <c r="K698" s="65"/>
      <c r="L698" s="65"/>
    </row>
    <row r="699" ht="15.75" customHeight="1">
      <c r="C699" s="65"/>
      <c r="D699" s="65"/>
      <c r="E699" s="65"/>
      <c r="F699" s="65"/>
      <c r="H699" s="65"/>
      <c r="J699" s="65"/>
      <c r="K699" s="65"/>
      <c r="L699" s="65"/>
    </row>
    <row r="700" ht="15.75" customHeight="1">
      <c r="C700" s="65"/>
      <c r="D700" s="65"/>
      <c r="E700" s="65"/>
      <c r="F700" s="65"/>
      <c r="H700" s="65"/>
      <c r="J700" s="65"/>
      <c r="K700" s="65"/>
      <c r="L700" s="65"/>
    </row>
    <row r="701" ht="15.75" customHeight="1">
      <c r="C701" s="65"/>
      <c r="D701" s="65"/>
      <c r="E701" s="65"/>
      <c r="F701" s="65"/>
      <c r="H701" s="65"/>
      <c r="J701" s="65"/>
      <c r="K701" s="65"/>
      <c r="L701" s="65"/>
    </row>
    <row r="702" ht="15.75" customHeight="1">
      <c r="C702" s="65"/>
      <c r="D702" s="65"/>
      <c r="E702" s="65"/>
      <c r="F702" s="65"/>
      <c r="H702" s="65"/>
      <c r="J702" s="65"/>
      <c r="K702" s="65"/>
      <c r="L702" s="65"/>
    </row>
    <row r="703" ht="15.75" customHeight="1">
      <c r="C703" s="65"/>
      <c r="D703" s="65"/>
      <c r="E703" s="65"/>
      <c r="F703" s="65"/>
      <c r="H703" s="65"/>
      <c r="J703" s="65"/>
      <c r="K703" s="65"/>
      <c r="L703" s="65"/>
    </row>
    <row r="704" ht="15.75" customHeight="1">
      <c r="C704" s="65"/>
      <c r="D704" s="65"/>
      <c r="E704" s="65"/>
      <c r="F704" s="65"/>
      <c r="H704" s="65"/>
      <c r="J704" s="65"/>
      <c r="K704" s="65"/>
      <c r="L704" s="65"/>
    </row>
    <row r="705" ht="15.75" customHeight="1">
      <c r="C705" s="65"/>
      <c r="D705" s="65"/>
      <c r="E705" s="65"/>
      <c r="F705" s="65"/>
      <c r="H705" s="65"/>
      <c r="J705" s="65"/>
      <c r="K705" s="65"/>
      <c r="L705" s="65"/>
    </row>
    <row r="706" ht="15.75" customHeight="1">
      <c r="C706" s="65"/>
      <c r="D706" s="65"/>
      <c r="E706" s="65"/>
      <c r="F706" s="65"/>
      <c r="H706" s="65"/>
      <c r="J706" s="65"/>
      <c r="K706" s="65"/>
      <c r="L706" s="65"/>
    </row>
    <row r="707" ht="15.75" customHeight="1">
      <c r="C707" s="65"/>
      <c r="D707" s="65"/>
      <c r="E707" s="65"/>
      <c r="F707" s="65"/>
      <c r="H707" s="65"/>
      <c r="J707" s="65"/>
      <c r="K707" s="65"/>
      <c r="L707" s="65"/>
    </row>
    <row r="708" ht="15.75" customHeight="1">
      <c r="C708" s="65"/>
      <c r="D708" s="65"/>
      <c r="E708" s="65"/>
      <c r="F708" s="65"/>
      <c r="H708" s="65"/>
      <c r="J708" s="65"/>
      <c r="K708" s="65"/>
      <c r="L708" s="65"/>
    </row>
    <row r="709" ht="15.75" customHeight="1">
      <c r="C709" s="65"/>
      <c r="D709" s="65"/>
      <c r="E709" s="65"/>
      <c r="F709" s="65"/>
      <c r="H709" s="65"/>
      <c r="J709" s="65"/>
      <c r="K709" s="65"/>
      <c r="L709" s="65"/>
    </row>
    <row r="710" ht="15.75" customHeight="1">
      <c r="C710" s="65"/>
      <c r="D710" s="65"/>
      <c r="E710" s="65"/>
      <c r="F710" s="65"/>
      <c r="H710" s="65"/>
      <c r="J710" s="65"/>
      <c r="K710" s="65"/>
      <c r="L710" s="65"/>
    </row>
    <row r="711" ht="15.75" customHeight="1">
      <c r="C711" s="65"/>
      <c r="D711" s="65"/>
      <c r="E711" s="65"/>
      <c r="F711" s="65"/>
      <c r="H711" s="65"/>
      <c r="J711" s="65"/>
      <c r="K711" s="65"/>
      <c r="L711" s="65"/>
    </row>
    <row r="712" ht="15.75" customHeight="1">
      <c r="C712" s="65"/>
      <c r="D712" s="65"/>
      <c r="E712" s="65"/>
      <c r="F712" s="65"/>
      <c r="H712" s="65"/>
      <c r="J712" s="65"/>
      <c r="K712" s="65"/>
      <c r="L712" s="65"/>
    </row>
    <row r="713" ht="15.75" customHeight="1">
      <c r="C713" s="65"/>
      <c r="D713" s="65"/>
      <c r="E713" s="65"/>
      <c r="F713" s="65"/>
      <c r="H713" s="65"/>
      <c r="J713" s="65"/>
      <c r="K713" s="65"/>
      <c r="L713" s="65"/>
    </row>
    <row r="714" ht="15.75" customHeight="1">
      <c r="C714" s="65"/>
      <c r="D714" s="65"/>
      <c r="E714" s="65"/>
      <c r="F714" s="65"/>
      <c r="H714" s="65"/>
      <c r="J714" s="65"/>
      <c r="K714" s="65"/>
      <c r="L714" s="65"/>
    </row>
    <row r="715" ht="15.75" customHeight="1">
      <c r="C715" s="65"/>
      <c r="D715" s="65"/>
      <c r="E715" s="65"/>
      <c r="F715" s="65"/>
      <c r="H715" s="65"/>
      <c r="J715" s="65"/>
      <c r="K715" s="65"/>
      <c r="L715" s="65"/>
    </row>
    <row r="716" ht="15.75" customHeight="1">
      <c r="C716" s="65"/>
      <c r="D716" s="65"/>
      <c r="E716" s="65"/>
      <c r="F716" s="65"/>
      <c r="H716" s="65"/>
      <c r="J716" s="65"/>
      <c r="K716" s="65"/>
      <c r="L716" s="65"/>
    </row>
    <row r="717" ht="15.75" customHeight="1">
      <c r="C717" s="65"/>
      <c r="D717" s="65"/>
      <c r="E717" s="65"/>
      <c r="F717" s="65"/>
      <c r="H717" s="65"/>
      <c r="J717" s="65"/>
      <c r="K717" s="65"/>
      <c r="L717" s="65"/>
    </row>
    <row r="718" ht="15.75" customHeight="1">
      <c r="C718" s="65"/>
      <c r="D718" s="65"/>
      <c r="E718" s="65"/>
      <c r="F718" s="65"/>
      <c r="H718" s="65"/>
      <c r="J718" s="65"/>
      <c r="K718" s="65"/>
      <c r="L718" s="65"/>
    </row>
    <row r="719" ht="15.75" customHeight="1">
      <c r="C719" s="65"/>
      <c r="D719" s="65"/>
      <c r="E719" s="65"/>
      <c r="F719" s="65"/>
      <c r="H719" s="65"/>
      <c r="J719" s="65"/>
      <c r="K719" s="65"/>
      <c r="L719" s="65"/>
    </row>
    <row r="720" ht="15.75" customHeight="1">
      <c r="C720" s="65"/>
      <c r="D720" s="65"/>
      <c r="E720" s="65"/>
      <c r="F720" s="65"/>
      <c r="H720" s="65"/>
      <c r="J720" s="65"/>
      <c r="K720" s="65"/>
      <c r="L720" s="65"/>
    </row>
    <row r="721" ht="15.75" customHeight="1">
      <c r="C721" s="65"/>
      <c r="D721" s="65"/>
      <c r="E721" s="65"/>
      <c r="F721" s="65"/>
      <c r="H721" s="65"/>
      <c r="J721" s="65"/>
      <c r="K721" s="65"/>
      <c r="L721" s="65"/>
    </row>
    <row r="722" ht="15.75" customHeight="1">
      <c r="C722" s="65"/>
      <c r="D722" s="65"/>
      <c r="E722" s="65"/>
      <c r="F722" s="65"/>
      <c r="H722" s="65"/>
      <c r="J722" s="65"/>
      <c r="K722" s="65"/>
      <c r="L722" s="65"/>
    </row>
    <row r="723" ht="15.75" customHeight="1">
      <c r="C723" s="65"/>
      <c r="D723" s="65"/>
      <c r="E723" s="65"/>
      <c r="F723" s="65"/>
      <c r="H723" s="65"/>
      <c r="J723" s="65"/>
      <c r="K723" s="65"/>
      <c r="L723" s="65"/>
    </row>
    <row r="724" ht="15.75" customHeight="1">
      <c r="C724" s="65"/>
      <c r="D724" s="65"/>
      <c r="E724" s="65"/>
      <c r="F724" s="65"/>
      <c r="H724" s="65"/>
      <c r="J724" s="65"/>
      <c r="K724" s="65"/>
      <c r="L724" s="65"/>
    </row>
    <row r="725" ht="15.75" customHeight="1">
      <c r="C725" s="65"/>
      <c r="D725" s="65"/>
      <c r="E725" s="65"/>
      <c r="F725" s="65"/>
      <c r="H725" s="65"/>
      <c r="J725" s="65"/>
      <c r="K725" s="65"/>
      <c r="L725" s="65"/>
    </row>
    <row r="726" ht="15.75" customHeight="1">
      <c r="C726" s="65"/>
      <c r="D726" s="65"/>
      <c r="E726" s="65"/>
      <c r="F726" s="65"/>
      <c r="H726" s="65"/>
      <c r="J726" s="65"/>
      <c r="K726" s="65"/>
      <c r="L726" s="65"/>
    </row>
    <row r="727" ht="15.75" customHeight="1">
      <c r="C727" s="65"/>
      <c r="D727" s="65"/>
      <c r="E727" s="65"/>
      <c r="F727" s="65"/>
      <c r="H727" s="65"/>
      <c r="J727" s="65"/>
      <c r="K727" s="65"/>
      <c r="L727" s="65"/>
    </row>
    <row r="728" ht="15.75" customHeight="1">
      <c r="C728" s="65"/>
      <c r="D728" s="65"/>
      <c r="E728" s="65"/>
      <c r="F728" s="65"/>
      <c r="H728" s="65"/>
      <c r="J728" s="65"/>
      <c r="K728" s="65"/>
      <c r="L728" s="65"/>
    </row>
    <row r="729" ht="15.75" customHeight="1">
      <c r="C729" s="65"/>
      <c r="D729" s="65"/>
      <c r="E729" s="65"/>
      <c r="F729" s="65"/>
      <c r="H729" s="65"/>
      <c r="J729" s="65"/>
      <c r="K729" s="65"/>
      <c r="L729" s="65"/>
    </row>
    <row r="730" ht="15.75" customHeight="1">
      <c r="C730" s="65"/>
      <c r="D730" s="65"/>
      <c r="E730" s="65"/>
      <c r="F730" s="65"/>
      <c r="H730" s="65"/>
      <c r="J730" s="65"/>
      <c r="K730" s="65"/>
      <c r="L730" s="65"/>
    </row>
    <row r="731" ht="15.75" customHeight="1">
      <c r="C731" s="65"/>
      <c r="D731" s="65"/>
      <c r="E731" s="65"/>
      <c r="F731" s="65"/>
      <c r="H731" s="65"/>
      <c r="J731" s="65"/>
      <c r="K731" s="65"/>
      <c r="L731" s="65"/>
    </row>
    <row r="732" ht="15.75" customHeight="1">
      <c r="C732" s="65"/>
      <c r="D732" s="65"/>
      <c r="E732" s="65"/>
      <c r="F732" s="65"/>
      <c r="H732" s="65"/>
      <c r="J732" s="65"/>
      <c r="K732" s="65"/>
      <c r="L732" s="65"/>
    </row>
    <row r="733" ht="15.75" customHeight="1">
      <c r="C733" s="65"/>
      <c r="D733" s="65"/>
      <c r="E733" s="65"/>
      <c r="F733" s="65"/>
      <c r="H733" s="65"/>
      <c r="J733" s="65"/>
      <c r="K733" s="65"/>
      <c r="L733" s="65"/>
    </row>
    <row r="734" ht="15.75" customHeight="1">
      <c r="C734" s="65"/>
      <c r="D734" s="65"/>
      <c r="E734" s="65"/>
      <c r="F734" s="65"/>
      <c r="H734" s="65"/>
      <c r="J734" s="65"/>
      <c r="K734" s="65"/>
      <c r="L734" s="65"/>
    </row>
    <row r="735" ht="15.75" customHeight="1">
      <c r="C735" s="65"/>
      <c r="D735" s="65"/>
      <c r="E735" s="65"/>
      <c r="F735" s="65"/>
      <c r="H735" s="65"/>
      <c r="J735" s="65"/>
      <c r="K735" s="65"/>
      <c r="L735" s="65"/>
    </row>
    <row r="736" ht="15.75" customHeight="1">
      <c r="C736" s="65"/>
      <c r="D736" s="65"/>
      <c r="E736" s="65"/>
      <c r="F736" s="65"/>
      <c r="H736" s="65"/>
      <c r="J736" s="65"/>
      <c r="K736" s="65"/>
      <c r="L736" s="65"/>
    </row>
    <row r="737" ht="15.75" customHeight="1">
      <c r="C737" s="65"/>
      <c r="D737" s="65"/>
      <c r="E737" s="65"/>
      <c r="F737" s="65"/>
      <c r="H737" s="65"/>
      <c r="J737" s="65"/>
      <c r="K737" s="65"/>
      <c r="L737" s="65"/>
    </row>
    <row r="738" ht="15.75" customHeight="1">
      <c r="C738" s="65"/>
      <c r="D738" s="65"/>
      <c r="E738" s="65"/>
      <c r="F738" s="65"/>
      <c r="H738" s="65"/>
      <c r="J738" s="65"/>
      <c r="K738" s="65"/>
      <c r="L738" s="65"/>
    </row>
    <row r="739" ht="15.75" customHeight="1">
      <c r="C739" s="65"/>
      <c r="D739" s="65"/>
      <c r="E739" s="65"/>
      <c r="F739" s="65"/>
      <c r="H739" s="65"/>
      <c r="J739" s="65"/>
      <c r="K739" s="65"/>
      <c r="L739" s="65"/>
    </row>
    <row r="740" ht="15.75" customHeight="1">
      <c r="C740" s="65"/>
      <c r="D740" s="65"/>
      <c r="E740" s="65"/>
      <c r="F740" s="65"/>
      <c r="H740" s="65"/>
      <c r="J740" s="65"/>
      <c r="K740" s="65"/>
      <c r="L740" s="65"/>
    </row>
    <row r="741" ht="15.75" customHeight="1">
      <c r="C741" s="65"/>
      <c r="D741" s="65"/>
      <c r="E741" s="65"/>
      <c r="F741" s="65"/>
      <c r="H741" s="65"/>
      <c r="J741" s="65"/>
      <c r="K741" s="65"/>
      <c r="L741" s="65"/>
    </row>
    <row r="742" ht="15.75" customHeight="1">
      <c r="C742" s="65"/>
      <c r="D742" s="65"/>
      <c r="E742" s="65"/>
      <c r="F742" s="65"/>
      <c r="H742" s="65"/>
      <c r="J742" s="65"/>
      <c r="K742" s="65"/>
      <c r="L742" s="65"/>
    </row>
    <row r="743" ht="15.75" customHeight="1">
      <c r="C743" s="65"/>
      <c r="D743" s="65"/>
      <c r="E743" s="65"/>
      <c r="F743" s="65"/>
      <c r="H743" s="65"/>
      <c r="J743" s="65"/>
      <c r="K743" s="65"/>
      <c r="L743" s="65"/>
    </row>
    <row r="744" ht="15.75" customHeight="1">
      <c r="C744" s="65"/>
      <c r="D744" s="65"/>
      <c r="E744" s="65"/>
      <c r="F744" s="65"/>
      <c r="H744" s="65"/>
      <c r="J744" s="65"/>
      <c r="K744" s="65"/>
      <c r="L744" s="65"/>
    </row>
    <row r="745" ht="15.75" customHeight="1">
      <c r="C745" s="65"/>
      <c r="D745" s="65"/>
      <c r="E745" s="65"/>
      <c r="F745" s="65"/>
      <c r="H745" s="65"/>
      <c r="J745" s="65"/>
      <c r="K745" s="65"/>
      <c r="L745" s="65"/>
    </row>
    <row r="746" ht="15.75" customHeight="1">
      <c r="C746" s="65"/>
      <c r="D746" s="65"/>
      <c r="E746" s="65"/>
      <c r="F746" s="65"/>
      <c r="H746" s="65"/>
      <c r="J746" s="65"/>
      <c r="K746" s="65"/>
      <c r="L746" s="65"/>
    </row>
    <row r="747" ht="15.75" customHeight="1">
      <c r="C747" s="65"/>
      <c r="D747" s="65"/>
      <c r="E747" s="65"/>
      <c r="F747" s="65"/>
      <c r="H747" s="65"/>
      <c r="J747" s="65"/>
      <c r="K747" s="65"/>
      <c r="L747" s="65"/>
    </row>
    <row r="748" ht="15.75" customHeight="1">
      <c r="C748" s="65"/>
      <c r="D748" s="65"/>
      <c r="E748" s="65"/>
      <c r="F748" s="65"/>
      <c r="H748" s="65"/>
      <c r="J748" s="65"/>
      <c r="K748" s="65"/>
      <c r="L748" s="65"/>
    </row>
    <row r="749" ht="15.75" customHeight="1">
      <c r="C749" s="65"/>
      <c r="D749" s="65"/>
      <c r="E749" s="65"/>
      <c r="F749" s="65"/>
      <c r="H749" s="65"/>
      <c r="J749" s="65"/>
      <c r="K749" s="65"/>
      <c r="L749" s="65"/>
    </row>
    <row r="750" ht="15.75" customHeight="1">
      <c r="C750" s="65"/>
      <c r="D750" s="65"/>
      <c r="E750" s="65"/>
      <c r="F750" s="65"/>
      <c r="H750" s="65"/>
      <c r="J750" s="65"/>
      <c r="K750" s="65"/>
      <c r="L750" s="65"/>
    </row>
    <row r="751" ht="15.75" customHeight="1">
      <c r="C751" s="65"/>
      <c r="D751" s="65"/>
      <c r="E751" s="65"/>
      <c r="F751" s="65"/>
      <c r="H751" s="65"/>
      <c r="J751" s="65"/>
      <c r="K751" s="65"/>
      <c r="L751" s="65"/>
    </row>
    <row r="752" ht="15.75" customHeight="1">
      <c r="C752" s="65"/>
      <c r="D752" s="65"/>
      <c r="E752" s="65"/>
      <c r="F752" s="65"/>
      <c r="H752" s="65"/>
      <c r="J752" s="65"/>
      <c r="K752" s="65"/>
      <c r="L752" s="65"/>
    </row>
    <row r="753" ht="15.75" customHeight="1">
      <c r="C753" s="65"/>
      <c r="D753" s="65"/>
      <c r="E753" s="65"/>
      <c r="F753" s="65"/>
      <c r="H753" s="65"/>
      <c r="J753" s="65"/>
      <c r="K753" s="65"/>
      <c r="L753" s="65"/>
    </row>
    <row r="754" ht="15.75" customHeight="1">
      <c r="C754" s="65"/>
      <c r="D754" s="65"/>
      <c r="E754" s="65"/>
      <c r="F754" s="65"/>
      <c r="H754" s="65"/>
      <c r="J754" s="65"/>
      <c r="K754" s="65"/>
      <c r="L754" s="65"/>
    </row>
    <row r="755" ht="15.75" customHeight="1">
      <c r="C755" s="65"/>
      <c r="D755" s="65"/>
      <c r="E755" s="65"/>
      <c r="F755" s="65"/>
      <c r="H755" s="65"/>
      <c r="J755" s="65"/>
      <c r="K755" s="65"/>
      <c r="L755" s="65"/>
    </row>
    <row r="756" ht="15.75" customHeight="1">
      <c r="C756" s="65"/>
      <c r="D756" s="65"/>
      <c r="E756" s="65"/>
      <c r="F756" s="65"/>
      <c r="H756" s="65"/>
      <c r="J756" s="65"/>
      <c r="K756" s="65"/>
      <c r="L756" s="65"/>
    </row>
    <row r="757" ht="15.75" customHeight="1">
      <c r="C757" s="65"/>
      <c r="D757" s="65"/>
      <c r="E757" s="65"/>
      <c r="F757" s="65"/>
      <c r="H757" s="65"/>
      <c r="J757" s="65"/>
      <c r="K757" s="65"/>
      <c r="L757" s="65"/>
    </row>
    <row r="758" ht="15.75" customHeight="1">
      <c r="C758" s="65"/>
      <c r="D758" s="65"/>
      <c r="E758" s="65"/>
      <c r="F758" s="65"/>
      <c r="H758" s="65"/>
      <c r="J758" s="65"/>
      <c r="K758" s="65"/>
      <c r="L758" s="65"/>
    </row>
    <row r="759" ht="15.75" customHeight="1">
      <c r="C759" s="65"/>
      <c r="D759" s="65"/>
      <c r="E759" s="65"/>
      <c r="F759" s="65"/>
      <c r="H759" s="65"/>
      <c r="J759" s="65"/>
      <c r="K759" s="65"/>
      <c r="L759" s="65"/>
    </row>
    <row r="760" ht="15.75" customHeight="1">
      <c r="C760" s="65"/>
      <c r="D760" s="65"/>
      <c r="E760" s="65"/>
      <c r="F760" s="65"/>
      <c r="H760" s="65"/>
      <c r="J760" s="65"/>
      <c r="K760" s="65"/>
      <c r="L760" s="65"/>
    </row>
    <row r="761" ht="15.75" customHeight="1">
      <c r="C761" s="65"/>
      <c r="D761" s="65"/>
      <c r="E761" s="65"/>
      <c r="F761" s="65"/>
      <c r="H761" s="65"/>
      <c r="J761" s="65"/>
      <c r="K761" s="65"/>
      <c r="L761" s="65"/>
    </row>
    <row r="762" ht="15.75" customHeight="1">
      <c r="C762" s="65"/>
      <c r="D762" s="65"/>
      <c r="E762" s="65"/>
      <c r="F762" s="65"/>
      <c r="H762" s="65"/>
      <c r="J762" s="65"/>
      <c r="K762" s="65"/>
      <c r="L762" s="65"/>
    </row>
    <row r="763" ht="15.75" customHeight="1">
      <c r="C763" s="65"/>
      <c r="D763" s="65"/>
      <c r="E763" s="65"/>
      <c r="F763" s="65"/>
      <c r="H763" s="65"/>
      <c r="J763" s="65"/>
      <c r="K763" s="65"/>
      <c r="L763" s="65"/>
    </row>
    <row r="764" ht="15.75" customHeight="1">
      <c r="C764" s="65"/>
      <c r="D764" s="65"/>
      <c r="E764" s="65"/>
      <c r="F764" s="65"/>
      <c r="H764" s="65"/>
      <c r="J764" s="65"/>
      <c r="K764" s="65"/>
      <c r="L764" s="65"/>
    </row>
    <row r="765" ht="15.75" customHeight="1">
      <c r="C765" s="65"/>
      <c r="D765" s="65"/>
      <c r="E765" s="65"/>
      <c r="F765" s="65"/>
      <c r="H765" s="65"/>
      <c r="J765" s="65"/>
      <c r="K765" s="65"/>
      <c r="L765" s="65"/>
    </row>
    <row r="766" ht="15.75" customHeight="1">
      <c r="C766" s="65"/>
      <c r="D766" s="65"/>
      <c r="E766" s="65"/>
      <c r="F766" s="65"/>
      <c r="H766" s="65"/>
      <c r="J766" s="65"/>
      <c r="K766" s="65"/>
      <c r="L766" s="65"/>
    </row>
    <row r="767" ht="15.75" customHeight="1">
      <c r="C767" s="65"/>
      <c r="D767" s="65"/>
      <c r="E767" s="65"/>
      <c r="F767" s="65"/>
      <c r="H767" s="65"/>
      <c r="J767" s="65"/>
      <c r="K767" s="65"/>
      <c r="L767" s="65"/>
    </row>
    <row r="768" ht="15.75" customHeight="1">
      <c r="C768" s="65"/>
      <c r="D768" s="65"/>
      <c r="E768" s="65"/>
      <c r="F768" s="65"/>
      <c r="H768" s="65"/>
      <c r="J768" s="65"/>
      <c r="K768" s="65"/>
      <c r="L768" s="65"/>
    </row>
    <row r="769" ht="15.75" customHeight="1">
      <c r="C769" s="65"/>
      <c r="D769" s="65"/>
      <c r="E769" s="65"/>
      <c r="F769" s="65"/>
      <c r="H769" s="65"/>
      <c r="J769" s="65"/>
      <c r="K769" s="65"/>
      <c r="L769" s="65"/>
    </row>
    <row r="770" ht="15.75" customHeight="1">
      <c r="C770" s="65"/>
      <c r="D770" s="65"/>
      <c r="E770" s="65"/>
      <c r="F770" s="65"/>
      <c r="H770" s="65"/>
      <c r="J770" s="65"/>
      <c r="K770" s="65"/>
      <c r="L770" s="65"/>
    </row>
    <row r="771" ht="15.75" customHeight="1">
      <c r="C771" s="65"/>
      <c r="D771" s="65"/>
      <c r="E771" s="65"/>
      <c r="F771" s="65"/>
      <c r="H771" s="65"/>
      <c r="J771" s="65"/>
      <c r="K771" s="65"/>
      <c r="L771" s="65"/>
    </row>
    <row r="772" ht="15.75" customHeight="1">
      <c r="C772" s="65"/>
      <c r="D772" s="65"/>
      <c r="E772" s="65"/>
      <c r="F772" s="65"/>
      <c r="H772" s="65"/>
      <c r="J772" s="65"/>
      <c r="K772" s="65"/>
      <c r="L772" s="65"/>
    </row>
    <row r="773" ht="15.75" customHeight="1">
      <c r="C773" s="65"/>
      <c r="D773" s="65"/>
      <c r="E773" s="65"/>
      <c r="F773" s="65"/>
      <c r="H773" s="65"/>
      <c r="J773" s="65"/>
      <c r="K773" s="65"/>
      <c r="L773" s="65"/>
    </row>
    <row r="774" ht="15.75" customHeight="1">
      <c r="C774" s="65"/>
      <c r="D774" s="65"/>
      <c r="E774" s="65"/>
      <c r="F774" s="65"/>
      <c r="H774" s="65"/>
      <c r="J774" s="65"/>
      <c r="K774" s="65"/>
      <c r="L774" s="65"/>
    </row>
    <row r="775" ht="15.75" customHeight="1">
      <c r="C775" s="65"/>
      <c r="D775" s="65"/>
      <c r="E775" s="65"/>
      <c r="F775" s="65"/>
      <c r="H775" s="65"/>
      <c r="J775" s="65"/>
      <c r="K775" s="65"/>
      <c r="L775" s="65"/>
    </row>
    <row r="776" ht="15.75" customHeight="1">
      <c r="C776" s="65"/>
      <c r="D776" s="65"/>
      <c r="E776" s="65"/>
      <c r="F776" s="65"/>
      <c r="H776" s="65"/>
      <c r="J776" s="65"/>
      <c r="K776" s="65"/>
      <c r="L776" s="65"/>
    </row>
    <row r="777" ht="15.75" customHeight="1">
      <c r="C777" s="65"/>
      <c r="D777" s="65"/>
      <c r="E777" s="65"/>
      <c r="F777" s="65"/>
      <c r="H777" s="65"/>
      <c r="J777" s="65"/>
      <c r="K777" s="65"/>
      <c r="L777" s="65"/>
    </row>
    <row r="778" ht="15.75" customHeight="1">
      <c r="C778" s="65"/>
      <c r="D778" s="65"/>
      <c r="E778" s="65"/>
      <c r="F778" s="65"/>
      <c r="H778" s="65"/>
      <c r="J778" s="65"/>
      <c r="K778" s="65"/>
      <c r="L778" s="65"/>
    </row>
    <row r="779" ht="15.75" customHeight="1">
      <c r="C779" s="65"/>
      <c r="D779" s="65"/>
      <c r="E779" s="65"/>
      <c r="F779" s="65"/>
      <c r="H779" s="65"/>
      <c r="J779" s="65"/>
      <c r="K779" s="65"/>
      <c r="L779" s="65"/>
    </row>
    <row r="780" ht="15.75" customHeight="1">
      <c r="C780" s="65"/>
      <c r="D780" s="65"/>
      <c r="E780" s="65"/>
      <c r="F780" s="65"/>
      <c r="H780" s="65"/>
      <c r="J780" s="65"/>
      <c r="K780" s="65"/>
      <c r="L780" s="65"/>
    </row>
    <row r="781" ht="15.75" customHeight="1">
      <c r="C781" s="65"/>
      <c r="D781" s="65"/>
      <c r="E781" s="65"/>
      <c r="F781" s="65"/>
      <c r="H781" s="65"/>
      <c r="J781" s="65"/>
      <c r="K781" s="65"/>
      <c r="L781" s="65"/>
    </row>
    <row r="782" ht="15.75" customHeight="1">
      <c r="C782" s="65"/>
      <c r="D782" s="65"/>
      <c r="E782" s="65"/>
      <c r="F782" s="65"/>
      <c r="H782" s="65"/>
      <c r="J782" s="65"/>
      <c r="K782" s="65"/>
      <c r="L782" s="65"/>
    </row>
    <row r="783" ht="15.75" customHeight="1">
      <c r="C783" s="65"/>
      <c r="D783" s="65"/>
      <c r="E783" s="65"/>
      <c r="F783" s="65"/>
      <c r="H783" s="65"/>
      <c r="J783" s="65"/>
      <c r="K783" s="65"/>
      <c r="L783" s="65"/>
    </row>
    <row r="784" ht="15.75" customHeight="1">
      <c r="C784" s="65"/>
      <c r="D784" s="65"/>
      <c r="E784" s="65"/>
      <c r="F784" s="65"/>
      <c r="H784" s="65"/>
      <c r="J784" s="65"/>
      <c r="K784" s="65"/>
      <c r="L784" s="65"/>
    </row>
    <row r="785" ht="15.75" customHeight="1">
      <c r="C785" s="65"/>
      <c r="D785" s="65"/>
      <c r="E785" s="65"/>
      <c r="F785" s="65"/>
      <c r="H785" s="65"/>
      <c r="J785" s="65"/>
      <c r="K785" s="65"/>
      <c r="L785" s="65"/>
    </row>
    <row r="786" ht="15.75" customHeight="1">
      <c r="C786" s="65"/>
      <c r="D786" s="65"/>
      <c r="E786" s="65"/>
      <c r="F786" s="65"/>
      <c r="H786" s="65"/>
      <c r="J786" s="65"/>
      <c r="K786" s="65"/>
      <c r="L786" s="65"/>
    </row>
    <row r="787" ht="15.75" customHeight="1">
      <c r="C787" s="65"/>
      <c r="D787" s="65"/>
      <c r="E787" s="65"/>
      <c r="F787" s="65"/>
      <c r="H787" s="65"/>
      <c r="J787" s="65"/>
      <c r="K787" s="65"/>
      <c r="L787" s="65"/>
    </row>
    <row r="788" ht="15.75" customHeight="1">
      <c r="C788" s="65"/>
      <c r="D788" s="65"/>
      <c r="E788" s="65"/>
      <c r="F788" s="65"/>
      <c r="H788" s="65"/>
      <c r="J788" s="65"/>
      <c r="K788" s="65"/>
      <c r="L788" s="65"/>
    </row>
    <row r="789" ht="15.75" customHeight="1">
      <c r="C789" s="65"/>
      <c r="D789" s="65"/>
      <c r="E789" s="65"/>
      <c r="F789" s="65"/>
      <c r="H789" s="65"/>
      <c r="J789" s="65"/>
      <c r="K789" s="65"/>
      <c r="L789" s="65"/>
    </row>
    <row r="790" ht="15.75" customHeight="1">
      <c r="C790" s="65"/>
      <c r="D790" s="65"/>
      <c r="E790" s="65"/>
      <c r="F790" s="65"/>
      <c r="H790" s="65"/>
      <c r="J790" s="65"/>
      <c r="K790" s="65"/>
      <c r="L790" s="65"/>
    </row>
    <row r="791" ht="15.75" customHeight="1">
      <c r="C791" s="65"/>
      <c r="D791" s="65"/>
      <c r="E791" s="65"/>
      <c r="F791" s="65"/>
      <c r="H791" s="65"/>
      <c r="J791" s="65"/>
      <c r="K791" s="65"/>
      <c r="L791" s="65"/>
    </row>
    <row r="792" ht="15.75" customHeight="1">
      <c r="C792" s="65"/>
      <c r="D792" s="65"/>
      <c r="E792" s="65"/>
      <c r="F792" s="65"/>
      <c r="H792" s="65"/>
      <c r="J792" s="65"/>
      <c r="K792" s="65"/>
      <c r="L792" s="65"/>
    </row>
    <row r="793" ht="15.75" customHeight="1">
      <c r="C793" s="65"/>
      <c r="D793" s="65"/>
      <c r="E793" s="65"/>
      <c r="F793" s="65"/>
      <c r="H793" s="65"/>
      <c r="J793" s="65"/>
      <c r="K793" s="65"/>
      <c r="L793" s="65"/>
    </row>
    <row r="794" ht="15.75" customHeight="1">
      <c r="C794" s="65"/>
      <c r="D794" s="65"/>
      <c r="E794" s="65"/>
      <c r="F794" s="65"/>
      <c r="H794" s="65"/>
      <c r="J794" s="65"/>
      <c r="K794" s="65"/>
      <c r="L794" s="65"/>
    </row>
    <row r="795" ht="15.75" customHeight="1">
      <c r="C795" s="65"/>
      <c r="D795" s="65"/>
      <c r="E795" s="65"/>
      <c r="F795" s="65"/>
      <c r="H795" s="65"/>
      <c r="J795" s="65"/>
      <c r="K795" s="65"/>
      <c r="L795" s="65"/>
    </row>
    <row r="796" ht="15.75" customHeight="1">
      <c r="C796" s="65"/>
      <c r="D796" s="65"/>
      <c r="E796" s="65"/>
      <c r="F796" s="65"/>
      <c r="H796" s="65"/>
      <c r="J796" s="65"/>
      <c r="K796" s="65"/>
      <c r="L796" s="65"/>
    </row>
    <row r="797" ht="15.75" customHeight="1">
      <c r="C797" s="65"/>
      <c r="D797" s="65"/>
      <c r="E797" s="65"/>
      <c r="F797" s="65"/>
      <c r="H797" s="65"/>
      <c r="J797" s="65"/>
      <c r="K797" s="65"/>
      <c r="L797" s="65"/>
    </row>
    <row r="798" ht="15.75" customHeight="1">
      <c r="C798" s="65"/>
      <c r="D798" s="65"/>
      <c r="E798" s="65"/>
      <c r="F798" s="65"/>
      <c r="H798" s="65"/>
      <c r="J798" s="65"/>
      <c r="K798" s="65"/>
      <c r="L798" s="65"/>
    </row>
    <row r="799" ht="15.75" customHeight="1">
      <c r="C799" s="65"/>
      <c r="D799" s="65"/>
      <c r="E799" s="65"/>
      <c r="F799" s="65"/>
      <c r="H799" s="65"/>
      <c r="J799" s="65"/>
      <c r="K799" s="65"/>
      <c r="L799" s="65"/>
    </row>
    <row r="800" ht="15.75" customHeight="1">
      <c r="C800" s="65"/>
      <c r="D800" s="65"/>
      <c r="E800" s="65"/>
      <c r="F800" s="65"/>
      <c r="H800" s="65"/>
      <c r="J800" s="65"/>
      <c r="K800" s="65"/>
      <c r="L800" s="65"/>
    </row>
    <row r="801" ht="15.75" customHeight="1">
      <c r="C801" s="65"/>
      <c r="D801" s="65"/>
      <c r="E801" s="65"/>
      <c r="F801" s="65"/>
      <c r="H801" s="65"/>
      <c r="J801" s="65"/>
      <c r="K801" s="65"/>
      <c r="L801" s="65"/>
    </row>
    <row r="802" ht="15.75" customHeight="1">
      <c r="C802" s="65"/>
      <c r="D802" s="65"/>
      <c r="E802" s="65"/>
      <c r="F802" s="65"/>
      <c r="H802" s="65"/>
      <c r="J802" s="65"/>
      <c r="K802" s="65"/>
      <c r="L802" s="65"/>
    </row>
    <row r="803" ht="15.75" customHeight="1">
      <c r="C803" s="65"/>
      <c r="D803" s="65"/>
      <c r="E803" s="65"/>
      <c r="F803" s="65"/>
      <c r="H803" s="65"/>
      <c r="J803" s="65"/>
      <c r="K803" s="65"/>
      <c r="L803" s="65"/>
    </row>
    <row r="804" ht="15.75" customHeight="1">
      <c r="C804" s="65"/>
      <c r="D804" s="65"/>
      <c r="E804" s="65"/>
      <c r="F804" s="65"/>
      <c r="H804" s="65"/>
      <c r="J804" s="65"/>
      <c r="K804" s="65"/>
      <c r="L804" s="65"/>
    </row>
    <row r="805" ht="15.75" customHeight="1">
      <c r="C805" s="65"/>
      <c r="D805" s="65"/>
      <c r="E805" s="65"/>
      <c r="F805" s="65"/>
      <c r="H805" s="65"/>
      <c r="J805" s="65"/>
      <c r="K805" s="65"/>
      <c r="L805" s="65"/>
    </row>
    <row r="806" ht="15.75" customHeight="1">
      <c r="C806" s="65"/>
      <c r="D806" s="65"/>
      <c r="E806" s="65"/>
      <c r="F806" s="65"/>
      <c r="H806" s="65"/>
      <c r="J806" s="65"/>
      <c r="K806" s="65"/>
      <c r="L806" s="65"/>
    </row>
    <row r="807" ht="15.75" customHeight="1">
      <c r="C807" s="65"/>
      <c r="D807" s="65"/>
      <c r="E807" s="65"/>
      <c r="F807" s="65"/>
      <c r="H807" s="65"/>
      <c r="J807" s="65"/>
      <c r="K807" s="65"/>
      <c r="L807" s="65"/>
    </row>
    <row r="808" ht="15.75" customHeight="1">
      <c r="C808" s="65"/>
      <c r="D808" s="65"/>
      <c r="E808" s="65"/>
      <c r="F808" s="65"/>
      <c r="H808" s="65"/>
      <c r="J808" s="65"/>
      <c r="K808" s="65"/>
      <c r="L808" s="65"/>
    </row>
    <row r="809" ht="15.75" customHeight="1">
      <c r="C809" s="65"/>
      <c r="D809" s="65"/>
      <c r="E809" s="65"/>
      <c r="F809" s="65"/>
      <c r="H809" s="65"/>
      <c r="J809" s="65"/>
      <c r="K809" s="65"/>
      <c r="L809" s="65"/>
    </row>
    <row r="810" ht="15.75" customHeight="1">
      <c r="C810" s="65"/>
      <c r="D810" s="65"/>
      <c r="E810" s="65"/>
      <c r="F810" s="65"/>
      <c r="H810" s="65"/>
      <c r="J810" s="65"/>
      <c r="K810" s="65"/>
      <c r="L810" s="65"/>
    </row>
    <row r="811" ht="15.75" customHeight="1">
      <c r="C811" s="65"/>
      <c r="D811" s="65"/>
      <c r="E811" s="65"/>
      <c r="F811" s="65"/>
      <c r="H811" s="65"/>
      <c r="J811" s="65"/>
      <c r="K811" s="65"/>
      <c r="L811" s="65"/>
    </row>
    <row r="812" ht="15.75" customHeight="1">
      <c r="C812" s="65"/>
      <c r="D812" s="65"/>
      <c r="E812" s="65"/>
      <c r="F812" s="65"/>
      <c r="H812" s="65"/>
      <c r="J812" s="65"/>
      <c r="K812" s="65"/>
      <c r="L812" s="65"/>
    </row>
    <row r="813" ht="15.75" customHeight="1">
      <c r="C813" s="65"/>
      <c r="D813" s="65"/>
      <c r="E813" s="65"/>
      <c r="F813" s="65"/>
      <c r="H813" s="65"/>
      <c r="J813" s="65"/>
      <c r="K813" s="65"/>
      <c r="L813" s="65"/>
    </row>
    <row r="814" ht="15.75" customHeight="1">
      <c r="C814" s="65"/>
      <c r="D814" s="65"/>
      <c r="E814" s="65"/>
      <c r="F814" s="65"/>
      <c r="H814" s="65"/>
      <c r="J814" s="65"/>
      <c r="K814" s="65"/>
      <c r="L814" s="65"/>
    </row>
    <row r="815" ht="15.75" customHeight="1">
      <c r="C815" s="65"/>
      <c r="D815" s="65"/>
      <c r="E815" s="65"/>
      <c r="F815" s="65"/>
      <c r="H815" s="65"/>
      <c r="J815" s="65"/>
      <c r="K815" s="65"/>
      <c r="L815" s="65"/>
    </row>
    <row r="816" ht="15.75" customHeight="1">
      <c r="C816" s="65"/>
      <c r="D816" s="65"/>
      <c r="E816" s="65"/>
      <c r="F816" s="65"/>
      <c r="H816" s="65"/>
      <c r="J816" s="65"/>
      <c r="K816" s="65"/>
      <c r="L816" s="65"/>
    </row>
    <row r="817" ht="15.75" customHeight="1">
      <c r="C817" s="65"/>
      <c r="D817" s="65"/>
      <c r="E817" s="65"/>
      <c r="F817" s="65"/>
      <c r="H817" s="65"/>
      <c r="J817" s="65"/>
      <c r="K817" s="65"/>
      <c r="L817" s="65"/>
    </row>
    <row r="818" ht="15.75" customHeight="1">
      <c r="C818" s="65"/>
      <c r="D818" s="65"/>
      <c r="E818" s="65"/>
      <c r="F818" s="65"/>
      <c r="H818" s="65"/>
      <c r="J818" s="65"/>
      <c r="K818" s="65"/>
      <c r="L818" s="65"/>
    </row>
    <row r="819" ht="15.75" customHeight="1">
      <c r="C819" s="65"/>
      <c r="D819" s="65"/>
      <c r="E819" s="65"/>
      <c r="F819" s="65"/>
      <c r="H819" s="65"/>
      <c r="J819" s="65"/>
      <c r="K819" s="65"/>
      <c r="L819" s="65"/>
    </row>
    <row r="820" ht="15.75" customHeight="1">
      <c r="C820" s="65"/>
      <c r="D820" s="65"/>
      <c r="E820" s="65"/>
      <c r="F820" s="65"/>
      <c r="H820" s="65"/>
      <c r="J820" s="65"/>
      <c r="K820" s="65"/>
      <c r="L820" s="65"/>
    </row>
    <row r="821" ht="15.75" customHeight="1">
      <c r="C821" s="65"/>
      <c r="D821" s="65"/>
      <c r="E821" s="65"/>
      <c r="F821" s="65"/>
      <c r="H821" s="65"/>
      <c r="J821" s="65"/>
      <c r="K821" s="65"/>
      <c r="L821" s="65"/>
    </row>
    <row r="822" ht="15.75" customHeight="1">
      <c r="C822" s="65"/>
      <c r="D822" s="65"/>
      <c r="E822" s="65"/>
      <c r="F822" s="65"/>
      <c r="H822" s="65"/>
      <c r="J822" s="65"/>
      <c r="K822" s="65"/>
      <c r="L822" s="65"/>
    </row>
    <row r="823" ht="15.75" customHeight="1">
      <c r="C823" s="65"/>
      <c r="D823" s="65"/>
      <c r="E823" s="65"/>
      <c r="F823" s="65"/>
      <c r="H823" s="65"/>
      <c r="J823" s="65"/>
      <c r="K823" s="65"/>
      <c r="L823" s="65"/>
    </row>
    <row r="824" ht="15.75" customHeight="1">
      <c r="C824" s="65"/>
      <c r="D824" s="65"/>
      <c r="E824" s="65"/>
      <c r="F824" s="65"/>
      <c r="H824" s="65"/>
      <c r="J824" s="65"/>
      <c r="K824" s="65"/>
      <c r="L824" s="65"/>
    </row>
    <row r="825" ht="15.75" customHeight="1">
      <c r="C825" s="65"/>
      <c r="D825" s="65"/>
      <c r="E825" s="65"/>
      <c r="F825" s="65"/>
      <c r="H825" s="65"/>
      <c r="J825" s="65"/>
      <c r="K825" s="65"/>
      <c r="L825" s="65"/>
    </row>
    <row r="826" ht="15.75" customHeight="1">
      <c r="C826" s="65"/>
      <c r="D826" s="65"/>
      <c r="E826" s="65"/>
      <c r="F826" s="65"/>
      <c r="H826" s="65"/>
      <c r="J826" s="65"/>
      <c r="K826" s="65"/>
      <c r="L826" s="65"/>
    </row>
    <row r="827" ht="15.75" customHeight="1">
      <c r="C827" s="65"/>
      <c r="D827" s="65"/>
      <c r="E827" s="65"/>
      <c r="F827" s="65"/>
      <c r="H827" s="65"/>
      <c r="J827" s="65"/>
      <c r="K827" s="65"/>
      <c r="L827" s="65"/>
    </row>
    <row r="828" ht="15.75" customHeight="1">
      <c r="C828" s="65"/>
      <c r="D828" s="65"/>
      <c r="E828" s="65"/>
      <c r="F828" s="65"/>
      <c r="H828" s="65"/>
      <c r="J828" s="65"/>
      <c r="K828" s="65"/>
      <c r="L828" s="65"/>
    </row>
    <row r="829" ht="15.75" customHeight="1">
      <c r="C829" s="65"/>
      <c r="D829" s="65"/>
      <c r="E829" s="65"/>
      <c r="F829" s="65"/>
      <c r="H829" s="65"/>
      <c r="J829" s="65"/>
      <c r="K829" s="65"/>
      <c r="L829" s="65"/>
    </row>
    <row r="830" ht="15.75" customHeight="1">
      <c r="C830" s="65"/>
      <c r="D830" s="65"/>
      <c r="E830" s="65"/>
      <c r="F830" s="65"/>
      <c r="H830" s="65"/>
      <c r="J830" s="65"/>
      <c r="K830" s="65"/>
      <c r="L830" s="65"/>
    </row>
    <row r="831" ht="15.75" customHeight="1">
      <c r="C831" s="65"/>
      <c r="D831" s="65"/>
      <c r="E831" s="65"/>
      <c r="F831" s="65"/>
      <c r="H831" s="65"/>
      <c r="J831" s="65"/>
      <c r="K831" s="65"/>
      <c r="L831" s="65"/>
    </row>
    <row r="832" ht="15.75" customHeight="1">
      <c r="C832" s="65"/>
      <c r="D832" s="65"/>
      <c r="E832" s="65"/>
      <c r="F832" s="65"/>
      <c r="H832" s="65"/>
      <c r="J832" s="65"/>
      <c r="K832" s="65"/>
      <c r="L832" s="65"/>
    </row>
    <row r="833" ht="15.75" customHeight="1">
      <c r="C833" s="65"/>
      <c r="D833" s="65"/>
      <c r="E833" s="65"/>
      <c r="F833" s="65"/>
      <c r="H833" s="65"/>
      <c r="J833" s="65"/>
      <c r="K833" s="65"/>
      <c r="L833" s="65"/>
    </row>
    <row r="834" ht="15.75" customHeight="1">
      <c r="C834" s="65"/>
      <c r="D834" s="65"/>
      <c r="E834" s="65"/>
      <c r="F834" s="65"/>
      <c r="H834" s="65"/>
      <c r="J834" s="65"/>
      <c r="K834" s="65"/>
      <c r="L834" s="65"/>
    </row>
    <row r="835" ht="15.75" customHeight="1">
      <c r="C835" s="65"/>
      <c r="D835" s="65"/>
      <c r="E835" s="65"/>
      <c r="F835" s="65"/>
      <c r="H835" s="65"/>
      <c r="J835" s="65"/>
      <c r="K835" s="65"/>
      <c r="L835" s="65"/>
    </row>
    <row r="836" ht="15.75" customHeight="1">
      <c r="C836" s="65"/>
      <c r="D836" s="65"/>
      <c r="E836" s="65"/>
      <c r="F836" s="65"/>
      <c r="H836" s="65"/>
      <c r="J836" s="65"/>
      <c r="K836" s="65"/>
      <c r="L836" s="65"/>
    </row>
    <row r="837" ht="15.75" customHeight="1">
      <c r="C837" s="65"/>
      <c r="D837" s="65"/>
      <c r="E837" s="65"/>
      <c r="F837" s="65"/>
      <c r="H837" s="65"/>
      <c r="J837" s="65"/>
      <c r="K837" s="65"/>
      <c r="L837" s="65"/>
    </row>
    <row r="838" ht="15.75" customHeight="1">
      <c r="C838" s="65"/>
      <c r="D838" s="65"/>
      <c r="E838" s="65"/>
      <c r="F838" s="65"/>
      <c r="H838" s="65"/>
      <c r="J838" s="65"/>
      <c r="K838" s="65"/>
      <c r="L838" s="65"/>
    </row>
    <row r="839" ht="15.75" customHeight="1">
      <c r="C839" s="65"/>
      <c r="D839" s="65"/>
      <c r="E839" s="65"/>
      <c r="F839" s="65"/>
      <c r="H839" s="65"/>
      <c r="J839" s="65"/>
      <c r="K839" s="65"/>
      <c r="L839" s="65"/>
    </row>
    <row r="840" ht="15.75" customHeight="1">
      <c r="C840" s="65"/>
      <c r="D840" s="65"/>
      <c r="E840" s="65"/>
      <c r="F840" s="65"/>
      <c r="H840" s="65"/>
      <c r="J840" s="65"/>
      <c r="K840" s="65"/>
      <c r="L840" s="65"/>
    </row>
    <row r="841" ht="15.75" customHeight="1">
      <c r="C841" s="65"/>
      <c r="D841" s="65"/>
      <c r="E841" s="65"/>
      <c r="F841" s="65"/>
      <c r="H841" s="65"/>
      <c r="J841" s="65"/>
      <c r="K841" s="65"/>
      <c r="L841" s="65"/>
    </row>
    <row r="842" ht="15.75" customHeight="1">
      <c r="C842" s="65"/>
      <c r="D842" s="65"/>
      <c r="E842" s="65"/>
      <c r="F842" s="65"/>
      <c r="H842" s="65"/>
      <c r="J842" s="65"/>
      <c r="K842" s="65"/>
      <c r="L842" s="65"/>
    </row>
    <row r="843" ht="15.75" customHeight="1">
      <c r="C843" s="65"/>
      <c r="D843" s="65"/>
      <c r="E843" s="65"/>
      <c r="F843" s="65"/>
      <c r="H843" s="65"/>
      <c r="J843" s="65"/>
      <c r="K843" s="65"/>
      <c r="L843" s="65"/>
    </row>
    <row r="844" ht="15.75" customHeight="1">
      <c r="C844" s="65"/>
      <c r="D844" s="65"/>
      <c r="E844" s="65"/>
      <c r="F844" s="65"/>
      <c r="H844" s="65"/>
      <c r="J844" s="65"/>
      <c r="K844" s="65"/>
      <c r="L844" s="65"/>
    </row>
    <row r="845" ht="15.75" customHeight="1">
      <c r="C845" s="65"/>
      <c r="D845" s="65"/>
      <c r="E845" s="65"/>
      <c r="F845" s="65"/>
      <c r="H845" s="65"/>
      <c r="J845" s="65"/>
      <c r="K845" s="65"/>
      <c r="L845" s="65"/>
    </row>
    <row r="846" ht="15.75" customHeight="1">
      <c r="C846" s="65"/>
      <c r="D846" s="65"/>
      <c r="E846" s="65"/>
      <c r="F846" s="65"/>
      <c r="H846" s="65"/>
      <c r="J846" s="65"/>
      <c r="K846" s="65"/>
      <c r="L846" s="65"/>
    </row>
    <row r="847" ht="15.75" customHeight="1">
      <c r="C847" s="65"/>
      <c r="D847" s="65"/>
      <c r="E847" s="65"/>
      <c r="F847" s="65"/>
      <c r="H847" s="65"/>
      <c r="J847" s="65"/>
      <c r="K847" s="65"/>
      <c r="L847" s="65"/>
    </row>
    <row r="848" ht="15.75" customHeight="1">
      <c r="C848" s="65"/>
      <c r="D848" s="65"/>
      <c r="E848" s="65"/>
      <c r="F848" s="65"/>
      <c r="H848" s="65"/>
      <c r="J848" s="65"/>
      <c r="K848" s="65"/>
      <c r="L848" s="65"/>
    </row>
    <row r="849" ht="15.75" customHeight="1">
      <c r="C849" s="65"/>
      <c r="D849" s="65"/>
      <c r="E849" s="65"/>
      <c r="F849" s="65"/>
      <c r="H849" s="65"/>
      <c r="J849" s="65"/>
      <c r="K849" s="65"/>
      <c r="L849" s="65"/>
    </row>
    <row r="850" ht="15.75" customHeight="1">
      <c r="C850" s="65"/>
      <c r="D850" s="65"/>
      <c r="E850" s="65"/>
      <c r="F850" s="65"/>
      <c r="H850" s="65"/>
      <c r="J850" s="65"/>
      <c r="K850" s="65"/>
      <c r="L850" s="65"/>
    </row>
    <row r="851" ht="15.75" customHeight="1">
      <c r="C851" s="65"/>
      <c r="D851" s="65"/>
      <c r="E851" s="65"/>
      <c r="F851" s="65"/>
      <c r="H851" s="65"/>
      <c r="J851" s="65"/>
      <c r="K851" s="65"/>
      <c r="L851" s="65"/>
    </row>
    <row r="852" ht="15.75" customHeight="1">
      <c r="C852" s="65"/>
      <c r="D852" s="65"/>
      <c r="E852" s="65"/>
      <c r="F852" s="65"/>
      <c r="H852" s="65"/>
      <c r="J852" s="65"/>
      <c r="K852" s="65"/>
      <c r="L852" s="65"/>
    </row>
    <row r="853" ht="15.75" customHeight="1">
      <c r="C853" s="65"/>
      <c r="D853" s="65"/>
      <c r="E853" s="65"/>
      <c r="F853" s="65"/>
      <c r="H853" s="65"/>
      <c r="J853" s="65"/>
      <c r="K853" s="65"/>
      <c r="L853" s="65"/>
    </row>
    <row r="854" ht="15.75" customHeight="1">
      <c r="C854" s="65"/>
      <c r="D854" s="65"/>
      <c r="E854" s="65"/>
      <c r="F854" s="65"/>
      <c r="H854" s="65"/>
      <c r="J854" s="65"/>
      <c r="K854" s="65"/>
      <c r="L854" s="65"/>
    </row>
    <row r="855" ht="15.75" customHeight="1">
      <c r="C855" s="65"/>
      <c r="D855" s="65"/>
      <c r="E855" s="65"/>
      <c r="F855" s="65"/>
      <c r="H855" s="65"/>
      <c r="J855" s="65"/>
      <c r="K855" s="65"/>
      <c r="L855" s="65"/>
    </row>
    <row r="856" ht="15.75" customHeight="1">
      <c r="C856" s="65"/>
      <c r="D856" s="65"/>
      <c r="E856" s="65"/>
      <c r="F856" s="65"/>
      <c r="H856" s="65"/>
      <c r="J856" s="65"/>
      <c r="K856" s="65"/>
      <c r="L856" s="65"/>
    </row>
    <row r="857" ht="15.75" customHeight="1">
      <c r="C857" s="65"/>
      <c r="D857" s="65"/>
      <c r="E857" s="65"/>
      <c r="F857" s="65"/>
      <c r="H857" s="65"/>
      <c r="J857" s="65"/>
      <c r="K857" s="65"/>
      <c r="L857" s="65"/>
    </row>
    <row r="858" ht="15.75" customHeight="1">
      <c r="C858" s="65"/>
      <c r="D858" s="65"/>
      <c r="E858" s="65"/>
      <c r="F858" s="65"/>
      <c r="H858" s="65"/>
      <c r="J858" s="65"/>
      <c r="K858" s="65"/>
      <c r="L858" s="65"/>
    </row>
    <row r="859" ht="15.75" customHeight="1">
      <c r="C859" s="65"/>
      <c r="D859" s="65"/>
      <c r="E859" s="65"/>
      <c r="F859" s="65"/>
      <c r="H859" s="65"/>
      <c r="J859" s="65"/>
      <c r="K859" s="65"/>
      <c r="L859" s="65"/>
    </row>
    <row r="860" ht="15.75" customHeight="1">
      <c r="C860" s="65"/>
      <c r="D860" s="65"/>
      <c r="E860" s="65"/>
      <c r="F860" s="65"/>
      <c r="H860" s="65"/>
      <c r="J860" s="65"/>
      <c r="K860" s="65"/>
      <c r="L860" s="65"/>
    </row>
    <row r="861" ht="15.75" customHeight="1">
      <c r="C861" s="65"/>
      <c r="D861" s="65"/>
      <c r="E861" s="65"/>
      <c r="F861" s="65"/>
      <c r="H861" s="65"/>
      <c r="J861" s="65"/>
      <c r="K861" s="65"/>
      <c r="L861" s="65"/>
    </row>
    <row r="862" ht="15.75" customHeight="1">
      <c r="C862" s="65"/>
      <c r="D862" s="65"/>
      <c r="E862" s="65"/>
      <c r="F862" s="65"/>
      <c r="H862" s="65"/>
      <c r="J862" s="65"/>
      <c r="K862" s="65"/>
      <c r="L862" s="65"/>
    </row>
    <row r="863" ht="15.75" customHeight="1">
      <c r="C863" s="65"/>
      <c r="D863" s="65"/>
      <c r="E863" s="65"/>
      <c r="F863" s="65"/>
      <c r="H863" s="65"/>
      <c r="J863" s="65"/>
      <c r="K863" s="65"/>
      <c r="L863" s="65"/>
    </row>
    <row r="864" ht="15.75" customHeight="1">
      <c r="C864" s="65"/>
      <c r="D864" s="65"/>
      <c r="E864" s="65"/>
      <c r="F864" s="65"/>
      <c r="H864" s="65"/>
      <c r="J864" s="65"/>
      <c r="K864" s="65"/>
      <c r="L864" s="65"/>
    </row>
    <row r="865" ht="15.75" customHeight="1">
      <c r="C865" s="65"/>
      <c r="D865" s="65"/>
      <c r="E865" s="65"/>
      <c r="F865" s="65"/>
      <c r="H865" s="65"/>
      <c r="J865" s="65"/>
      <c r="K865" s="65"/>
      <c r="L865" s="65"/>
    </row>
    <row r="866" ht="15.75" customHeight="1">
      <c r="C866" s="65"/>
      <c r="D866" s="65"/>
      <c r="E866" s="65"/>
      <c r="F866" s="65"/>
      <c r="H866" s="65"/>
      <c r="J866" s="65"/>
      <c r="K866" s="65"/>
      <c r="L866" s="65"/>
    </row>
    <row r="867" ht="15.75" customHeight="1">
      <c r="C867" s="65"/>
      <c r="D867" s="65"/>
      <c r="E867" s="65"/>
      <c r="F867" s="65"/>
      <c r="H867" s="65"/>
      <c r="J867" s="65"/>
      <c r="K867" s="65"/>
      <c r="L867" s="65"/>
    </row>
    <row r="868" ht="15.75" customHeight="1">
      <c r="C868" s="65"/>
      <c r="D868" s="65"/>
      <c r="E868" s="65"/>
      <c r="F868" s="65"/>
      <c r="H868" s="65"/>
      <c r="J868" s="65"/>
      <c r="K868" s="65"/>
      <c r="L868" s="65"/>
    </row>
    <row r="869" ht="15.75" customHeight="1">
      <c r="C869" s="65"/>
      <c r="D869" s="65"/>
      <c r="E869" s="65"/>
      <c r="F869" s="65"/>
      <c r="H869" s="65"/>
      <c r="J869" s="65"/>
      <c r="K869" s="65"/>
      <c r="L869" s="65"/>
    </row>
    <row r="870" ht="15.75" customHeight="1">
      <c r="C870" s="65"/>
      <c r="D870" s="65"/>
      <c r="E870" s="65"/>
      <c r="F870" s="65"/>
      <c r="H870" s="65"/>
      <c r="J870" s="65"/>
      <c r="K870" s="65"/>
      <c r="L870" s="65"/>
    </row>
    <row r="871" ht="15.75" customHeight="1">
      <c r="C871" s="65"/>
      <c r="D871" s="65"/>
      <c r="E871" s="65"/>
      <c r="F871" s="65"/>
      <c r="H871" s="65"/>
      <c r="J871" s="65"/>
      <c r="K871" s="65"/>
      <c r="L871" s="65"/>
    </row>
    <row r="872" ht="15.75" customHeight="1">
      <c r="C872" s="65"/>
      <c r="D872" s="65"/>
      <c r="E872" s="65"/>
      <c r="F872" s="65"/>
      <c r="H872" s="65"/>
      <c r="J872" s="65"/>
      <c r="K872" s="65"/>
      <c r="L872" s="65"/>
    </row>
    <row r="873" ht="15.75" customHeight="1">
      <c r="C873" s="65"/>
      <c r="D873" s="65"/>
      <c r="E873" s="65"/>
      <c r="F873" s="65"/>
      <c r="H873" s="65"/>
      <c r="J873" s="65"/>
      <c r="K873" s="65"/>
      <c r="L873" s="65"/>
    </row>
    <row r="874" ht="15.75" customHeight="1">
      <c r="C874" s="65"/>
      <c r="D874" s="65"/>
      <c r="E874" s="65"/>
      <c r="F874" s="65"/>
      <c r="H874" s="65"/>
      <c r="J874" s="65"/>
      <c r="K874" s="65"/>
      <c r="L874" s="65"/>
    </row>
    <row r="875" ht="15.75" customHeight="1">
      <c r="C875" s="65"/>
      <c r="D875" s="65"/>
      <c r="E875" s="65"/>
      <c r="F875" s="65"/>
      <c r="H875" s="65"/>
      <c r="J875" s="65"/>
      <c r="K875" s="65"/>
      <c r="L875" s="65"/>
    </row>
    <row r="876" ht="15.75" customHeight="1">
      <c r="C876" s="65"/>
      <c r="D876" s="65"/>
      <c r="E876" s="65"/>
      <c r="F876" s="65"/>
      <c r="H876" s="65"/>
      <c r="J876" s="65"/>
      <c r="K876" s="65"/>
      <c r="L876" s="65"/>
    </row>
    <row r="877" ht="15.75" customHeight="1">
      <c r="C877" s="65"/>
      <c r="D877" s="65"/>
      <c r="E877" s="65"/>
      <c r="F877" s="65"/>
      <c r="H877" s="65"/>
      <c r="J877" s="65"/>
      <c r="K877" s="65"/>
      <c r="L877" s="65"/>
    </row>
    <row r="878" ht="15.75" customHeight="1">
      <c r="C878" s="65"/>
      <c r="D878" s="65"/>
      <c r="E878" s="65"/>
      <c r="F878" s="65"/>
      <c r="H878" s="65"/>
      <c r="J878" s="65"/>
      <c r="K878" s="65"/>
      <c r="L878" s="65"/>
    </row>
    <row r="879" ht="15.75" customHeight="1">
      <c r="C879" s="65"/>
      <c r="D879" s="65"/>
      <c r="E879" s="65"/>
      <c r="F879" s="65"/>
      <c r="H879" s="65"/>
      <c r="J879" s="65"/>
      <c r="K879" s="65"/>
      <c r="L879" s="65"/>
    </row>
    <row r="880" ht="15.75" customHeight="1">
      <c r="C880" s="65"/>
      <c r="D880" s="65"/>
      <c r="E880" s="65"/>
      <c r="F880" s="65"/>
      <c r="H880" s="65"/>
      <c r="J880" s="65"/>
      <c r="K880" s="65"/>
      <c r="L880" s="65"/>
    </row>
    <row r="881" ht="15.75" customHeight="1">
      <c r="C881" s="65"/>
      <c r="D881" s="65"/>
      <c r="E881" s="65"/>
      <c r="F881" s="65"/>
      <c r="H881" s="65"/>
      <c r="J881" s="65"/>
      <c r="K881" s="65"/>
      <c r="L881" s="65"/>
    </row>
    <row r="882" ht="15.75" customHeight="1">
      <c r="C882" s="65"/>
      <c r="D882" s="65"/>
      <c r="E882" s="65"/>
      <c r="F882" s="65"/>
      <c r="H882" s="65"/>
      <c r="J882" s="65"/>
      <c r="K882" s="65"/>
      <c r="L882" s="65"/>
    </row>
    <row r="883" ht="15.75" customHeight="1">
      <c r="C883" s="65"/>
      <c r="D883" s="65"/>
      <c r="E883" s="65"/>
      <c r="F883" s="65"/>
      <c r="H883" s="65"/>
      <c r="J883" s="65"/>
      <c r="K883" s="65"/>
      <c r="L883" s="65"/>
    </row>
    <row r="884" ht="15.75" customHeight="1">
      <c r="C884" s="65"/>
      <c r="D884" s="65"/>
      <c r="E884" s="65"/>
      <c r="F884" s="65"/>
      <c r="H884" s="65"/>
      <c r="J884" s="65"/>
      <c r="K884" s="65"/>
      <c r="L884" s="65"/>
    </row>
    <row r="885" ht="15.75" customHeight="1">
      <c r="C885" s="65"/>
      <c r="D885" s="65"/>
      <c r="E885" s="65"/>
      <c r="F885" s="65"/>
      <c r="H885" s="65"/>
      <c r="J885" s="65"/>
      <c r="K885" s="65"/>
      <c r="L885" s="65"/>
    </row>
    <row r="886" ht="15.75" customHeight="1">
      <c r="C886" s="65"/>
      <c r="D886" s="65"/>
      <c r="E886" s="65"/>
      <c r="F886" s="65"/>
      <c r="H886" s="65"/>
      <c r="J886" s="65"/>
      <c r="K886" s="65"/>
      <c r="L886" s="65"/>
    </row>
    <row r="887" ht="15.75" customHeight="1">
      <c r="C887" s="65"/>
      <c r="D887" s="65"/>
      <c r="E887" s="65"/>
      <c r="F887" s="65"/>
      <c r="H887" s="65"/>
      <c r="J887" s="65"/>
      <c r="K887" s="65"/>
      <c r="L887" s="65"/>
    </row>
    <row r="888" ht="15.75" customHeight="1">
      <c r="C888" s="65"/>
      <c r="D888" s="65"/>
      <c r="E888" s="65"/>
      <c r="F888" s="65"/>
      <c r="H888" s="65"/>
      <c r="J888" s="65"/>
      <c r="K888" s="65"/>
      <c r="L888" s="65"/>
    </row>
    <row r="889" ht="15.75" customHeight="1">
      <c r="C889" s="65"/>
      <c r="D889" s="65"/>
      <c r="E889" s="65"/>
      <c r="F889" s="65"/>
      <c r="H889" s="65"/>
      <c r="J889" s="65"/>
      <c r="K889" s="65"/>
      <c r="L889" s="65"/>
    </row>
    <row r="890" ht="15.75" customHeight="1">
      <c r="C890" s="65"/>
      <c r="D890" s="65"/>
      <c r="E890" s="65"/>
      <c r="F890" s="65"/>
      <c r="H890" s="65"/>
      <c r="J890" s="65"/>
      <c r="K890" s="65"/>
      <c r="L890" s="65"/>
    </row>
    <row r="891" ht="15.75" customHeight="1">
      <c r="C891" s="65"/>
      <c r="D891" s="65"/>
      <c r="E891" s="65"/>
      <c r="F891" s="65"/>
      <c r="H891" s="65"/>
      <c r="J891" s="65"/>
      <c r="K891" s="65"/>
      <c r="L891" s="65"/>
    </row>
    <row r="892" ht="15.75" customHeight="1">
      <c r="C892" s="65"/>
      <c r="D892" s="65"/>
      <c r="E892" s="65"/>
      <c r="F892" s="65"/>
      <c r="H892" s="65"/>
      <c r="J892" s="65"/>
      <c r="K892" s="65"/>
      <c r="L892" s="65"/>
    </row>
    <row r="893" ht="15.75" customHeight="1">
      <c r="C893" s="65"/>
      <c r="D893" s="65"/>
      <c r="E893" s="65"/>
      <c r="F893" s="65"/>
      <c r="H893" s="65"/>
      <c r="J893" s="65"/>
      <c r="K893" s="65"/>
      <c r="L893" s="65"/>
    </row>
    <row r="894" ht="15.75" customHeight="1">
      <c r="C894" s="65"/>
      <c r="D894" s="65"/>
      <c r="E894" s="65"/>
      <c r="F894" s="65"/>
      <c r="H894" s="65"/>
      <c r="J894" s="65"/>
      <c r="K894" s="65"/>
      <c r="L894" s="65"/>
    </row>
    <row r="895" ht="15.75" customHeight="1">
      <c r="C895" s="65"/>
      <c r="D895" s="65"/>
      <c r="E895" s="65"/>
      <c r="F895" s="65"/>
      <c r="H895" s="65"/>
      <c r="J895" s="65"/>
      <c r="K895" s="65"/>
      <c r="L895" s="65"/>
    </row>
    <row r="896" ht="15.75" customHeight="1">
      <c r="C896" s="65"/>
      <c r="D896" s="65"/>
      <c r="E896" s="65"/>
      <c r="F896" s="65"/>
      <c r="H896" s="65"/>
      <c r="J896" s="65"/>
      <c r="K896" s="65"/>
      <c r="L896" s="65"/>
    </row>
    <row r="897" ht="15.75" customHeight="1">
      <c r="C897" s="65"/>
      <c r="D897" s="65"/>
      <c r="E897" s="65"/>
      <c r="F897" s="65"/>
      <c r="H897" s="65"/>
      <c r="J897" s="65"/>
      <c r="K897" s="65"/>
      <c r="L897" s="65"/>
    </row>
    <row r="898" ht="15.75" customHeight="1">
      <c r="C898" s="65"/>
      <c r="D898" s="65"/>
      <c r="E898" s="65"/>
      <c r="F898" s="65"/>
      <c r="H898" s="65"/>
      <c r="J898" s="65"/>
      <c r="K898" s="65"/>
      <c r="L898" s="65"/>
    </row>
    <row r="899" ht="15.75" customHeight="1">
      <c r="C899" s="65"/>
      <c r="D899" s="65"/>
      <c r="E899" s="65"/>
      <c r="F899" s="65"/>
      <c r="H899" s="65"/>
      <c r="J899" s="65"/>
      <c r="K899" s="65"/>
      <c r="L899" s="65"/>
    </row>
    <row r="900" ht="15.75" customHeight="1">
      <c r="C900" s="65"/>
      <c r="D900" s="65"/>
      <c r="E900" s="65"/>
      <c r="F900" s="65"/>
      <c r="H900" s="65"/>
      <c r="J900" s="65"/>
      <c r="K900" s="65"/>
      <c r="L900" s="65"/>
    </row>
    <row r="901" ht="15.75" customHeight="1">
      <c r="C901" s="65"/>
      <c r="D901" s="65"/>
      <c r="E901" s="65"/>
      <c r="F901" s="65"/>
      <c r="H901" s="65"/>
      <c r="J901" s="65"/>
      <c r="K901" s="65"/>
      <c r="L901" s="65"/>
    </row>
    <row r="902" ht="15.75" customHeight="1">
      <c r="C902" s="65"/>
      <c r="D902" s="65"/>
      <c r="E902" s="65"/>
      <c r="F902" s="65"/>
      <c r="H902" s="65"/>
      <c r="J902" s="65"/>
      <c r="K902" s="65"/>
      <c r="L902" s="65"/>
    </row>
    <row r="903" ht="15.75" customHeight="1">
      <c r="C903" s="65"/>
      <c r="D903" s="65"/>
      <c r="E903" s="65"/>
      <c r="F903" s="65"/>
      <c r="H903" s="65"/>
      <c r="J903" s="65"/>
      <c r="K903" s="65"/>
      <c r="L903" s="65"/>
    </row>
    <row r="904" ht="15.75" customHeight="1">
      <c r="C904" s="65"/>
      <c r="D904" s="65"/>
      <c r="E904" s="65"/>
      <c r="F904" s="65"/>
      <c r="H904" s="65"/>
      <c r="J904" s="65"/>
      <c r="K904" s="65"/>
      <c r="L904" s="65"/>
    </row>
    <row r="905" ht="15.75" customHeight="1">
      <c r="C905" s="65"/>
      <c r="D905" s="65"/>
      <c r="E905" s="65"/>
      <c r="F905" s="65"/>
      <c r="H905" s="65"/>
      <c r="J905" s="65"/>
      <c r="K905" s="65"/>
      <c r="L905" s="65"/>
    </row>
    <row r="906" ht="15.75" customHeight="1">
      <c r="C906" s="65"/>
      <c r="D906" s="65"/>
      <c r="E906" s="65"/>
      <c r="F906" s="65"/>
      <c r="H906" s="65"/>
      <c r="J906" s="65"/>
      <c r="K906" s="65"/>
      <c r="L906" s="65"/>
    </row>
    <row r="907" ht="15.75" customHeight="1">
      <c r="C907" s="65"/>
      <c r="D907" s="65"/>
      <c r="E907" s="65"/>
      <c r="F907" s="65"/>
      <c r="H907" s="65"/>
      <c r="J907" s="65"/>
      <c r="K907" s="65"/>
      <c r="L907" s="65"/>
    </row>
    <row r="908" ht="15.75" customHeight="1">
      <c r="C908" s="65"/>
      <c r="D908" s="65"/>
      <c r="E908" s="65"/>
      <c r="F908" s="65"/>
      <c r="H908" s="65"/>
      <c r="J908" s="65"/>
      <c r="K908" s="65"/>
      <c r="L908" s="65"/>
    </row>
    <row r="909" ht="15.75" customHeight="1">
      <c r="C909" s="65"/>
      <c r="D909" s="65"/>
      <c r="E909" s="65"/>
      <c r="F909" s="65"/>
      <c r="H909" s="65"/>
      <c r="J909" s="65"/>
      <c r="K909" s="65"/>
      <c r="L909" s="65"/>
    </row>
    <row r="910" ht="15.75" customHeight="1">
      <c r="C910" s="65"/>
      <c r="D910" s="65"/>
      <c r="E910" s="65"/>
      <c r="F910" s="65"/>
      <c r="H910" s="65"/>
      <c r="J910" s="65"/>
      <c r="K910" s="65"/>
      <c r="L910" s="65"/>
    </row>
    <row r="911" ht="15.75" customHeight="1">
      <c r="C911" s="65"/>
      <c r="D911" s="65"/>
      <c r="E911" s="65"/>
      <c r="F911" s="65"/>
      <c r="H911" s="65"/>
      <c r="J911" s="65"/>
      <c r="K911" s="65"/>
      <c r="L911" s="65"/>
    </row>
    <row r="912" ht="15.75" customHeight="1">
      <c r="C912" s="65"/>
      <c r="D912" s="65"/>
      <c r="E912" s="65"/>
      <c r="F912" s="65"/>
      <c r="H912" s="65"/>
      <c r="J912" s="65"/>
      <c r="K912" s="65"/>
      <c r="L912" s="65"/>
    </row>
    <row r="913" ht="15.75" customHeight="1">
      <c r="C913" s="65"/>
      <c r="D913" s="65"/>
      <c r="E913" s="65"/>
      <c r="F913" s="65"/>
      <c r="H913" s="65"/>
      <c r="J913" s="65"/>
      <c r="K913" s="65"/>
      <c r="L913" s="65"/>
    </row>
    <row r="914" ht="15.75" customHeight="1">
      <c r="C914" s="65"/>
      <c r="D914" s="65"/>
      <c r="E914" s="65"/>
      <c r="F914" s="65"/>
      <c r="H914" s="65"/>
      <c r="J914" s="65"/>
      <c r="K914" s="65"/>
      <c r="L914" s="65"/>
    </row>
    <row r="915" ht="15.75" customHeight="1">
      <c r="C915" s="65"/>
      <c r="D915" s="65"/>
      <c r="E915" s="65"/>
      <c r="F915" s="65"/>
      <c r="H915" s="65"/>
      <c r="J915" s="65"/>
      <c r="K915" s="65"/>
      <c r="L915" s="65"/>
    </row>
    <row r="916" ht="15.75" customHeight="1">
      <c r="C916" s="65"/>
      <c r="D916" s="65"/>
      <c r="E916" s="65"/>
      <c r="F916" s="65"/>
      <c r="H916" s="65"/>
      <c r="J916" s="65"/>
      <c r="K916" s="65"/>
      <c r="L916" s="65"/>
    </row>
    <row r="917" ht="15.75" customHeight="1">
      <c r="C917" s="65"/>
      <c r="D917" s="65"/>
      <c r="E917" s="65"/>
      <c r="F917" s="65"/>
      <c r="H917" s="65"/>
      <c r="J917" s="65"/>
      <c r="K917" s="65"/>
      <c r="L917" s="65"/>
    </row>
    <row r="918" ht="15.75" customHeight="1">
      <c r="C918" s="65"/>
      <c r="D918" s="65"/>
      <c r="E918" s="65"/>
      <c r="F918" s="65"/>
      <c r="H918" s="65"/>
      <c r="J918" s="65"/>
      <c r="K918" s="65"/>
      <c r="L918" s="65"/>
    </row>
    <row r="919" ht="15.75" customHeight="1">
      <c r="C919" s="65"/>
      <c r="D919" s="65"/>
      <c r="E919" s="65"/>
      <c r="F919" s="65"/>
      <c r="H919" s="65"/>
      <c r="J919" s="65"/>
      <c r="K919" s="65"/>
      <c r="L919" s="65"/>
    </row>
    <row r="920" ht="15.75" customHeight="1">
      <c r="C920" s="65"/>
      <c r="D920" s="65"/>
      <c r="E920" s="65"/>
      <c r="F920" s="65"/>
      <c r="H920" s="65"/>
      <c r="J920" s="65"/>
      <c r="K920" s="65"/>
      <c r="L920" s="65"/>
    </row>
    <row r="921" ht="15.75" customHeight="1">
      <c r="C921" s="65"/>
      <c r="D921" s="65"/>
      <c r="E921" s="65"/>
      <c r="F921" s="65"/>
      <c r="H921" s="65"/>
      <c r="J921" s="65"/>
      <c r="K921" s="65"/>
      <c r="L921" s="65"/>
    </row>
    <row r="922" ht="15.75" customHeight="1">
      <c r="C922" s="65"/>
      <c r="D922" s="65"/>
      <c r="E922" s="65"/>
      <c r="F922" s="65"/>
      <c r="H922" s="65"/>
      <c r="J922" s="65"/>
      <c r="K922" s="65"/>
      <c r="L922" s="65"/>
    </row>
    <row r="923" ht="15.75" customHeight="1">
      <c r="C923" s="65"/>
      <c r="D923" s="65"/>
      <c r="E923" s="65"/>
      <c r="F923" s="65"/>
      <c r="H923" s="65"/>
      <c r="J923" s="65"/>
      <c r="K923" s="65"/>
      <c r="L923" s="65"/>
    </row>
    <row r="924" ht="15.75" customHeight="1">
      <c r="C924" s="65"/>
      <c r="D924" s="65"/>
      <c r="E924" s="65"/>
      <c r="F924" s="65"/>
      <c r="H924" s="65"/>
      <c r="J924" s="65"/>
      <c r="K924" s="65"/>
      <c r="L924" s="65"/>
    </row>
    <row r="925" ht="15.75" customHeight="1">
      <c r="C925" s="65"/>
      <c r="D925" s="65"/>
      <c r="E925" s="65"/>
      <c r="F925" s="65"/>
      <c r="H925" s="65"/>
      <c r="J925" s="65"/>
      <c r="K925" s="65"/>
      <c r="L925" s="65"/>
    </row>
    <row r="926" ht="15.75" customHeight="1">
      <c r="C926" s="65"/>
      <c r="D926" s="65"/>
      <c r="E926" s="65"/>
      <c r="F926" s="65"/>
      <c r="H926" s="65"/>
      <c r="J926" s="65"/>
      <c r="K926" s="65"/>
      <c r="L926" s="65"/>
    </row>
    <row r="927" ht="15.75" customHeight="1">
      <c r="C927" s="65"/>
      <c r="D927" s="65"/>
      <c r="E927" s="65"/>
      <c r="F927" s="65"/>
      <c r="H927" s="65"/>
      <c r="J927" s="65"/>
      <c r="K927" s="65"/>
      <c r="L927" s="65"/>
    </row>
    <row r="928" ht="15.75" customHeight="1">
      <c r="C928" s="65"/>
      <c r="D928" s="65"/>
      <c r="E928" s="65"/>
      <c r="F928" s="65"/>
      <c r="H928" s="65"/>
      <c r="J928" s="65"/>
      <c r="K928" s="65"/>
      <c r="L928" s="65"/>
    </row>
    <row r="929" ht="15.75" customHeight="1">
      <c r="C929" s="65"/>
      <c r="D929" s="65"/>
      <c r="E929" s="65"/>
      <c r="F929" s="65"/>
      <c r="H929" s="65"/>
      <c r="J929" s="65"/>
      <c r="K929" s="65"/>
      <c r="L929" s="65"/>
    </row>
    <row r="930" ht="15.75" customHeight="1">
      <c r="C930" s="65"/>
      <c r="D930" s="65"/>
      <c r="E930" s="65"/>
      <c r="F930" s="65"/>
      <c r="H930" s="65"/>
      <c r="J930" s="65"/>
      <c r="K930" s="65"/>
      <c r="L930" s="65"/>
    </row>
    <row r="931" ht="15.75" customHeight="1">
      <c r="C931" s="65"/>
      <c r="D931" s="65"/>
      <c r="E931" s="65"/>
      <c r="F931" s="65"/>
      <c r="H931" s="65"/>
      <c r="J931" s="65"/>
      <c r="K931" s="65"/>
      <c r="L931" s="65"/>
    </row>
    <row r="932" ht="15.75" customHeight="1">
      <c r="C932" s="65"/>
      <c r="D932" s="65"/>
      <c r="E932" s="65"/>
      <c r="F932" s="65"/>
      <c r="H932" s="65"/>
      <c r="J932" s="65"/>
      <c r="K932" s="65"/>
      <c r="L932" s="65"/>
    </row>
    <row r="933" ht="15.75" customHeight="1">
      <c r="C933" s="65"/>
      <c r="D933" s="65"/>
      <c r="E933" s="65"/>
      <c r="F933" s="65"/>
      <c r="H933" s="65"/>
      <c r="J933" s="65"/>
      <c r="K933" s="65"/>
      <c r="L933" s="65"/>
    </row>
    <row r="934" ht="15.75" customHeight="1">
      <c r="C934" s="65"/>
      <c r="D934" s="65"/>
      <c r="E934" s="65"/>
      <c r="F934" s="65"/>
      <c r="H934" s="65"/>
      <c r="J934" s="65"/>
      <c r="K934" s="65"/>
      <c r="L934" s="65"/>
    </row>
    <row r="935" ht="15.75" customHeight="1">
      <c r="C935" s="65"/>
      <c r="D935" s="65"/>
      <c r="E935" s="65"/>
      <c r="F935" s="65"/>
      <c r="H935" s="65"/>
      <c r="J935" s="65"/>
      <c r="K935" s="65"/>
      <c r="L935" s="65"/>
    </row>
    <row r="936" ht="15.75" customHeight="1">
      <c r="C936" s="65"/>
      <c r="D936" s="65"/>
      <c r="E936" s="65"/>
      <c r="F936" s="65"/>
      <c r="H936" s="65"/>
      <c r="J936" s="65"/>
      <c r="K936" s="65"/>
      <c r="L936" s="65"/>
    </row>
    <row r="937" ht="15.75" customHeight="1">
      <c r="C937" s="65"/>
      <c r="D937" s="65"/>
      <c r="E937" s="65"/>
      <c r="F937" s="65"/>
      <c r="H937" s="65"/>
      <c r="J937" s="65"/>
      <c r="K937" s="65"/>
      <c r="L937" s="65"/>
    </row>
    <row r="938" ht="15.75" customHeight="1">
      <c r="C938" s="65"/>
      <c r="D938" s="65"/>
      <c r="E938" s="65"/>
      <c r="F938" s="65"/>
      <c r="H938" s="65"/>
      <c r="J938" s="65"/>
      <c r="K938" s="65"/>
      <c r="L938" s="65"/>
    </row>
    <row r="939" ht="15.75" customHeight="1">
      <c r="C939" s="65"/>
      <c r="D939" s="65"/>
      <c r="E939" s="65"/>
      <c r="F939" s="65"/>
      <c r="H939" s="65"/>
      <c r="J939" s="65"/>
      <c r="K939" s="65"/>
      <c r="L939" s="65"/>
    </row>
    <row r="940" ht="15.75" customHeight="1">
      <c r="C940" s="65"/>
      <c r="D940" s="65"/>
      <c r="E940" s="65"/>
      <c r="F940" s="65"/>
      <c r="H940" s="65"/>
      <c r="J940" s="65"/>
      <c r="K940" s="65"/>
      <c r="L940" s="65"/>
    </row>
    <row r="941" ht="15.75" customHeight="1">
      <c r="C941" s="65"/>
      <c r="D941" s="65"/>
      <c r="E941" s="65"/>
      <c r="F941" s="65"/>
      <c r="H941" s="65"/>
      <c r="J941" s="65"/>
      <c r="K941" s="65"/>
      <c r="L941" s="65"/>
    </row>
    <row r="942" ht="15.75" customHeight="1">
      <c r="C942" s="65"/>
      <c r="D942" s="65"/>
      <c r="E942" s="65"/>
      <c r="F942" s="65"/>
      <c r="H942" s="65"/>
      <c r="J942" s="65"/>
      <c r="K942" s="65"/>
      <c r="L942" s="65"/>
    </row>
    <row r="943" ht="15.75" customHeight="1">
      <c r="C943" s="65"/>
      <c r="D943" s="65"/>
      <c r="E943" s="65"/>
      <c r="F943" s="65"/>
      <c r="H943" s="65"/>
      <c r="J943" s="65"/>
      <c r="K943" s="65"/>
      <c r="L943" s="65"/>
    </row>
    <row r="944" ht="15.75" customHeight="1">
      <c r="C944" s="65"/>
      <c r="D944" s="65"/>
      <c r="E944" s="65"/>
      <c r="F944" s="65"/>
      <c r="H944" s="65"/>
      <c r="J944" s="65"/>
      <c r="K944" s="65"/>
      <c r="L944" s="65"/>
    </row>
    <row r="945" ht="15.75" customHeight="1">
      <c r="C945" s="65"/>
      <c r="D945" s="65"/>
      <c r="E945" s="65"/>
      <c r="F945" s="65"/>
      <c r="H945" s="65"/>
      <c r="J945" s="65"/>
      <c r="K945" s="65"/>
      <c r="L945" s="65"/>
    </row>
    <row r="946" ht="15.75" customHeight="1">
      <c r="C946" s="65"/>
      <c r="D946" s="65"/>
      <c r="E946" s="65"/>
      <c r="F946" s="65"/>
      <c r="H946" s="65"/>
      <c r="J946" s="65"/>
      <c r="K946" s="65"/>
      <c r="L946" s="65"/>
    </row>
    <row r="947" ht="15.75" customHeight="1">
      <c r="C947" s="65"/>
      <c r="D947" s="65"/>
      <c r="E947" s="65"/>
      <c r="F947" s="65"/>
      <c r="H947" s="65"/>
      <c r="J947" s="65"/>
      <c r="K947" s="65"/>
      <c r="L947" s="65"/>
    </row>
    <row r="948" ht="15.75" customHeight="1">
      <c r="C948" s="65"/>
      <c r="D948" s="65"/>
      <c r="E948" s="65"/>
      <c r="F948" s="65"/>
      <c r="H948" s="65"/>
      <c r="J948" s="65"/>
      <c r="K948" s="65"/>
      <c r="L948" s="65"/>
    </row>
    <row r="949" ht="15.75" customHeight="1">
      <c r="C949" s="65"/>
      <c r="D949" s="65"/>
      <c r="E949" s="65"/>
      <c r="F949" s="65"/>
      <c r="H949" s="65"/>
      <c r="J949" s="65"/>
      <c r="K949" s="65"/>
      <c r="L949" s="65"/>
    </row>
    <row r="950" ht="15.75" customHeight="1">
      <c r="C950" s="65"/>
      <c r="D950" s="65"/>
      <c r="E950" s="65"/>
      <c r="F950" s="65"/>
      <c r="H950" s="65"/>
      <c r="J950" s="65"/>
      <c r="K950" s="65"/>
      <c r="L950" s="65"/>
    </row>
    <row r="951" ht="15.75" customHeight="1">
      <c r="C951" s="65"/>
      <c r="D951" s="65"/>
      <c r="E951" s="65"/>
      <c r="F951" s="65"/>
      <c r="H951" s="65"/>
      <c r="J951" s="65"/>
      <c r="K951" s="65"/>
      <c r="L951" s="65"/>
    </row>
    <row r="952" ht="15.75" customHeight="1">
      <c r="C952" s="65"/>
      <c r="D952" s="65"/>
      <c r="E952" s="65"/>
      <c r="F952" s="65"/>
      <c r="H952" s="65"/>
      <c r="J952" s="65"/>
      <c r="K952" s="65"/>
      <c r="L952" s="65"/>
    </row>
    <row r="953" ht="15.75" customHeight="1">
      <c r="C953" s="65"/>
      <c r="D953" s="65"/>
      <c r="E953" s="65"/>
      <c r="F953" s="65"/>
      <c r="H953" s="65"/>
      <c r="J953" s="65"/>
      <c r="K953" s="65"/>
      <c r="L953" s="65"/>
    </row>
    <row r="954" ht="15.75" customHeight="1">
      <c r="C954" s="65"/>
      <c r="D954" s="65"/>
      <c r="E954" s="65"/>
      <c r="F954" s="65"/>
      <c r="H954" s="65"/>
      <c r="J954" s="65"/>
      <c r="K954" s="65"/>
      <c r="L954" s="65"/>
    </row>
    <row r="955" ht="15.75" customHeight="1">
      <c r="C955" s="65"/>
      <c r="D955" s="65"/>
      <c r="E955" s="65"/>
      <c r="F955" s="65"/>
      <c r="H955" s="65"/>
      <c r="J955" s="65"/>
      <c r="K955" s="65"/>
      <c r="L955" s="65"/>
    </row>
    <row r="956" ht="15.75" customHeight="1">
      <c r="C956" s="65"/>
      <c r="D956" s="65"/>
      <c r="E956" s="65"/>
      <c r="F956" s="65"/>
      <c r="H956" s="65"/>
      <c r="J956" s="65"/>
      <c r="K956" s="65"/>
      <c r="L956" s="65"/>
    </row>
    <row r="957" ht="15.75" customHeight="1">
      <c r="C957" s="65"/>
      <c r="D957" s="65"/>
      <c r="E957" s="65"/>
      <c r="F957" s="65"/>
      <c r="H957" s="65"/>
      <c r="J957" s="65"/>
      <c r="K957" s="65"/>
      <c r="L957" s="65"/>
    </row>
    <row r="958" ht="15.75" customHeight="1">
      <c r="C958" s="65"/>
      <c r="D958" s="65"/>
      <c r="E958" s="65"/>
      <c r="F958" s="65"/>
      <c r="H958" s="65"/>
      <c r="J958" s="65"/>
      <c r="K958" s="65"/>
      <c r="L958" s="65"/>
    </row>
    <row r="959" ht="15.75" customHeight="1">
      <c r="C959" s="65"/>
      <c r="D959" s="65"/>
      <c r="E959" s="65"/>
      <c r="F959" s="65"/>
      <c r="H959" s="65"/>
      <c r="J959" s="65"/>
      <c r="K959" s="65"/>
      <c r="L959" s="65"/>
    </row>
    <row r="960" ht="15.75" customHeight="1">
      <c r="C960" s="65"/>
      <c r="D960" s="65"/>
      <c r="E960" s="65"/>
      <c r="F960" s="65"/>
      <c r="H960" s="65"/>
      <c r="J960" s="65"/>
      <c r="K960" s="65"/>
      <c r="L960" s="65"/>
    </row>
    <row r="961" ht="15.75" customHeight="1">
      <c r="C961" s="65"/>
      <c r="D961" s="65"/>
      <c r="E961" s="65"/>
      <c r="F961" s="65"/>
      <c r="H961" s="65"/>
      <c r="J961" s="65"/>
      <c r="K961" s="65"/>
      <c r="L961" s="65"/>
    </row>
    <row r="962" ht="15.75" customHeight="1">
      <c r="C962" s="65"/>
      <c r="D962" s="65"/>
      <c r="E962" s="65"/>
      <c r="F962" s="65"/>
      <c r="H962" s="65"/>
      <c r="J962" s="65"/>
      <c r="K962" s="65"/>
      <c r="L962" s="65"/>
    </row>
    <row r="963" ht="15.75" customHeight="1">
      <c r="C963" s="65"/>
      <c r="D963" s="65"/>
      <c r="E963" s="65"/>
      <c r="F963" s="65"/>
      <c r="H963" s="65"/>
      <c r="J963" s="65"/>
      <c r="K963" s="65"/>
      <c r="L963" s="65"/>
    </row>
    <row r="964" ht="15.75" customHeight="1">
      <c r="C964" s="65"/>
      <c r="D964" s="65"/>
      <c r="E964" s="65"/>
      <c r="F964" s="65"/>
      <c r="H964" s="65"/>
      <c r="J964" s="65"/>
      <c r="K964" s="65"/>
      <c r="L964" s="65"/>
    </row>
    <row r="965" ht="15.75" customHeight="1">
      <c r="C965" s="65"/>
      <c r="D965" s="65"/>
      <c r="E965" s="65"/>
      <c r="F965" s="65"/>
      <c r="H965" s="65"/>
      <c r="J965" s="65"/>
      <c r="K965" s="65"/>
      <c r="L965" s="65"/>
    </row>
    <row r="966" ht="15.75" customHeight="1">
      <c r="C966" s="65"/>
      <c r="D966" s="65"/>
      <c r="E966" s="65"/>
      <c r="F966" s="65"/>
      <c r="H966" s="65"/>
      <c r="J966" s="65"/>
      <c r="K966" s="65"/>
      <c r="L966" s="65"/>
    </row>
    <row r="967" ht="15.75" customHeight="1">
      <c r="C967" s="65"/>
      <c r="D967" s="65"/>
      <c r="E967" s="65"/>
      <c r="F967" s="65"/>
      <c r="H967" s="65"/>
      <c r="J967" s="65"/>
      <c r="K967" s="65"/>
      <c r="L967" s="65"/>
    </row>
    <row r="968" ht="15.75" customHeight="1">
      <c r="C968" s="65"/>
      <c r="D968" s="65"/>
      <c r="E968" s="65"/>
      <c r="F968" s="65"/>
      <c r="H968" s="65"/>
      <c r="J968" s="65"/>
      <c r="K968" s="65"/>
      <c r="L968" s="65"/>
    </row>
    <row r="969" ht="15.75" customHeight="1">
      <c r="C969" s="65"/>
      <c r="D969" s="65"/>
      <c r="E969" s="65"/>
      <c r="F969" s="65"/>
      <c r="H969" s="65"/>
      <c r="J969" s="65"/>
      <c r="K969" s="65"/>
      <c r="L969" s="65"/>
    </row>
    <row r="970" ht="15.75" customHeight="1">
      <c r="C970" s="65"/>
      <c r="D970" s="65"/>
      <c r="E970" s="65"/>
      <c r="F970" s="65"/>
      <c r="H970" s="65"/>
      <c r="J970" s="65"/>
      <c r="K970" s="65"/>
      <c r="L970" s="65"/>
    </row>
    <row r="971" ht="15.75" customHeight="1">
      <c r="C971" s="65"/>
      <c r="D971" s="65"/>
      <c r="E971" s="65"/>
      <c r="F971" s="65"/>
      <c r="H971" s="65"/>
      <c r="J971" s="65"/>
      <c r="K971" s="65"/>
      <c r="L971" s="65"/>
    </row>
    <row r="972" ht="15.75" customHeight="1">
      <c r="C972" s="65"/>
      <c r="D972" s="65"/>
      <c r="E972" s="65"/>
      <c r="F972" s="65"/>
      <c r="H972" s="65"/>
      <c r="J972" s="65"/>
      <c r="K972" s="65"/>
      <c r="L972" s="65"/>
    </row>
    <row r="973" ht="15.75" customHeight="1">
      <c r="C973" s="65"/>
      <c r="D973" s="65"/>
      <c r="E973" s="65"/>
      <c r="F973" s="65"/>
      <c r="H973" s="65"/>
      <c r="J973" s="65"/>
      <c r="K973" s="65"/>
      <c r="L973" s="65"/>
    </row>
    <row r="974" ht="15.75" customHeight="1">
      <c r="C974" s="65"/>
      <c r="D974" s="65"/>
      <c r="E974" s="65"/>
      <c r="F974" s="65"/>
      <c r="H974" s="65"/>
      <c r="J974" s="65"/>
      <c r="K974" s="65"/>
      <c r="L974" s="65"/>
    </row>
    <row r="975" ht="15.75" customHeight="1">
      <c r="C975" s="65"/>
      <c r="D975" s="65"/>
      <c r="E975" s="65"/>
      <c r="F975" s="65"/>
      <c r="H975" s="65"/>
      <c r="J975" s="65"/>
      <c r="K975" s="65"/>
      <c r="L975" s="65"/>
    </row>
    <row r="976" ht="15.75" customHeight="1">
      <c r="C976" s="65"/>
      <c r="D976" s="65"/>
      <c r="E976" s="65"/>
      <c r="F976" s="65"/>
      <c r="H976" s="65"/>
      <c r="J976" s="65"/>
      <c r="K976" s="65"/>
      <c r="L976" s="65"/>
    </row>
    <row r="977" ht="15.75" customHeight="1">
      <c r="C977" s="65"/>
      <c r="D977" s="65"/>
      <c r="E977" s="65"/>
      <c r="F977" s="65"/>
      <c r="H977" s="65"/>
      <c r="J977" s="65"/>
      <c r="K977" s="65"/>
      <c r="L977" s="65"/>
    </row>
    <row r="978" ht="15.75" customHeight="1">
      <c r="C978" s="65"/>
      <c r="D978" s="65"/>
      <c r="E978" s="65"/>
      <c r="F978" s="65"/>
      <c r="H978" s="65"/>
      <c r="J978" s="65"/>
      <c r="K978" s="65"/>
      <c r="L978" s="65"/>
    </row>
    <row r="979" ht="15.75" customHeight="1">
      <c r="C979" s="65"/>
      <c r="D979" s="65"/>
      <c r="E979" s="65"/>
      <c r="F979" s="65"/>
      <c r="H979" s="65"/>
      <c r="J979" s="65"/>
      <c r="K979" s="65"/>
      <c r="L979" s="65"/>
    </row>
    <row r="980" ht="15.75" customHeight="1">
      <c r="C980" s="65"/>
      <c r="D980" s="65"/>
      <c r="E980" s="65"/>
      <c r="F980" s="65"/>
      <c r="H980" s="65"/>
      <c r="J980" s="65"/>
      <c r="K980" s="65"/>
      <c r="L980" s="65"/>
    </row>
    <row r="981" ht="15.75" customHeight="1">
      <c r="C981" s="65"/>
      <c r="D981" s="65"/>
      <c r="E981" s="65"/>
      <c r="F981" s="65"/>
      <c r="H981" s="65"/>
      <c r="J981" s="65"/>
      <c r="K981" s="65"/>
      <c r="L981" s="65"/>
    </row>
    <row r="982" ht="15.75" customHeight="1">
      <c r="C982" s="65"/>
      <c r="D982" s="65"/>
      <c r="E982" s="65"/>
      <c r="F982" s="65"/>
      <c r="H982" s="65"/>
      <c r="J982" s="65"/>
      <c r="K982" s="65"/>
      <c r="L982" s="65"/>
    </row>
    <row r="983" ht="15.75" customHeight="1">
      <c r="C983" s="65"/>
      <c r="D983" s="65"/>
      <c r="E983" s="65"/>
      <c r="F983" s="65"/>
      <c r="H983" s="65"/>
      <c r="J983" s="65"/>
      <c r="K983" s="65"/>
      <c r="L983" s="65"/>
    </row>
    <row r="984" ht="15.75" customHeight="1">
      <c r="C984" s="65"/>
      <c r="D984" s="65"/>
      <c r="E984" s="65"/>
      <c r="F984" s="65"/>
      <c r="H984" s="65"/>
      <c r="J984" s="65"/>
      <c r="K984" s="65"/>
      <c r="L984" s="65"/>
    </row>
    <row r="985" ht="15.75" customHeight="1">
      <c r="C985" s="65"/>
      <c r="D985" s="65"/>
      <c r="E985" s="65"/>
      <c r="F985" s="65"/>
      <c r="H985" s="65"/>
      <c r="J985" s="65"/>
      <c r="K985" s="65"/>
      <c r="L985" s="65"/>
    </row>
    <row r="986" ht="15.75" customHeight="1">
      <c r="C986" s="65"/>
      <c r="D986" s="65"/>
      <c r="E986" s="65"/>
      <c r="F986" s="65"/>
      <c r="H986" s="65"/>
      <c r="J986" s="65"/>
      <c r="K986" s="65"/>
      <c r="L986" s="65"/>
    </row>
    <row r="987" ht="15.75" customHeight="1">
      <c r="C987" s="65"/>
      <c r="D987" s="65"/>
      <c r="E987" s="65"/>
      <c r="F987" s="65"/>
      <c r="H987" s="65"/>
      <c r="J987" s="65"/>
      <c r="K987" s="65"/>
      <c r="L987" s="65"/>
    </row>
    <row r="988" ht="15.75" customHeight="1">
      <c r="C988" s="65"/>
      <c r="D988" s="65"/>
      <c r="E988" s="65"/>
      <c r="F988" s="65"/>
      <c r="H988" s="65"/>
      <c r="J988" s="65"/>
      <c r="K988" s="65"/>
      <c r="L988" s="65"/>
    </row>
    <row r="989" ht="15.75" customHeight="1">
      <c r="C989" s="65"/>
      <c r="D989" s="65"/>
      <c r="E989" s="65"/>
      <c r="F989" s="65"/>
      <c r="H989" s="65"/>
      <c r="J989" s="65"/>
      <c r="K989" s="65"/>
      <c r="L989" s="65"/>
    </row>
    <row r="990" ht="15.75" customHeight="1">
      <c r="C990" s="65"/>
      <c r="D990" s="65"/>
      <c r="E990" s="65"/>
      <c r="F990" s="65"/>
      <c r="H990" s="65"/>
      <c r="J990" s="65"/>
      <c r="K990" s="65"/>
      <c r="L990" s="65"/>
    </row>
    <row r="991" ht="15.75" customHeight="1">
      <c r="C991" s="65"/>
      <c r="D991" s="65"/>
      <c r="E991" s="65"/>
      <c r="F991" s="65"/>
      <c r="H991" s="65"/>
      <c r="J991" s="65"/>
      <c r="K991" s="65"/>
      <c r="L991" s="65"/>
    </row>
    <row r="992" ht="15.75" customHeight="1">
      <c r="C992" s="65"/>
      <c r="D992" s="65"/>
      <c r="E992" s="65"/>
      <c r="F992" s="65"/>
      <c r="H992" s="65"/>
      <c r="J992" s="65"/>
      <c r="K992" s="65"/>
      <c r="L992" s="65"/>
    </row>
    <row r="993" ht="15.75" customHeight="1">
      <c r="C993" s="65"/>
      <c r="D993" s="65"/>
      <c r="E993" s="65"/>
      <c r="F993" s="65"/>
      <c r="H993" s="65"/>
      <c r="J993" s="65"/>
      <c r="K993" s="65"/>
      <c r="L993" s="65"/>
    </row>
    <row r="994" ht="15.75" customHeight="1">
      <c r="C994" s="65"/>
      <c r="D994" s="65"/>
      <c r="E994" s="65"/>
      <c r="F994" s="65"/>
      <c r="H994" s="65"/>
      <c r="J994" s="65"/>
      <c r="K994" s="65"/>
      <c r="L994" s="65"/>
    </row>
    <row r="995" ht="15.75" customHeight="1">
      <c r="C995" s="65"/>
      <c r="D995" s="65"/>
      <c r="E995" s="65"/>
      <c r="F995" s="65"/>
      <c r="H995" s="65"/>
      <c r="J995" s="65"/>
      <c r="K995" s="65"/>
      <c r="L995" s="65"/>
    </row>
    <row r="996" ht="15.75" customHeight="1">
      <c r="C996" s="65"/>
      <c r="D996" s="65"/>
      <c r="E996" s="65"/>
      <c r="F996" s="65"/>
      <c r="H996" s="65"/>
      <c r="J996" s="65"/>
      <c r="K996" s="65"/>
      <c r="L996" s="65"/>
    </row>
    <row r="997" ht="15.75" customHeight="1">
      <c r="C997" s="65"/>
      <c r="D997" s="65"/>
      <c r="E997" s="65"/>
      <c r="F997" s="65"/>
      <c r="H997" s="65"/>
      <c r="J997" s="65"/>
      <c r="K997" s="65"/>
      <c r="L997" s="65"/>
    </row>
    <row r="998" ht="15.75" customHeight="1">
      <c r="C998" s="65"/>
      <c r="D998" s="65"/>
      <c r="E998" s="65"/>
      <c r="F998" s="65"/>
      <c r="H998" s="65"/>
      <c r="J998" s="65"/>
      <c r="K998" s="65"/>
      <c r="L998" s="65"/>
    </row>
    <row r="999" ht="15.75" customHeight="1">
      <c r="C999" s="65"/>
      <c r="D999" s="65"/>
      <c r="E999" s="65"/>
      <c r="F999" s="65"/>
      <c r="H999" s="65"/>
      <c r="J999" s="65"/>
      <c r="K999" s="65"/>
      <c r="L999" s="65"/>
    </row>
    <row r="1000" ht="15.75" customHeight="1">
      <c r="C1000" s="65"/>
      <c r="D1000" s="65"/>
      <c r="E1000" s="65"/>
      <c r="F1000" s="65"/>
      <c r="H1000" s="65"/>
      <c r="J1000" s="65"/>
      <c r="K1000" s="65"/>
      <c r="L1000" s="65"/>
    </row>
  </sheetData>
  <autoFilter ref="$A$1:$M$40"/>
  <dataValidations>
    <dataValidation type="list" allowBlank="1" sqref="L2:L1000">
      <formula1>'_Lists'!$A$2:$A$43</formula1>
    </dataValidation>
    <dataValidation type="list" allowBlank="1" sqref="K2:K1000">
      <formula1>"SCRUM-8,SCRUM-64,SCRUM-72,SCRUM-71,SCRUM-70,SCRUM-69,SCRUM-68,SCRUM-45,SCRUM-195,SCRUM-83,SCRUM-78,SCRUM-80,SCRUM-89,SCRUM-211,SCRUM-107,SCRUM-104,SCRUM-102,SCRUM-212,SCRUM-108,SCRUM-209,SCRUM-292,SCRUM-291,SCRUM-290,SCRUM-286,SCRUM-289,SCRUM-288,SCRUM-46"&amp;",SCRUM-202,SCRUM-201,SCRUM-200,SCRUM-199,SCRUM-143,SCRUM-142,SCRUM-141,SCRUM-194,SCRUM-140,SCRUM-77,SCRUM-217"</formula1>
    </dataValidation>
    <dataValidation type="date" operator="greaterThanOrEqual" allowBlank="1" showInputMessage="1" prompt="Due Date - Enter a date (YYYY-MM-DD)" sqref="H2:H1000">
      <formula1>2020-1-1</formula1>
    </dataValidation>
    <dataValidation type="list" allowBlank="1" sqref="F2:F1000">
      <formula1>"Amy Tripp,Napadech,Nattapat Suwansipaisan,Nutgritta Prasomthongsuk,Thiraphat Panthong"</formula1>
    </dataValidation>
    <dataValidation type="list" allowBlank="1" sqref="D2:D1000">
      <formula1>"To Do,In Progress,Done,Closed,Resolved"</formula1>
    </dataValidation>
    <dataValidation type="list" allowBlank="1" sqref="E2:E1000">
      <formula1>"Highest,High,Medium,Low,Lowest"</formula1>
    </dataValidation>
    <dataValidation type="list" allowBlank="1" sqref="J2:J1000">
      <formula1>"SCRUM Sprint 1,SCRUM Sprint 2,SCRUM Sprint 3,SCRUM Sprint 4"</formula1>
    </dataValidation>
    <dataValidation type="list" allowBlank="1" sqref="C2:C1000">
      <formula1>"Epic,Task,Test,Subtask"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2.0"/>
    <col customWidth="1" min="2" max="2" width="45.0"/>
    <col customWidth="1" min="3" max="3" width="13.0"/>
    <col customWidth="1" min="4" max="4" width="14.0"/>
    <col customWidth="1" min="5" max="5" width="11.0"/>
    <col customWidth="1" min="6" max="6" width="27.0"/>
    <col customWidth="1" min="7" max="8" width="13.0"/>
    <col customWidth="1" min="9" max="9" width="13.29"/>
    <col customWidth="1" min="10" max="10" width="18.43"/>
    <col customWidth="1" min="11" max="11" width="17.0"/>
    <col customWidth="1" min="12" max="12" width="21.29"/>
    <col customWidth="1" min="13" max="13" width="28.0"/>
  </cols>
  <sheetData>
    <row r="1" ht="30.0" customHeight="1">
      <c r="A1" s="17" t="s">
        <v>52</v>
      </c>
      <c r="B1" s="17" t="s">
        <v>53</v>
      </c>
      <c r="C1" s="17" t="s">
        <v>54</v>
      </c>
      <c r="D1" s="17" t="s">
        <v>38</v>
      </c>
      <c r="E1" s="17" t="s">
        <v>55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37</v>
      </c>
      <c r="K1" s="17" t="s">
        <v>60</v>
      </c>
      <c r="L1" s="17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4" t="s">
        <v>22</v>
      </c>
      <c r="B2" s="44" t="s">
        <v>23</v>
      </c>
      <c r="C2" s="45" t="s">
        <v>62</v>
      </c>
      <c r="D2" s="24" t="s">
        <v>44</v>
      </c>
      <c r="E2" s="46" t="s">
        <v>63</v>
      </c>
      <c r="F2" s="47"/>
      <c r="G2" s="47" t="s">
        <v>64</v>
      </c>
      <c r="H2" s="48" t="s">
        <v>167</v>
      </c>
      <c r="I2" s="47"/>
      <c r="J2" s="47"/>
      <c r="K2" s="47"/>
      <c r="L2" s="4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 outlineLevel="1">
      <c r="A3" s="49" t="s">
        <v>168</v>
      </c>
      <c r="B3" s="49" t="s">
        <v>169</v>
      </c>
      <c r="C3" s="50" t="s">
        <v>68</v>
      </c>
      <c r="D3" s="19" t="s">
        <v>14</v>
      </c>
      <c r="E3" s="46" t="s">
        <v>63</v>
      </c>
      <c r="F3" s="52" t="s">
        <v>170</v>
      </c>
      <c r="G3" s="52" t="s">
        <v>171</v>
      </c>
      <c r="H3" s="53" t="s">
        <v>166</v>
      </c>
      <c r="I3" s="52"/>
      <c r="J3" s="52" t="s">
        <v>39</v>
      </c>
      <c r="K3" s="52" t="s">
        <v>22</v>
      </c>
      <c r="L3" s="52" t="s">
        <v>23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customHeight="1" outlineLevel="2">
      <c r="A4" s="54" t="s">
        <v>172</v>
      </c>
      <c r="B4" s="54" t="s">
        <v>173</v>
      </c>
      <c r="C4" s="55" t="s">
        <v>75</v>
      </c>
      <c r="D4" s="19" t="s">
        <v>14</v>
      </c>
      <c r="E4" s="51" t="s">
        <v>69</v>
      </c>
      <c r="F4" s="56" t="s">
        <v>156</v>
      </c>
      <c r="G4" s="56" t="s">
        <v>174</v>
      </c>
      <c r="H4" s="56"/>
      <c r="I4" s="56"/>
      <c r="J4" s="56" t="s">
        <v>39</v>
      </c>
      <c r="K4" s="56" t="s">
        <v>168</v>
      </c>
      <c r="L4" s="56" t="s">
        <v>169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 outlineLevel="2">
      <c r="A5" s="57" t="s">
        <v>175</v>
      </c>
      <c r="B5" s="57" t="s">
        <v>176</v>
      </c>
      <c r="C5" s="55" t="s">
        <v>75</v>
      </c>
      <c r="D5" s="19" t="s">
        <v>14</v>
      </c>
      <c r="E5" s="51" t="s">
        <v>69</v>
      </c>
      <c r="F5" s="58" t="s">
        <v>170</v>
      </c>
      <c r="G5" s="58" t="s">
        <v>174</v>
      </c>
      <c r="H5" s="58"/>
      <c r="I5" s="58"/>
      <c r="J5" s="58" t="s">
        <v>39</v>
      </c>
      <c r="K5" s="58" t="s">
        <v>168</v>
      </c>
      <c r="L5" s="58" t="s">
        <v>169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customHeight="1" outlineLevel="2">
      <c r="A6" s="54" t="s">
        <v>177</v>
      </c>
      <c r="B6" s="54" t="s">
        <v>178</v>
      </c>
      <c r="C6" s="55" t="s">
        <v>75</v>
      </c>
      <c r="D6" s="19" t="s">
        <v>14</v>
      </c>
      <c r="E6" s="51" t="s">
        <v>69</v>
      </c>
      <c r="F6" s="56" t="s">
        <v>156</v>
      </c>
      <c r="G6" s="56" t="s">
        <v>174</v>
      </c>
      <c r="H6" s="56"/>
      <c r="I6" s="56"/>
      <c r="J6" s="56" t="s">
        <v>39</v>
      </c>
      <c r="K6" s="56" t="s">
        <v>168</v>
      </c>
      <c r="L6" s="56" t="s">
        <v>169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9.5" customHeight="1" outlineLevel="2">
      <c r="A7" s="57" t="s">
        <v>179</v>
      </c>
      <c r="B7" s="57" t="s">
        <v>180</v>
      </c>
      <c r="C7" s="55" t="s">
        <v>75</v>
      </c>
      <c r="D7" s="19" t="s">
        <v>14</v>
      </c>
      <c r="E7" s="51" t="s">
        <v>69</v>
      </c>
      <c r="F7" s="58" t="s">
        <v>170</v>
      </c>
      <c r="G7" s="58" t="s">
        <v>174</v>
      </c>
      <c r="H7" s="58"/>
      <c r="I7" s="58"/>
      <c r="J7" s="58" t="s">
        <v>39</v>
      </c>
      <c r="K7" s="58" t="s">
        <v>168</v>
      </c>
      <c r="L7" s="58" t="s">
        <v>169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customHeight="1" outlineLevel="1">
      <c r="A8" s="49" t="s">
        <v>181</v>
      </c>
      <c r="B8" s="49" t="s">
        <v>182</v>
      </c>
      <c r="C8" s="50" t="s">
        <v>68</v>
      </c>
      <c r="D8" s="24" t="s">
        <v>44</v>
      </c>
      <c r="E8" s="46" t="s">
        <v>63</v>
      </c>
      <c r="F8" s="52" t="s">
        <v>156</v>
      </c>
      <c r="G8" s="52" t="s">
        <v>64</v>
      </c>
      <c r="H8" s="53" t="s">
        <v>183</v>
      </c>
      <c r="I8" s="52"/>
      <c r="J8" s="52" t="s">
        <v>42</v>
      </c>
      <c r="K8" s="52" t="s">
        <v>22</v>
      </c>
      <c r="L8" s="52" t="s">
        <v>23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9.5" customHeight="1" outlineLevel="2">
      <c r="A9" s="57" t="s">
        <v>184</v>
      </c>
      <c r="B9" s="57" t="s">
        <v>185</v>
      </c>
      <c r="C9" s="55" t="s">
        <v>75</v>
      </c>
      <c r="D9" s="19" t="s">
        <v>14</v>
      </c>
      <c r="E9" s="66" t="s">
        <v>186</v>
      </c>
      <c r="F9" s="58" t="s">
        <v>156</v>
      </c>
      <c r="G9" s="58" t="s">
        <v>76</v>
      </c>
      <c r="H9" s="60" t="s">
        <v>187</v>
      </c>
      <c r="I9" s="58"/>
      <c r="J9" s="58" t="s">
        <v>42</v>
      </c>
      <c r="K9" s="58" t="s">
        <v>181</v>
      </c>
      <c r="L9" s="58" t="s">
        <v>182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9.5" customHeight="1" outlineLevel="2">
      <c r="A10" s="54" t="s">
        <v>188</v>
      </c>
      <c r="B10" s="54" t="s">
        <v>189</v>
      </c>
      <c r="C10" s="55" t="s">
        <v>75</v>
      </c>
      <c r="D10" s="19" t="s">
        <v>14</v>
      </c>
      <c r="E10" s="66" t="s">
        <v>186</v>
      </c>
      <c r="F10" s="56" t="s">
        <v>156</v>
      </c>
      <c r="G10" s="56" t="s">
        <v>76</v>
      </c>
      <c r="H10" s="59" t="s">
        <v>118</v>
      </c>
      <c r="I10" s="56"/>
      <c r="J10" s="56" t="s">
        <v>42</v>
      </c>
      <c r="K10" s="56" t="s">
        <v>181</v>
      </c>
      <c r="L10" s="56" t="s">
        <v>182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.5" customHeight="1" outlineLevel="2">
      <c r="A11" s="57" t="s">
        <v>190</v>
      </c>
      <c r="B11" s="57" t="s">
        <v>191</v>
      </c>
      <c r="C11" s="55" t="s">
        <v>75</v>
      </c>
      <c r="D11" s="19" t="s">
        <v>14</v>
      </c>
      <c r="E11" s="66" t="s">
        <v>186</v>
      </c>
      <c r="F11" s="58" t="s">
        <v>156</v>
      </c>
      <c r="G11" s="58" t="s">
        <v>76</v>
      </c>
      <c r="H11" s="60" t="s">
        <v>192</v>
      </c>
      <c r="I11" s="58"/>
      <c r="J11" s="58" t="s">
        <v>42</v>
      </c>
      <c r="K11" s="58" t="s">
        <v>181</v>
      </c>
      <c r="L11" s="58" t="s">
        <v>182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9.5" customHeight="1" outlineLevel="2">
      <c r="A12" s="54" t="s">
        <v>193</v>
      </c>
      <c r="B12" s="54" t="s">
        <v>194</v>
      </c>
      <c r="C12" s="55" t="s">
        <v>75</v>
      </c>
      <c r="D12" s="19" t="s">
        <v>14</v>
      </c>
      <c r="E12" s="66" t="s">
        <v>186</v>
      </c>
      <c r="F12" s="56" t="s">
        <v>156</v>
      </c>
      <c r="G12" s="56" t="s">
        <v>76</v>
      </c>
      <c r="H12" s="59" t="s">
        <v>187</v>
      </c>
      <c r="I12" s="56"/>
      <c r="J12" s="56" t="s">
        <v>42</v>
      </c>
      <c r="K12" s="56" t="s">
        <v>181</v>
      </c>
      <c r="L12" s="56" t="s">
        <v>182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.5" customHeight="1" outlineLevel="2">
      <c r="A13" s="57" t="s">
        <v>195</v>
      </c>
      <c r="B13" s="57" t="s">
        <v>196</v>
      </c>
      <c r="C13" s="55" t="s">
        <v>75</v>
      </c>
      <c r="D13" s="19" t="s">
        <v>14</v>
      </c>
      <c r="E13" s="51" t="s">
        <v>69</v>
      </c>
      <c r="F13" s="58" t="s">
        <v>156</v>
      </c>
      <c r="G13" s="58" t="s">
        <v>76</v>
      </c>
      <c r="H13" s="60" t="s">
        <v>118</v>
      </c>
      <c r="I13" s="58"/>
      <c r="J13" s="58" t="s">
        <v>42</v>
      </c>
      <c r="K13" s="58" t="s">
        <v>181</v>
      </c>
      <c r="L13" s="58" t="s">
        <v>182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9.5" customHeight="1" outlineLevel="2">
      <c r="A14" s="54" t="s">
        <v>197</v>
      </c>
      <c r="B14" s="54" t="s">
        <v>198</v>
      </c>
      <c r="C14" s="55" t="s">
        <v>75</v>
      </c>
      <c r="D14" s="19" t="s">
        <v>14</v>
      </c>
      <c r="E14" s="51" t="s">
        <v>69</v>
      </c>
      <c r="F14" s="56" t="s">
        <v>156</v>
      </c>
      <c r="G14" s="56" t="s">
        <v>76</v>
      </c>
      <c r="H14" s="59" t="s">
        <v>118</v>
      </c>
      <c r="I14" s="56"/>
      <c r="J14" s="56" t="s">
        <v>42</v>
      </c>
      <c r="K14" s="56" t="s">
        <v>181</v>
      </c>
      <c r="L14" s="56" t="s">
        <v>182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9.5" customHeight="1" outlineLevel="2">
      <c r="A15" s="57" t="s">
        <v>199</v>
      </c>
      <c r="B15" s="57" t="s">
        <v>200</v>
      </c>
      <c r="C15" s="55" t="s">
        <v>75</v>
      </c>
      <c r="D15" s="19" t="s">
        <v>14</v>
      </c>
      <c r="E15" s="67" t="s">
        <v>201</v>
      </c>
      <c r="F15" s="58" t="s">
        <v>156</v>
      </c>
      <c r="G15" s="58" t="s">
        <v>202</v>
      </c>
      <c r="H15" s="60" t="s">
        <v>118</v>
      </c>
      <c r="I15" s="58"/>
      <c r="J15" s="58" t="s">
        <v>42</v>
      </c>
      <c r="K15" s="58" t="s">
        <v>181</v>
      </c>
      <c r="L15" s="58" t="s">
        <v>182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9.5" customHeight="1" outlineLevel="2">
      <c r="A16" s="54" t="s">
        <v>203</v>
      </c>
      <c r="B16" s="54" t="s">
        <v>204</v>
      </c>
      <c r="C16" s="55" t="s">
        <v>75</v>
      </c>
      <c r="D16" s="19" t="s">
        <v>14</v>
      </c>
      <c r="E16" s="68" t="s">
        <v>205</v>
      </c>
      <c r="F16" s="56" t="s">
        <v>156</v>
      </c>
      <c r="G16" s="56" t="s">
        <v>76</v>
      </c>
      <c r="H16" s="59" t="s">
        <v>118</v>
      </c>
      <c r="I16" s="56"/>
      <c r="J16" s="56" t="s">
        <v>42</v>
      </c>
      <c r="K16" s="56" t="s">
        <v>181</v>
      </c>
      <c r="L16" s="56" t="s">
        <v>182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9.5" customHeight="1" outlineLevel="2">
      <c r="A17" s="57" t="s">
        <v>206</v>
      </c>
      <c r="B17" s="57" t="s">
        <v>207</v>
      </c>
      <c r="C17" s="55" t="s">
        <v>75</v>
      </c>
      <c r="D17" s="19" t="s">
        <v>14</v>
      </c>
      <c r="E17" s="51" t="s">
        <v>69</v>
      </c>
      <c r="F17" s="58" t="s">
        <v>156</v>
      </c>
      <c r="G17" s="58" t="s">
        <v>76</v>
      </c>
      <c r="H17" s="60" t="s">
        <v>118</v>
      </c>
      <c r="I17" s="58"/>
      <c r="J17" s="58" t="s">
        <v>42</v>
      </c>
      <c r="K17" s="58" t="s">
        <v>181</v>
      </c>
      <c r="L17" s="58" t="s">
        <v>182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9.5" customHeight="1" outlineLevel="2">
      <c r="A18" s="54" t="s">
        <v>208</v>
      </c>
      <c r="B18" s="54" t="s">
        <v>209</v>
      </c>
      <c r="C18" s="55" t="s">
        <v>75</v>
      </c>
      <c r="D18" s="19" t="s">
        <v>14</v>
      </c>
      <c r="E18" s="68" t="s">
        <v>205</v>
      </c>
      <c r="F18" s="56" t="s">
        <v>156</v>
      </c>
      <c r="G18" s="56" t="s">
        <v>76</v>
      </c>
      <c r="H18" s="59" t="s">
        <v>118</v>
      </c>
      <c r="I18" s="56"/>
      <c r="J18" s="56" t="s">
        <v>42</v>
      </c>
      <c r="K18" s="56" t="s">
        <v>181</v>
      </c>
      <c r="L18" s="56" t="s">
        <v>182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9.5" customHeight="1" outlineLevel="2">
      <c r="A19" s="57" t="s">
        <v>210</v>
      </c>
      <c r="B19" s="57" t="s">
        <v>211</v>
      </c>
      <c r="C19" s="55" t="s">
        <v>75</v>
      </c>
      <c r="D19" s="19" t="s">
        <v>14</v>
      </c>
      <c r="E19" s="68" t="s">
        <v>205</v>
      </c>
      <c r="F19" s="58" t="s">
        <v>156</v>
      </c>
      <c r="G19" s="58" t="s">
        <v>76</v>
      </c>
      <c r="H19" s="60" t="s">
        <v>118</v>
      </c>
      <c r="I19" s="58"/>
      <c r="J19" s="58" t="s">
        <v>42</v>
      </c>
      <c r="K19" s="58" t="s">
        <v>181</v>
      </c>
      <c r="L19" s="58" t="s">
        <v>182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9.5" customHeight="1" outlineLevel="2">
      <c r="A20" s="54" t="s">
        <v>212</v>
      </c>
      <c r="B20" s="54" t="s">
        <v>213</v>
      </c>
      <c r="C20" s="55" t="s">
        <v>75</v>
      </c>
      <c r="D20" s="19" t="s">
        <v>14</v>
      </c>
      <c r="E20" s="51" t="s">
        <v>69</v>
      </c>
      <c r="F20" s="56" t="s">
        <v>156</v>
      </c>
      <c r="G20" s="56" t="s">
        <v>161</v>
      </c>
      <c r="H20" s="59" t="s">
        <v>214</v>
      </c>
      <c r="I20" s="56"/>
      <c r="J20" s="56" t="s">
        <v>42</v>
      </c>
      <c r="K20" s="56" t="s">
        <v>181</v>
      </c>
      <c r="L20" s="56" t="s">
        <v>182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9.5" customHeight="1" outlineLevel="2">
      <c r="A21" s="57" t="s">
        <v>215</v>
      </c>
      <c r="B21" s="57" t="s">
        <v>216</v>
      </c>
      <c r="C21" s="55" t="s">
        <v>75</v>
      </c>
      <c r="D21" s="19" t="s">
        <v>14</v>
      </c>
      <c r="E21" s="51" t="s">
        <v>69</v>
      </c>
      <c r="F21" s="58" t="s">
        <v>156</v>
      </c>
      <c r="G21" s="58" t="s">
        <v>161</v>
      </c>
      <c r="H21" s="60" t="s">
        <v>214</v>
      </c>
      <c r="I21" s="58"/>
      <c r="J21" s="58" t="s">
        <v>42</v>
      </c>
      <c r="K21" s="58" t="s">
        <v>181</v>
      </c>
      <c r="L21" s="58" t="s">
        <v>182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9.5" customHeight="1" outlineLevel="2">
      <c r="A22" s="54" t="s">
        <v>217</v>
      </c>
      <c r="B22" s="54" t="s">
        <v>218</v>
      </c>
      <c r="C22" s="55" t="s">
        <v>75</v>
      </c>
      <c r="D22" s="19" t="s">
        <v>14</v>
      </c>
      <c r="E22" s="51" t="s">
        <v>69</v>
      </c>
      <c r="F22" s="56" t="s">
        <v>156</v>
      </c>
      <c r="G22" s="56" t="s">
        <v>161</v>
      </c>
      <c r="H22" s="59" t="s">
        <v>214</v>
      </c>
      <c r="I22" s="56"/>
      <c r="J22" s="56" t="s">
        <v>42</v>
      </c>
      <c r="K22" s="56" t="s">
        <v>181</v>
      </c>
      <c r="L22" s="56" t="s">
        <v>182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9.5" customHeight="1" outlineLevel="2">
      <c r="A23" s="57" t="s">
        <v>219</v>
      </c>
      <c r="B23" s="57" t="s">
        <v>220</v>
      </c>
      <c r="C23" s="55" t="s">
        <v>75</v>
      </c>
      <c r="D23" s="19" t="s">
        <v>14</v>
      </c>
      <c r="E23" s="67" t="s">
        <v>201</v>
      </c>
      <c r="F23" s="58" t="s">
        <v>156</v>
      </c>
      <c r="G23" s="58" t="s">
        <v>187</v>
      </c>
      <c r="H23" s="60" t="s">
        <v>221</v>
      </c>
      <c r="I23" s="58"/>
      <c r="J23" s="58" t="s">
        <v>42</v>
      </c>
      <c r="K23" s="58" t="s">
        <v>181</v>
      </c>
      <c r="L23" s="58" t="s">
        <v>182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9.5" customHeight="1" outlineLevel="2">
      <c r="A24" s="54" t="s">
        <v>222</v>
      </c>
      <c r="B24" s="54" t="s">
        <v>223</v>
      </c>
      <c r="C24" s="55" t="s">
        <v>75</v>
      </c>
      <c r="D24" s="19" t="s">
        <v>14</v>
      </c>
      <c r="E24" s="66" t="s">
        <v>186</v>
      </c>
      <c r="F24" s="56" t="s">
        <v>156</v>
      </c>
      <c r="G24" s="56" t="s">
        <v>224</v>
      </c>
      <c r="H24" s="56"/>
      <c r="I24" s="56"/>
      <c r="J24" s="56" t="s">
        <v>42</v>
      </c>
      <c r="K24" s="56" t="s">
        <v>181</v>
      </c>
      <c r="L24" s="56" t="s">
        <v>182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9.5" customHeight="1" outlineLevel="2">
      <c r="A25" s="57" t="s">
        <v>225</v>
      </c>
      <c r="B25" s="57" t="s">
        <v>226</v>
      </c>
      <c r="C25" s="55" t="s">
        <v>75</v>
      </c>
      <c r="D25" s="19" t="s">
        <v>14</v>
      </c>
      <c r="E25" s="51" t="s">
        <v>69</v>
      </c>
      <c r="F25" s="58" t="s">
        <v>156</v>
      </c>
      <c r="G25" s="58" t="s">
        <v>161</v>
      </c>
      <c r="H25" s="58"/>
      <c r="I25" s="58"/>
      <c r="J25" s="58" t="s">
        <v>42</v>
      </c>
      <c r="K25" s="58" t="s">
        <v>181</v>
      </c>
      <c r="L25" s="58" t="s">
        <v>182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9.5" customHeight="1" outlineLevel="2">
      <c r="A26" s="54" t="s">
        <v>227</v>
      </c>
      <c r="B26" s="54" t="s">
        <v>228</v>
      </c>
      <c r="C26" s="55" t="s">
        <v>75</v>
      </c>
      <c r="D26" s="19" t="s">
        <v>14</v>
      </c>
      <c r="E26" s="68" t="s">
        <v>205</v>
      </c>
      <c r="F26" s="56" t="s">
        <v>156</v>
      </c>
      <c r="G26" s="56" t="s">
        <v>161</v>
      </c>
      <c r="H26" s="56"/>
      <c r="I26" s="56"/>
      <c r="J26" s="56" t="s">
        <v>42</v>
      </c>
      <c r="K26" s="56" t="s">
        <v>181</v>
      </c>
      <c r="L26" s="56" t="s">
        <v>182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9.5" customHeight="1" outlineLevel="2">
      <c r="A27" s="57" t="s">
        <v>229</v>
      </c>
      <c r="B27" s="57" t="s">
        <v>230</v>
      </c>
      <c r="C27" s="55" t="s">
        <v>75</v>
      </c>
      <c r="D27" s="19" t="s">
        <v>14</v>
      </c>
      <c r="E27" s="46" t="s">
        <v>63</v>
      </c>
      <c r="F27" s="58" t="s">
        <v>156</v>
      </c>
      <c r="G27" s="58" t="s">
        <v>76</v>
      </c>
      <c r="H27" s="60" t="s">
        <v>231</v>
      </c>
      <c r="I27" s="58"/>
      <c r="J27" s="58" t="s">
        <v>42</v>
      </c>
      <c r="K27" s="58" t="s">
        <v>181</v>
      </c>
      <c r="L27" s="58" t="s">
        <v>182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9.5" customHeight="1" outlineLevel="2">
      <c r="A28" s="54" t="s">
        <v>232</v>
      </c>
      <c r="B28" s="54" t="s">
        <v>169</v>
      </c>
      <c r="C28" s="55" t="s">
        <v>75</v>
      </c>
      <c r="D28" s="19" t="s">
        <v>14</v>
      </c>
      <c r="E28" s="46" t="s">
        <v>63</v>
      </c>
      <c r="F28" s="56" t="s">
        <v>156</v>
      </c>
      <c r="G28" s="56" t="s">
        <v>76</v>
      </c>
      <c r="H28" s="59" t="s">
        <v>231</v>
      </c>
      <c r="I28" s="56"/>
      <c r="J28" s="56" t="s">
        <v>42</v>
      </c>
      <c r="K28" s="56" t="s">
        <v>181</v>
      </c>
      <c r="L28" s="56" t="s">
        <v>182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9.5" customHeight="1" outlineLevel="2">
      <c r="A29" s="57" t="s">
        <v>233</v>
      </c>
      <c r="B29" s="57" t="s">
        <v>234</v>
      </c>
      <c r="C29" s="55" t="s">
        <v>75</v>
      </c>
      <c r="D29" s="27" t="s">
        <v>235</v>
      </c>
      <c r="E29" s="51" t="s">
        <v>69</v>
      </c>
      <c r="F29" s="58" t="s">
        <v>156</v>
      </c>
      <c r="G29" s="58" t="s">
        <v>224</v>
      </c>
      <c r="H29" s="58"/>
      <c r="I29" s="58"/>
      <c r="J29" s="58" t="s">
        <v>42</v>
      </c>
      <c r="K29" s="58" t="s">
        <v>181</v>
      </c>
      <c r="L29" s="58" t="s">
        <v>182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9.5" customHeight="1" outlineLevel="1">
      <c r="A30" s="49" t="s">
        <v>236</v>
      </c>
      <c r="B30" s="49" t="s">
        <v>237</v>
      </c>
      <c r="C30" s="50" t="s">
        <v>68</v>
      </c>
      <c r="D30" s="24" t="s">
        <v>44</v>
      </c>
      <c r="E30" s="46" t="s">
        <v>63</v>
      </c>
      <c r="F30" s="52" t="s">
        <v>170</v>
      </c>
      <c r="G30" s="52" t="s">
        <v>64</v>
      </c>
      <c r="H30" s="53" t="s">
        <v>183</v>
      </c>
      <c r="I30" s="52"/>
      <c r="J30" s="52" t="s">
        <v>42</v>
      </c>
      <c r="K30" s="52" t="s">
        <v>22</v>
      </c>
      <c r="L30" s="52" t="s">
        <v>23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9.5" customHeight="1" outlineLevel="2">
      <c r="A31" s="57" t="s">
        <v>238</v>
      </c>
      <c r="B31" s="57" t="s">
        <v>169</v>
      </c>
      <c r="C31" s="55" t="s">
        <v>75</v>
      </c>
      <c r="D31" s="19" t="s">
        <v>14</v>
      </c>
      <c r="E31" s="46" t="s">
        <v>63</v>
      </c>
      <c r="F31" s="58" t="s">
        <v>170</v>
      </c>
      <c r="G31" s="58" t="s">
        <v>76</v>
      </c>
      <c r="H31" s="60" t="s">
        <v>239</v>
      </c>
      <c r="I31" s="58"/>
      <c r="J31" s="58" t="s">
        <v>42</v>
      </c>
      <c r="K31" s="58" t="s">
        <v>236</v>
      </c>
      <c r="L31" s="58" t="s">
        <v>237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9.5" customHeight="1" outlineLevel="2">
      <c r="A32" s="54" t="s">
        <v>240</v>
      </c>
      <c r="B32" s="54" t="s">
        <v>241</v>
      </c>
      <c r="C32" s="55" t="s">
        <v>75</v>
      </c>
      <c r="D32" s="19" t="s">
        <v>14</v>
      </c>
      <c r="E32" s="46" t="s">
        <v>63</v>
      </c>
      <c r="F32" s="56" t="s">
        <v>170</v>
      </c>
      <c r="G32" s="56" t="s">
        <v>149</v>
      </c>
      <c r="H32" s="59" t="s">
        <v>242</v>
      </c>
      <c r="I32" s="56"/>
      <c r="J32" s="56" t="s">
        <v>42</v>
      </c>
      <c r="K32" s="56" t="s">
        <v>236</v>
      </c>
      <c r="L32" s="56" t="s">
        <v>237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9.5" customHeight="1" outlineLevel="2">
      <c r="A33" s="57" t="s">
        <v>243</v>
      </c>
      <c r="B33" s="57" t="s">
        <v>244</v>
      </c>
      <c r="C33" s="55" t="s">
        <v>75</v>
      </c>
      <c r="D33" s="19" t="s">
        <v>14</v>
      </c>
      <c r="E33" s="46" t="s">
        <v>63</v>
      </c>
      <c r="F33" s="58" t="s">
        <v>170</v>
      </c>
      <c r="G33" s="58" t="s">
        <v>149</v>
      </c>
      <c r="H33" s="60" t="s">
        <v>245</v>
      </c>
      <c r="I33" s="58"/>
      <c r="J33" s="58" t="s">
        <v>42</v>
      </c>
      <c r="K33" s="58" t="s">
        <v>236</v>
      </c>
      <c r="L33" s="58" t="s">
        <v>237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9.5" customHeight="1" outlineLevel="2">
      <c r="A34" s="54" t="s">
        <v>246</v>
      </c>
      <c r="B34" s="54" t="s">
        <v>247</v>
      </c>
      <c r="C34" s="55" t="s">
        <v>75</v>
      </c>
      <c r="D34" s="19" t="s">
        <v>14</v>
      </c>
      <c r="E34" s="51" t="s">
        <v>69</v>
      </c>
      <c r="F34" s="56" t="s">
        <v>170</v>
      </c>
      <c r="G34" s="56" t="s">
        <v>149</v>
      </c>
      <c r="H34" s="59" t="s">
        <v>245</v>
      </c>
      <c r="I34" s="56"/>
      <c r="J34" s="56" t="s">
        <v>42</v>
      </c>
      <c r="K34" s="56" t="s">
        <v>236</v>
      </c>
      <c r="L34" s="56" t="s">
        <v>237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9.5" customHeight="1" outlineLevel="2">
      <c r="A35" s="57" t="s">
        <v>248</v>
      </c>
      <c r="B35" s="57" t="s">
        <v>249</v>
      </c>
      <c r="C35" s="55" t="s">
        <v>75</v>
      </c>
      <c r="D35" s="19" t="s">
        <v>14</v>
      </c>
      <c r="E35" s="46" t="s">
        <v>63</v>
      </c>
      <c r="F35" s="58" t="s">
        <v>170</v>
      </c>
      <c r="G35" s="58" t="s">
        <v>149</v>
      </c>
      <c r="H35" s="60" t="s">
        <v>245</v>
      </c>
      <c r="I35" s="58"/>
      <c r="J35" s="58" t="s">
        <v>42</v>
      </c>
      <c r="K35" s="58" t="s">
        <v>236</v>
      </c>
      <c r="L35" s="58" t="s">
        <v>237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9.5" customHeight="1" outlineLevel="2">
      <c r="A36" s="54" t="s">
        <v>250</v>
      </c>
      <c r="B36" s="54" t="s">
        <v>251</v>
      </c>
      <c r="C36" s="55" t="s">
        <v>75</v>
      </c>
      <c r="D36" s="19" t="s">
        <v>14</v>
      </c>
      <c r="E36" s="51" t="s">
        <v>69</v>
      </c>
      <c r="F36" s="56" t="s">
        <v>170</v>
      </c>
      <c r="G36" s="56" t="s">
        <v>149</v>
      </c>
      <c r="H36" s="59" t="s">
        <v>245</v>
      </c>
      <c r="I36" s="56"/>
      <c r="J36" s="56" t="s">
        <v>42</v>
      </c>
      <c r="K36" s="56" t="s">
        <v>236</v>
      </c>
      <c r="L36" s="56" t="s">
        <v>237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9.5" customHeight="1" outlineLevel="2">
      <c r="A37" s="57" t="s">
        <v>252</v>
      </c>
      <c r="B37" s="57" t="s">
        <v>253</v>
      </c>
      <c r="C37" s="55" t="s">
        <v>75</v>
      </c>
      <c r="D37" s="19" t="s">
        <v>14</v>
      </c>
      <c r="E37" s="46" t="s">
        <v>63</v>
      </c>
      <c r="F37" s="58" t="s">
        <v>170</v>
      </c>
      <c r="G37" s="58" t="s">
        <v>149</v>
      </c>
      <c r="H37" s="60" t="s">
        <v>245</v>
      </c>
      <c r="I37" s="58"/>
      <c r="J37" s="58" t="s">
        <v>42</v>
      </c>
      <c r="K37" s="58" t="s">
        <v>236</v>
      </c>
      <c r="L37" s="58" t="s">
        <v>237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9.5" customHeight="1" outlineLevel="2">
      <c r="A38" s="54" t="s">
        <v>254</v>
      </c>
      <c r="B38" s="54" t="s">
        <v>255</v>
      </c>
      <c r="C38" s="55" t="s">
        <v>75</v>
      </c>
      <c r="D38" s="19" t="s">
        <v>14</v>
      </c>
      <c r="E38" s="51" t="s">
        <v>69</v>
      </c>
      <c r="F38" s="56" t="s">
        <v>170</v>
      </c>
      <c r="G38" s="56" t="s">
        <v>149</v>
      </c>
      <c r="H38" s="59" t="s">
        <v>256</v>
      </c>
      <c r="I38" s="56"/>
      <c r="J38" s="56" t="s">
        <v>42</v>
      </c>
      <c r="K38" s="56" t="s">
        <v>236</v>
      </c>
      <c r="L38" s="56" t="s">
        <v>237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9.5" customHeight="1" outlineLevel="2">
      <c r="A39" s="57" t="s">
        <v>257</v>
      </c>
      <c r="B39" s="57" t="s">
        <v>258</v>
      </c>
      <c r="C39" s="55" t="s">
        <v>75</v>
      </c>
      <c r="D39" s="19" t="s">
        <v>14</v>
      </c>
      <c r="E39" s="51" t="s">
        <v>69</v>
      </c>
      <c r="F39" s="58" t="s">
        <v>170</v>
      </c>
      <c r="G39" s="58" t="s">
        <v>149</v>
      </c>
      <c r="H39" s="60" t="s">
        <v>161</v>
      </c>
      <c r="I39" s="58"/>
      <c r="J39" s="58" t="s">
        <v>42</v>
      </c>
      <c r="K39" s="58" t="s">
        <v>236</v>
      </c>
      <c r="L39" s="58" t="s">
        <v>237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9.5" customHeight="1" outlineLevel="2">
      <c r="A40" s="54" t="s">
        <v>259</v>
      </c>
      <c r="B40" s="54" t="s">
        <v>260</v>
      </c>
      <c r="C40" s="55" t="s">
        <v>75</v>
      </c>
      <c r="D40" s="19" t="s">
        <v>14</v>
      </c>
      <c r="E40" s="51" t="s">
        <v>69</v>
      </c>
      <c r="F40" s="56" t="s">
        <v>170</v>
      </c>
      <c r="G40" s="56" t="s">
        <v>149</v>
      </c>
      <c r="H40" s="59" t="s">
        <v>161</v>
      </c>
      <c r="I40" s="56"/>
      <c r="J40" s="56" t="s">
        <v>42</v>
      </c>
      <c r="K40" s="56" t="s">
        <v>236</v>
      </c>
      <c r="L40" s="56" t="s">
        <v>237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9.5" customHeight="1" outlineLevel="2">
      <c r="A41" s="57" t="s">
        <v>261</v>
      </c>
      <c r="B41" s="57" t="s">
        <v>262</v>
      </c>
      <c r="C41" s="55" t="s">
        <v>75</v>
      </c>
      <c r="D41" s="19" t="s">
        <v>14</v>
      </c>
      <c r="E41" s="51" t="s">
        <v>69</v>
      </c>
      <c r="F41" s="58" t="s">
        <v>170</v>
      </c>
      <c r="G41" s="58" t="s">
        <v>149</v>
      </c>
      <c r="H41" s="60" t="s">
        <v>161</v>
      </c>
      <c r="I41" s="58"/>
      <c r="J41" s="58" t="s">
        <v>42</v>
      </c>
      <c r="K41" s="58" t="s">
        <v>236</v>
      </c>
      <c r="L41" s="58" t="s">
        <v>237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9.5" customHeight="1" outlineLevel="2">
      <c r="A42" s="54" t="s">
        <v>263</v>
      </c>
      <c r="B42" s="54" t="s">
        <v>264</v>
      </c>
      <c r="C42" s="55" t="s">
        <v>75</v>
      </c>
      <c r="D42" s="19" t="s">
        <v>14</v>
      </c>
      <c r="E42" s="51" t="s">
        <v>69</v>
      </c>
      <c r="F42" s="56" t="s">
        <v>170</v>
      </c>
      <c r="G42" s="56" t="s">
        <v>149</v>
      </c>
      <c r="H42" s="59" t="s">
        <v>265</v>
      </c>
      <c r="I42" s="56"/>
      <c r="J42" s="56" t="s">
        <v>42</v>
      </c>
      <c r="K42" s="56" t="s">
        <v>236</v>
      </c>
      <c r="L42" s="56" t="s">
        <v>237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9.5" customHeight="1" outlineLevel="2">
      <c r="A43" s="57" t="s">
        <v>266</v>
      </c>
      <c r="B43" s="57" t="s">
        <v>267</v>
      </c>
      <c r="C43" s="55" t="s">
        <v>75</v>
      </c>
      <c r="D43" s="19" t="s">
        <v>14</v>
      </c>
      <c r="E43" s="51" t="s">
        <v>69</v>
      </c>
      <c r="F43" s="58" t="s">
        <v>170</v>
      </c>
      <c r="G43" s="58" t="s">
        <v>149</v>
      </c>
      <c r="H43" s="60" t="s">
        <v>265</v>
      </c>
      <c r="I43" s="58"/>
      <c r="J43" s="58" t="s">
        <v>42</v>
      </c>
      <c r="K43" s="58" t="s">
        <v>236</v>
      </c>
      <c r="L43" s="58" t="s">
        <v>237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9.5" customHeight="1" outlineLevel="2">
      <c r="A44" s="54" t="s">
        <v>268</v>
      </c>
      <c r="B44" s="54" t="s">
        <v>269</v>
      </c>
      <c r="C44" s="55" t="s">
        <v>75</v>
      </c>
      <c r="D44" s="19" t="s">
        <v>14</v>
      </c>
      <c r="E44" s="51" t="s">
        <v>69</v>
      </c>
      <c r="F44" s="56" t="s">
        <v>170</v>
      </c>
      <c r="G44" s="56" t="s">
        <v>149</v>
      </c>
      <c r="H44" s="59" t="s">
        <v>270</v>
      </c>
      <c r="I44" s="56"/>
      <c r="J44" s="56" t="s">
        <v>42</v>
      </c>
      <c r="K44" s="56" t="s">
        <v>236</v>
      </c>
      <c r="L44" s="56" t="s">
        <v>237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9.5" customHeight="1" outlineLevel="2">
      <c r="A45" s="57" t="s">
        <v>271</v>
      </c>
      <c r="B45" s="57" t="s">
        <v>272</v>
      </c>
      <c r="C45" s="55" t="s">
        <v>75</v>
      </c>
      <c r="D45" s="19" t="s">
        <v>14</v>
      </c>
      <c r="E45" s="51" t="s">
        <v>69</v>
      </c>
      <c r="F45" s="58" t="s">
        <v>170</v>
      </c>
      <c r="G45" s="58" t="s">
        <v>149</v>
      </c>
      <c r="H45" s="60" t="s">
        <v>270</v>
      </c>
      <c r="I45" s="58"/>
      <c r="J45" s="58" t="s">
        <v>42</v>
      </c>
      <c r="K45" s="58" t="s">
        <v>236</v>
      </c>
      <c r="L45" s="58" t="s">
        <v>237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9.5" customHeight="1" outlineLevel="2">
      <c r="A46" s="54" t="s">
        <v>273</v>
      </c>
      <c r="B46" s="54" t="s">
        <v>274</v>
      </c>
      <c r="C46" s="55" t="s">
        <v>75</v>
      </c>
      <c r="D46" s="19" t="s">
        <v>14</v>
      </c>
      <c r="E46" s="51" t="s">
        <v>69</v>
      </c>
      <c r="F46" s="56" t="s">
        <v>170</v>
      </c>
      <c r="G46" s="56" t="s">
        <v>149</v>
      </c>
      <c r="H46" s="59" t="s">
        <v>270</v>
      </c>
      <c r="I46" s="56"/>
      <c r="J46" s="56" t="s">
        <v>42</v>
      </c>
      <c r="K46" s="56" t="s">
        <v>236</v>
      </c>
      <c r="L46" s="56" t="s">
        <v>237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9.5" customHeight="1" outlineLevel="2">
      <c r="A47" s="57" t="s">
        <v>275</v>
      </c>
      <c r="B47" s="57" t="s">
        <v>276</v>
      </c>
      <c r="C47" s="55" t="s">
        <v>75</v>
      </c>
      <c r="D47" s="19" t="s">
        <v>14</v>
      </c>
      <c r="E47" s="51" t="s">
        <v>69</v>
      </c>
      <c r="F47" s="58" t="s">
        <v>170</v>
      </c>
      <c r="G47" s="58" t="s">
        <v>149</v>
      </c>
      <c r="H47" s="60" t="s">
        <v>270</v>
      </c>
      <c r="I47" s="58"/>
      <c r="J47" s="58" t="s">
        <v>42</v>
      </c>
      <c r="K47" s="58" t="s">
        <v>236</v>
      </c>
      <c r="L47" s="58" t="s">
        <v>237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9.5" customHeight="1" outlineLevel="2">
      <c r="A48" s="54" t="s">
        <v>277</v>
      </c>
      <c r="B48" s="54" t="s">
        <v>278</v>
      </c>
      <c r="C48" s="55" t="s">
        <v>75</v>
      </c>
      <c r="D48" s="19" t="s">
        <v>14</v>
      </c>
      <c r="E48" s="51" t="s">
        <v>69</v>
      </c>
      <c r="F48" s="56" t="s">
        <v>170</v>
      </c>
      <c r="G48" s="56" t="s">
        <v>149</v>
      </c>
      <c r="H48" s="59" t="s">
        <v>270</v>
      </c>
      <c r="I48" s="56"/>
      <c r="J48" s="56" t="s">
        <v>42</v>
      </c>
      <c r="K48" s="56" t="s">
        <v>236</v>
      </c>
      <c r="L48" s="56" t="s">
        <v>237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9.5" customHeight="1" outlineLevel="2">
      <c r="A49" s="57" t="s">
        <v>279</v>
      </c>
      <c r="B49" s="57" t="s">
        <v>280</v>
      </c>
      <c r="C49" s="55" t="s">
        <v>75</v>
      </c>
      <c r="D49" s="19" t="s">
        <v>14</v>
      </c>
      <c r="E49" s="51" t="s">
        <v>69</v>
      </c>
      <c r="F49" s="58" t="s">
        <v>170</v>
      </c>
      <c r="G49" s="58" t="s">
        <v>149</v>
      </c>
      <c r="H49" s="60" t="s">
        <v>270</v>
      </c>
      <c r="I49" s="58"/>
      <c r="J49" s="58" t="s">
        <v>42</v>
      </c>
      <c r="K49" s="58" t="s">
        <v>236</v>
      </c>
      <c r="L49" s="58" t="s">
        <v>237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9.5" customHeight="1" outlineLevel="2">
      <c r="A50" s="54" t="s">
        <v>281</v>
      </c>
      <c r="B50" s="54" t="s">
        <v>282</v>
      </c>
      <c r="C50" s="55" t="s">
        <v>75</v>
      </c>
      <c r="D50" s="19" t="s">
        <v>14</v>
      </c>
      <c r="E50" s="51" t="s">
        <v>69</v>
      </c>
      <c r="F50" s="56" t="s">
        <v>170</v>
      </c>
      <c r="G50" s="56" t="s">
        <v>149</v>
      </c>
      <c r="H50" s="59" t="s">
        <v>221</v>
      </c>
      <c r="I50" s="56"/>
      <c r="J50" s="56" t="s">
        <v>42</v>
      </c>
      <c r="K50" s="56" t="s">
        <v>236</v>
      </c>
      <c r="L50" s="56" t="s">
        <v>237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9.5" customHeight="1" outlineLevel="2">
      <c r="A51" s="57" t="s">
        <v>283</v>
      </c>
      <c r="B51" s="57" t="s">
        <v>284</v>
      </c>
      <c r="C51" s="55" t="s">
        <v>75</v>
      </c>
      <c r="D51" s="19" t="s">
        <v>14</v>
      </c>
      <c r="E51" s="51" t="s">
        <v>69</v>
      </c>
      <c r="F51" s="58" t="s">
        <v>170</v>
      </c>
      <c r="G51" s="58" t="s">
        <v>149</v>
      </c>
      <c r="H51" s="60" t="s">
        <v>221</v>
      </c>
      <c r="I51" s="58"/>
      <c r="J51" s="58" t="s">
        <v>42</v>
      </c>
      <c r="K51" s="58" t="s">
        <v>236</v>
      </c>
      <c r="L51" s="58" t="s">
        <v>237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9.5" customHeight="1" outlineLevel="2">
      <c r="A52" s="54" t="s">
        <v>285</v>
      </c>
      <c r="B52" s="54" t="s">
        <v>286</v>
      </c>
      <c r="C52" s="55" t="s">
        <v>75</v>
      </c>
      <c r="D52" s="19" t="s">
        <v>14</v>
      </c>
      <c r="E52" s="51" t="s">
        <v>69</v>
      </c>
      <c r="F52" s="56" t="s">
        <v>170</v>
      </c>
      <c r="G52" s="56" t="s">
        <v>149</v>
      </c>
      <c r="H52" s="59" t="s">
        <v>221</v>
      </c>
      <c r="I52" s="56"/>
      <c r="J52" s="56" t="s">
        <v>42</v>
      </c>
      <c r="K52" s="56" t="s">
        <v>236</v>
      </c>
      <c r="L52" s="56" t="s">
        <v>237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9.5" customHeight="1" outlineLevel="2">
      <c r="A53" s="57" t="s">
        <v>287</v>
      </c>
      <c r="B53" s="57" t="s">
        <v>288</v>
      </c>
      <c r="C53" s="55" t="s">
        <v>75</v>
      </c>
      <c r="D53" s="19" t="s">
        <v>14</v>
      </c>
      <c r="E53" s="46" t="s">
        <v>63</v>
      </c>
      <c r="F53" s="58" t="s">
        <v>170</v>
      </c>
      <c r="G53" s="58" t="s">
        <v>149</v>
      </c>
      <c r="H53" s="58"/>
      <c r="I53" s="58"/>
      <c r="J53" s="58" t="s">
        <v>42</v>
      </c>
      <c r="K53" s="58" t="s">
        <v>236</v>
      </c>
      <c r="L53" s="58" t="s">
        <v>237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9.5" customHeight="1" outlineLevel="2">
      <c r="A54" s="54" t="s">
        <v>289</v>
      </c>
      <c r="B54" s="54" t="s">
        <v>220</v>
      </c>
      <c r="C54" s="55" t="s">
        <v>75</v>
      </c>
      <c r="D54" s="19" t="s">
        <v>14</v>
      </c>
      <c r="E54" s="51" t="s">
        <v>69</v>
      </c>
      <c r="F54" s="56" t="s">
        <v>170</v>
      </c>
      <c r="G54" s="56" t="s">
        <v>290</v>
      </c>
      <c r="H54" s="59" t="s">
        <v>291</v>
      </c>
      <c r="I54" s="56"/>
      <c r="J54" s="56" t="s">
        <v>42</v>
      </c>
      <c r="K54" s="56" t="s">
        <v>236</v>
      </c>
      <c r="L54" s="56" t="s">
        <v>237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9.5" customHeight="1" outlineLevel="2">
      <c r="A55" s="57" t="s">
        <v>292</v>
      </c>
      <c r="B55" s="57" t="s">
        <v>223</v>
      </c>
      <c r="C55" s="55" t="s">
        <v>75</v>
      </c>
      <c r="D55" s="19" t="s">
        <v>14</v>
      </c>
      <c r="E55" s="66" t="s">
        <v>186</v>
      </c>
      <c r="F55" s="58" t="s">
        <v>170</v>
      </c>
      <c r="G55" s="58" t="s">
        <v>224</v>
      </c>
      <c r="H55" s="58"/>
      <c r="I55" s="58"/>
      <c r="J55" s="58" t="s">
        <v>42</v>
      </c>
      <c r="K55" s="58" t="s">
        <v>236</v>
      </c>
      <c r="L55" s="58" t="s">
        <v>237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9.5" customHeight="1" outlineLevel="2">
      <c r="A56" s="54" t="s">
        <v>293</v>
      </c>
      <c r="B56" s="54" t="s">
        <v>294</v>
      </c>
      <c r="C56" s="55" t="s">
        <v>75</v>
      </c>
      <c r="D56" s="19" t="s">
        <v>14</v>
      </c>
      <c r="E56" s="51" t="s">
        <v>69</v>
      </c>
      <c r="F56" s="56" t="s">
        <v>170</v>
      </c>
      <c r="G56" s="56" t="s">
        <v>149</v>
      </c>
      <c r="H56" s="56"/>
      <c r="I56" s="56"/>
      <c r="J56" s="56" t="s">
        <v>42</v>
      </c>
      <c r="K56" s="56" t="s">
        <v>236</v>
      </c>
      <c r="L56" s="56" t="s">
        <v>237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9.5" customHeight="1" outlineLevel="2">
      <c r="A57" s="57" t="s">
        <v>295</v>
      </c>
      <c r="B57" s="57" t="s">
        <v>296</v>
      </c>
      <c r="C57" s="55" t="s">
        <v>75</v>
      </c>
      <c r="D57" s="19" t="s">
        <v>14</v>
      </c>
      <c r="E57" s="51" t="s">
        <v>69</v>
      </c>
      <c r="F57" s="58" t="s">
        <v>70</v>
      </c>
      <c r="G57" s="58" t="s">
        <v>149</v>
      </c>
      <c r="H57" s="58"/>
      <c r="I57" s="58"/>
      <c r="J57" s="58" t="s">
        <v>42</v>
      </c>
      <c r="K57" s="58" t="s">
        <v>236</v>
      </c>
      <c r="L57" s="58" t="s">
        <v>237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9.5" customHeight="1" outlineLevel="2">
      <c r="A58" s="54" t="s">
        <v>297</v>
      </c>
      <c r="B58" s="54" t="s">
        <v>298</v>
      </c>
      <c r="C58" s="55" t="s">
        <v>75</v>
      </c>
      <c r="D58" s="27" t="s">
        <v>235</v>
      </c>
      <c r="E58" s="51" t="s">
        <v>69</v>
      </c>
      <c r="F58" s="56" t="s">
        <v>170</v>
      </c>
      <c r="G58" s="56" t="s">
        <v>149</v>
      </c>
      <c r="H58" s="59" t="s">
        <v>221</v>
      </c>
      <c r="I58" s="56"/>
      <c r="J58" s="56" t="s">
        <v>42</v>
      </c>
      <c r="K58" s="56" t="s">
        <v>236</v>
      </c>
      <c r="L58" s="56" t="s">
        <v>237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9.5" customHeight="1" outlineLevel="2">
      <c r="A59" s="57" t="s">
        <v>299</v>
      </c>
      <c r="B59" s="57" t="s">
        <v>300</v>
      </c>
      <c r="C59" s="55" t="s">
        <v>75</v>
      </c>
      <c r="D59" s="27" t="s">
        <v>235</v>
      </c>
      <c r="E59" s="51" t="s">
        <v>69</v>
      </c>
      <c r="F59" s="58" t="s">
        <v>170</v>
      </c>
      <c r="G59" s="58" t="s">
        <v>224</v>
      </c>
      <c r="H59" s="58"/>
      <c r="I59" s="58"/>
      <c r="J59" s="58" t="s">
        <v>42</v>
      </c>
      <c r="K59" s="58" t="s">
        <v>236</v>
      </c>
      <c r="L59" s="58" t="s">
        <v>237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9.5" customHeight="1" outlineLevel="1">
      <c r="A60" s="49" t="s">
        <v>301</v>
      </c>
      <c r="B60" s="49" t="s">
        <v>302</v>
      </c>
      <c r="C60" s="50" t="s">
        <v>68</v>
      </c>
      <c r="D60" s="24" t="s">
        <v>44</v>
      </c>
      <c r="E60" s="66" t="s">
        <v>186</v>
      </c>
      <c r="F60" s="52" t="s">
        <v>156</v>
      </c>
      <c r="G60" s="52" t="s">
        <v>64</v>
      </c>
      <c r="H60" s="53" t="s">
        <v>303</v>
      </c>
      <c r="I60" s="52"/>
      <c r="J60" s="52" t="s">
        <v>42</v>
      </c>
      <c r="K60" s="52" t="s">
        <v>22</v>
      </c>
      <c r="L60" s="52" t="s">
        <v>23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9.5" customHeight="1" outlineLevel="2">
      <c r="A61" s="57" t="s">
        <v>304</v>
      </c>
      <c r="B61" s="57" t="s">
        <v>305</v>
      </c>
      <c r="C61" s="55" t="s">
        <v>75</v>
      </c>
      <c r="D61" s="19" t="s">
        <v>14</v>
      </c>
      <c r="E61" s="46" t="s">
        <v>63</v>
      </c>
      <c r="F61" s="58" t="s">
        <v>156</v>
      </c>
      <c r="G61" s="58" t="s">
        <v>187</v>
      </c>
      <c r="H61" s="60" t="s">
        <v>306</v>
      </c>
      <c r="I61" s="58"/>
      <c r="J61" s="58" t="s">
        <v>42</v>
      </c>
      <c r="K61" s="58" t="s">
        <v>301</v>
      </c>
      <c r="L61" s="58" t="s">
        <v>302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9.5" customHeight="1" outlineLevel="2">
      <c r="A62" s="54" t="s">
        <v>307</v>
      </c>
      <c r="B62" s="54" t="s">
        <v>220</v>
      </c>
      <c r="C62" s="55" t="s">
        <v>75</v>
      </c>
      <c r="D62" s="19" t="s">
        <v>14</v>
      </c>
      <c r="E62" s="51" t="s">
        <v>69</v>
      </c>
      <c r="F62" s="56" t="s">
        <v>156</v>
      </c>
      <c r="G62" s="56" t="s">
        <v>187</v>
      </c>
      <c r="H62" s="59" t="s">
        <v>224</v>
      </c>
      <c r="I62" s="56"/>
      <c r="J62" s="56" t="s">
        <v>42</v>
      </c>
      <c r="K62" s="56" t="s">
        <v>301</v>
      </c>
      <c r="L62" s="56" t="s">
        <v>302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9.5" customHeight="1" outlineLevel="2">
      <c r="A63" s="57" t="s">
        <v>308</v>
      </c>
      <c r="B63" s="57" t="s">
        <v>309</v>
      </c>
      <c r="C63" s="55" t="s">
        <v>75</v>
      </c>
      <c r="D63" s="19" t="s">
        <v>14</v>
      </c>
      <c r="E63" s="51" t="s">
        <v>69</v>
      </c>
      <c r="F63" s="58" t="s">
        <v>156</v>
      </c>
      <c r="G63" s="58" t="s">
        <v>224</v>
      </c>
      <c r="H63" s="58"/>
      <c r="I63" s="58"/>
      <c r="J63" s="58" t="s">
        <v>42</v>
      </c>
      <c r="K63" s="58" t="s">
        <v>301</v>
      </c>
      <c r="L63" s="58" t="s">
        <v>302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9.5" customHeight="1" outlineLevel="2">
      <c r="A64" s="54" t="s">
        <v>310</v>
      </c>
      <c r="B64" s="54" t="s">
        <v>311</v>
      </c>
      <c r="C64" s="55" t="s">
        <v>75</v>
      </c>
      <c r="D64" s="19" t="s">
        <v>14</v>
      </c>
      <c r="E64" s="51" t="s">
        <v>69</v>
      </c>
      <c r="F64" s="56" t="s">
        <v>156</v>
      </c>
      <c r="G64" s="56" t="s">
        <v>224</v>
      </c>
      <c r="H64" s="56"/>
      <c r="I64" s="56"/>
      <c r="J64" s="56" t="s">
        <v>42</v>
      </c>
      <c r="K64" s="56" t="s">
        <v>301</v>
      </c>
      <c r="L64" s="56" t="s">
        <v>302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9.5" customHeight="1" outlineLevel="2">
      <c r="A65" s="57" t="s">
        <v>312</v>
      </c>
      <c r="B65" s="57" t="s">
        <v>313</v>
      </c>
      <c r="C65" s="55" t="s">
        <v>75</v>
      </c>
      <c r="D65" s="19" t="s">
        <v>14</v>
      </c>
      <c r="E65" s="51" t="s">
        <v>69</v>
      </c>
      <c r="F65" s="58" t="s">
        <v>156</v>
      </c>
      <c r="G65" s="58" t="s">
        <v>224</v>
      </c>
      <c r="H65" s="58"/>
      <c r="I65" s="58"/>
      <c r="J65" s="58" t="s">
        <v>42</v>
      </c>
      <c r="K65" s="58" t="s">
        <v>301</v>
      </c>
      <c r="L65" s="58" t="s">
        <v>302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9.5" customHeight="1" outlineLevel="2">
      <c r="A66" s="54" t="s">
        <v>314</v>
      </c>
      <c r="B66" s="54" t="s">
        <v>315</v>
      </c>
      <c r="C66" s="55" t="s">
        <v>75</v>
      </c>
      <c r="D66" s="19" t="s">
        <v>14</v>
      </c>
      <c r="E66" s="51" t="s">
        <v>69</v>
      </c>
      <c r="F66" s="56" t="s">
        <v>156</v>
      </c>
      <c r="G66" s="56" t="s">
        <v>224</v>
      </c>
      <c r="H66" s="56"/>
      <c r="I66" s="56"/>
      <c r="J66" s="56" t="s">
        <v>42</v>
      </c>
      <c r="K66" s="56" t="s">
        <v>301</v>
      </c>
      <c r="L66" s="56" t="s">
        <v>302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9.5" customHeight="1" outlineLevel="2">
      <c r="A67" s="57" t="s">
        <v>316</v>
      </c>
      <c r="B67" s="57" t="s">
        <v>317</v>
      </c>
      <c r="C67" s="55" t="s">
        <v>75</v>
      </c>
      <c r="D67" s="19" t="s">
        <v>14</v>
      </c>
      <c r="E67" s="66" t="s">
        <v>186</v>
      </c>
      <c r="F67" s="58" t="s">
        <v>156</v>
      </c>
      <c r="G67" s="58" t="s">
        <v>318</v>
      </c>
      <c r="H67" s="58"/>
      <c r="I67" s="58"/>
      <c r="J67" s="58" t="s">
        <v>42</v>
      </c>
      <c r="K67" s="58" t="s">
        <v>301</v>
      </c>
      <c r="L67" s="58" t="s">
        <v>302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9.5" customHeight="1" outlineLevel="2">
      <c r="A68" s="54" t="s">
        <v>319</v>
      </c>
      <c r="B68" s="54" t="s">
        <v>320</v>
      </c>
      <c r="C68" s="55" t="s">
        <v>75</v>
      </c>
      <c r="D68" s="19" t="s">
        <v>14</v>
      </c>
      <c r="E68" s="66" t="s">
        <v>186</v>
      </c>
      <c r="F68" s="56" t="s">
        <v>156</v>
      </c>
      <c r="G68" s="56" t="s">
        <v>318</v>
      </c>
      <c r="H68" s="56"/>
      <c r="I68" s="56"/>
      <c r="J68" s="56" t="s">
        <v>42</v>
      </c>
      <c r="K68" s="56" t="s">
        <v>301</v>
      </c>
      <c r="L68" s="56" t="s">
        <v>302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9.5" customHeight="1" outlineLevel="2">
      <c r="A69" s="57" t="s">
        <v>321</v>
      </c>
      <c r="B69" s="57" t="s">
        <v>322</v>
      </c>
      <c r="C69" s="55" t="s">
        <v>75</v>
      </c>
      <c r="D69" s="19" t="s">
        <v>14</v>
      </c>
      <c r="E69" s="66" t="s">
        <v>186</v>
      </c>
      <c r="F69" s="58" t="s">
        <v>156</v>
      </c>
      <c r="G69" s="58" t="s">
        <v>318</v>
      </c>
      <c r="H69" s="58"/>
      <c r="I69" s="58"/>
      <c r="J69" s="58" t="s">
        <v>42</v>
      </c>
      <c r="K69" s="58" t="s">
        <v>301</v>
      </c>
      <c r="L69" s="58" t="s">
        <v>302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9.5" customHeight="1" outlineLevel="2">
      <c r="A70" s="54" t="s">
        <v>323</v>
      </c>
      <c r="B70" s="54" t="s">
        <v>234</v>
      </c>
      <c r="C70" s="55" t="s">
        <v>75</v>
      </c>
      <c r="D70" s="63" t="s">
        <v>14</v>
      </c>
      <c r="E70" s="51" t="s">
        <v>69</v>
      </c>
      <c r="F70" s="62" t="s">
        <v>70</v>
      </c>
      <c r="G70" s="56" t="s">
        <v>224</v>
      </c>
      <c r="H70" s="59" t="s">
        <v>303</v>
      </c>
      <c r="I70" s="56"/>
      <c r="J70" s="56" t="s">
        <v>42</v>
      </c>
      <c r="K70" s="56" t="s">
        <v>301</v>
      </c>
      <c r="L70" s="56" t="s">
        <v>302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9.5" customHeight="1" outlineLevel="2">
      <c r="A71" s="57" t="s">
        <v>324</v>
      </c>
      <c r="B71" s="57" t="s">
        <v>325</v>
      </c>
      <c r="C71" s="55" t="s">
        <v>75</v>
      </c>
      <c r="D71" s="27" t="s">
        <v>235</v>
      </c>
      <c r="E71" s="51" t="s">
        <v>69</v>
      </c>
      <c r="F71" s="61" t="s">
        <v>70</v>
      </c>
      <c r="G71" s="58" t="s">
        <v>224</v>
      </c>
      <c r="H71" s="60" t="s">
        <v>303</v>
      </c>
      <c r="I71" s="58"/>
      <c r="J71" s="58" t="s">
        <v>42</v>
      </c>
      <c r="K71" s="58" t="s">
        <v>301</v>
      </c>
      <c r="L71" s="58" t="s">
        <v>302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9.5" customHeight="1" outlineLevel="2">
      <c r="A72" s="54" t="s">
        <v>326</v>
      </c>
      <c r="B72" s="54" t="s">
        <v>327</v>
      </c>
      <c r="C72" s="55" t="s">
        <v>75</v>
      </c>
      <c r="D72" s="27" t="s">
        <v>235</v>
      </c>
      <c r="E72" s="51" t="s">
        <v>69</v>
      </c>
      <c r="F72" s="62" t="s">
        <v>70</v>
      </c>
      <c r="G72" s="56" t="s">
        <v>224</v>
      </c>
      <c r="H72" s="59" t="s">
        <v>303</v>
      </c>
      <c r="I72" s="56"/>
      <c r="J72" s="56" t="s">
        <v>42</v>
      </c>
      <c r="K72" s="56" t="s">
        <v>301</v>
      </c>
      <c r="L72" s="56" t="s">
        <v>302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9.5" customHeight="1" outlineLevel="1">
      <c r="A73" s="49" t="s">
        <v>328</v>
      </c>
      <c r="B73" s="49" t="s">
        <v>329</v>
      </c>
      <c r="C73" s="50" t="s">
        <v>68</v>
      </c>
      <c r="D73" s="27" t="s">
        <v>235</v>
      </c>
      <c r="E73" s="51" t="s">
        <v>69</v>
      </c>
      <c r="F73" s="69" t="s">
        <v>70</v>
      </c>
      <c r="G73" s="52" t="s">
        <v>330</v>
      </c>
      <c r="H73" s="53" t="s">
        <v>331</v>
      </c>
      <c r="I73" s="52"/>
      <c r="J73" s="52" t="s">
        <v>42</v>
      </c>
      <c r="K73" s="52" t="s">
        <v>22</v>
      </c>
      <c r="L73" s="52" t="s">
        <v>23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9.5" customHeight="1" outlineLevel="2">
      <c r="A74" s="54" t="s">
        <v>332</v>
      </c>
      <c r="B74" s="54" t="s">
        <v>333</v>
      </c>
      <c r="C74" s="55" t="s">
        <v>75</v>
      </c>
      <c r="D74" s="27" t="s">
        <v>235</v>
      </c>
      <c r="E74" s="51" t="s">
        <v>69</v>
      </c>
      <c r="F74" s="62" t="s">
        <v>70</v>
      </c>
      <c r="G74" s="56" t="s">
        <v>334</v>
      </c>
      <c r="H74" s="70">
        <v>46101.0</v>
      </c>
      <c r="I74" s="56"/>
      <c r="J74" s="56" t="s">
        <v>42</v>
      </c>
      <c r="K74" s="56" t="s">
        <v>328</v>
      </c>
      <c r="L74" s="56" t="s">
        <v>329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9.5" customHeight="1" outlineLevel="2">
      <c r="A75" s="71" t="s">
        <v>335</v>
      </c>
      <c r="B75" s="71" t="s">
        <v>336</v>
      </c>
      <c r="C75" s="72" t="s">
        <v>75</v>
      </c>
      <c r="D75" s="63" t="s">
        <v>235</v>
      </c>
      <c r="E75" s="73" t="s">
        <v>69</v>
      </c>
      <c r="F75" s="61" t="s">
        <v>70</v>
      </c>
      <c r="G75" s="74">
        <v>46085.0</v>
      </c>
      <c r="H75" s="75">
        <v>46101.0</v>
      </c>
      <c r="I75" s="58"/>
      <c r="J75" s="61" t="s">
        <v>42</v>
      </c>
      <c r="K75" s="61" t="s">
        <v>328</v>
      </c>
      <c r="L75" s="61" t="s">
        <v>329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9.5" customHeight="1" outlineLevel="2">
      <c r="A76" s="57" t="s">
        <v>337</v>
      </c>
      <c r="B76" s="57" t="s">
        <v>338</v>
      </c>
      <c r="C76" s="55" t="s">
        <v>75</v>
      </c>
      <c r="D76" s="27" t="s">
        <v>235</v>
      </c>
      <c r="E76" s="51" t="s">
        <v>69</v>
      </c>
      <c r="F76" s="61" t="s">
        <v>70</v>
      </c>
      <c r="G76" s="74">
        <v>46085.0</v>
      </c>
      <c r="H76" s="75">
        <v>46101.0</v>
      </c>
      <c r="I76" s="58"/>
      <c r="J76" s="58" t="s">
        <v>42</v>
      </c>
      <c r="K76" s="58" t="s">
        <v>328</v>
      </c>
      <c r="L76" s="58" t="s">
        <v>329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9.5" customHeight="1" outlineLevel="1">
      <c r="A77" s="49" t="s">
        <v>339</v>
      </c>
      <c r="B77" s="49" t="s">
        <v>340</v>
      </c>
      <c r="C77" s="50" t="s">
        <v>68</v>
      </c>
      <c r="D77" s="27" t="s">
        <v>235</v>
      </c>
      <c r="E77" s="68" t="s">
        <v>205</v>
      </c>
      <c r="F77" s="52"/>
      <c r="G77" s="52" t="s">
        <v>64</v>
      </c>
      <c r="H77" s="53" t="s">
        <v>341</v>
      </c>
      <c r="I77" s="52"/>
      <c r="J77" s="52" t="s">
        <v>42</v>
      </c>
      <c r="K77" s="52" t="s">
        <v>22</v>
      </c>
      <c r="L77" s="52" t="s">
        <v>23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9.5" customHeight="1" outlineLevel="1">
      <c r="A78" s="49" t="s">
        <v>342</v>
      </c>
      <c r="B78" s="49" t="s">
        <v>343</v>
      </c>
      <c r="C78" s="50" t="s">
        <v>68</v>
      </c>
      <c r="D78" s="27" t="s">
        <v>235</v>
      </c>
      <c r="E78" s="51" t="s">
        <v>69</v>
      </c>
      <c r="F78" s="69" t="s">
        <v>156</v>
      </c>
      <c r="G78" s="52" t="s">
        <v>64</v>
      </c>
      <c r="H78" s="53" t="s">
        <v>341</v>
      </c>
      <c r="I78" s="52"/>
      <c r="J78" s="52" t="s">
        <v>42</v>
      </c>
      <c r="K78" s="52" t="s">
        <v>22</v>
      </c>
      <c r="L78" s="52" t="s">
        <v>23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9.5" customHeight="1" outlineLevel="2">
      <c r="A79" s="54" t="s">
        <v>344</v>
      </c>
      <c r="B79" s="54" t="s">
        <v>345</v>
      </c>
      <c r="C79" s="55" t="s">
        <v>75</v>
      </c>
      <c r="D79" s="27" t="s">
        <v>235</v>
      </c>
      <c r="E79" s="51" t="s">
        <v>69</v>
      </c>
      <c r="F79" s="62" t="s">
        <v>156</v>
      </c>
      <c r="G79" s="56" t="s">
        <v>290</v>
      </c>
      <c r="H79" s="70">
        <v>46101.0</v>
      </c>
      <c r="I79" s="56"/>
      <c r="J79" s="56" t="s">
        <v>42</v>
      </c>
      <c r="K79" s="56" t="s">
        <v>342</v>
      </c>
      <c r="L79" s="56" t="s">
        <v>343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9.5" customHeight="1" outlineLevel="2">
      <c r="A80" s="57" t="s">
        <v>346</v>
      </c>
      <c r="B80" s="57" t="s">
        <v>347</v>
      </c>
      <c r="C80" s="55" t="s">
        <v>75</v>
      </c>
      <c r="D80" s="27" t="s">
        <v>235</v>
      </c>
      <c r="E80" s="51" t="s">
        <v>69</v>
      </c>
      <c r="F80" s="61" t="s">
        <v>156</v>
      </c>
      <c r="G80" s="58" t="s">
        <v>290</v>
      </c>
      <c r="H80" s="75">
        <v>46101.0</v>
      </c>
      <c r="I80" s="58"/>
      <c r="J80" s="58" t="s">
        <v>42</v>
      </c>
      <c r="K80" s="58" t="s">
        <v>342</v>
      </c>
      <c r="L80" s="58" t="s">
        <v>343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9.5" customHeight="1" outlineLevel="2">
      <c r="A81" s="54" t="s">
        <v>348</v>
      </c>
      <c r="B81" s="54" t="s">
        <v>349</v>
      </c>
      <c r="C81" s="55" t="s">
        <v>75</v>
      </c>
      <c r="D81" s="27" t="s">
        <v>235</v>
      </c>
      <c r="E81" s="51" t="s">
        <v>69</v>
      </c>
      <c r="F81" s="62" t="s">
        <v>156</v>
      </c>
      <c r="G81" s="56" t="s">
        <v>290</v>
      </c>
      <c r="H81" s="70">
        <v>46101.0</v>
      </c>
      <c r="I81" s="56"/>
      <c r="J81" s="56" t="s">
        <v>42</v>
      </c>
      <c r="K81" s="56" t="s">
        <v>342</v>
      </c>
      <c r="L81" s="56" t="s">
        <v>343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9.5" customHeight="1" outlineLevel="2">
      <c r="A82" s="57" t="s">
        <v>350</v>
      </c>
      <c r="B82" s="57" t="s">
        <v>351</v>
      </c>
      <c r="C82" s="55" t="s">
        <v>75</v>
      </c>
      <c r="D82" s="27" t="s">
        <v>235</v>
      </c>
      <c r="E82" s="51" t="s">
        <v>69</v>
      </c>
      <c r="F82" s="61" t="s">
        <v>156</v>
      </c>
      <c r="G82" s="58" t="s">
        <v>290</v>
      </c>
      <c r="H82" s="75">
        <v>46101.0</v>
      </c>
      <c r="I82" s="58"/>
      <c r="J82" s="58" t="s">
        <v>42</v>
      </c>
      <c r="K82" s="58" t="s">
        <v>342</v>
      </c>
      <c r="L82" s="58" t="s">
        <v>343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9.5" customHeight="1" outlineLevel="1">
      <c r="A83" s="49" t="s">
        <v>352</v>
      </c>
      <c r="B83" s="49" t="s">
        <v>353</v>
      </c>
      <c r="C83" s="50" t="s">
        <v>68</v>
      </c>
      <c r="D83" s="27" t="s">
        <v>235</v>
      </c>
      <c r="E83" s="67" t="s">
        <v>201</v>
      </c>
      <c r="F83" s="52"/>
      <c r="G83" s="52" t="s">
        <v>64</v>
      </c>
      <c r="H83" s="53" t="s">
        <v>354</v>
      </c>
      <c r="I83" s="52"/>
      <c r="J83" s="52" t="s">
        <v>42</v>
      </c>
      <c r="K83" s="52" t="s">
        <v>22</v>
      </c>
      <c r="L83" s="52" t="s">
        <v>23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9.5" customHeight="1" outlineLevel="2">
      <c r="A84" s="57" t="s">
        <v>355</v>
      </c>
      <c r="B84" s="57" t="s">
        <v>356</v>
      </c>
      <c r="C84" s="55" t="s">
        <v>75</v>
      </c>
      <c r="D84" s="27" t="s">
        <v>235</v>
      </c>
      <c r="E84" s="51" t="s">
        <v>69</v>
      </c>
      <c r="F84" s="58"/>
      <c r="G84" s="58" t="s">
        <v>290</v>
      </c>
      <c r="H84" s="58"/>
      <c r="I84" s="58"/>
      <c r="J84" s="58" t="s">
        <v>42</v>
      </c>
      <c r="K84" s="58" t="s">
        <v>352</v>
      </c>
      <c r="L84" s="58" t="s">
        <v>353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9.5" customHeight="1" outlineLevel="2">
      <c r="A85" s="54" t="s">
        <v>357</v>
      </c>
      <c r="B85" s="54" t="s">
        <v>358</v>
      </c>
      <c r="C85" s="55" t="s">
        <v>75</v>
      </c>
      <c r="D85" s="27" t="s">
        <v>235</v>
      </c>
      <c r="E85" s="51" t="s">
        <v>69</v>
      </c>
      <c r="F85" s="56"/>
      <c r="G85" s="56" t="s">
        <v>334</v>
      </c>
      <c r="H85" s="56"/>
      <c r="I85" s="56"/>
      <c r="J85" s="56" t="s">
        <v>42</v>
      </c>
      <c r="K85" s="56" t="s">
        <v>352</v>
      </c>
      <c r="L85" s="56" t="s">
        <v>353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C286" s="65"/>
      <c r="D286" s="65"/>
      <c r="E286" s="65"/>
      <c r="F286" s="65"/>
      <c r="H286" s="65"/>
      <c r="J286" s="65"/>
      <c r="K286" s="65"/>
      <c r="L286" s="65"/>
    </row>
    <row r="287" ht="15.75" customHeight="1">
      <c r="C287" s="65"/>
      <c r="D287" s="65"/>
      <c r="E287" s="65"/>
      <c r="F287" s="65"/>
      <c r="H287" s="65"/>
      <c r="J287" s="65"/>
      <c r="K287" s="65"/>
      <c r="L287" s="65"/>
    </row>
    <row r="288" ht="15.75" customHeight="1">
      <c r="C288" s="65"/>
      <c r="D288" s="65"/>
      <c r="E288" s="65"/>
      <c r="F288" s="65"/>
      <c r="H288" s="65"/>
      <c r="J288" s="65"/>
      <c r="K288" s="65"/>
      <c r="L288" s="65"/>
    </row>
    <row r="289" ht="15.75" customHeight="1">
      <c r="C289" s="65"/>
      <c r="D289" s="65"/>
      <c r="E289" s="65"/>
      <c r="F289" s="65"/>
      <c r="H289" s="65"/>
      <c r="J289" s="65"/>
      <c r="K289" s="65"/>
      <c r="L289" s="65"/>
    </row>
    <row r="290" ht="15.75" customHeight="1">
      <c r="C290" s="65"/>
      <c r="D290" s="65"/>
      <c r="E290" s="65"/>
      <c r="F290" s="65"/>
      <c r="H290" s="65"/>
      <c r="J290" s="65"/>
      <c r="K290" s="65"/>
      <c r="L290" s="65"/>
    </row>
    <row r="291" ht="15.75" customHeight="1">
      <c r="C291" s="65"/>
      <c r="D291" s="65"/>
      <c r="E291" s="65"/>
      <c r="F291" s="65"/>
      <c r="H291" s="65"/>
      <c r="J291" s="65"/>
      <c r="K291" s="65"/>
      <c r="L291" s="65"/>
    </row>
    <row r="292" ht="15.75" customHeight="1">
      <c r="C292" s="65"/>
      <c r="D292" s="65"/>
      <c r="E292" s="65"/>
      <c r="F292" s="65"/>
      <c r="H292" s="65"/>
      <c r="J292" s="65"/>
      <c r="K292" s="65"/>
      <c r="L292" s="65"/>
    </row>
    <row r="293" ht="15.75" customHeight="1">
      <c r="C293" s="65"/>
      <c r="D293" s="65"/>
      <c r="E293" s="65"/>
      <c r="F293" s="65"/>
      <c r="H293" s="65"/>
      <c r="J293" s="65"/>
      <c r="K293" s="65"/>
      <c r="L293" s="65"/>
    </row>
    <row r="294" ht="15.75" customHeight="1">
      <c r="C294" s="65"/>
      <c r="D294" s="65"/>
      <c r="E294" s="65"/>
      <c r="F294" s="65"/>
      <c r="H294" s="65"/>
      <c r="J294" s="65"/>
      <c r="K294" s="65"/>
      <c r="L294" s="65"/>
    </row>
    <row r="295" ht="15.75" customHeight="1">
      <c r="C295" s="65"/>
      <c r="D295" s="65"/>
      <c r="E295" s="65"/>
      <c r="F295" s="65"/>
      <c r="H295" s="65"/>
      <c r="J295" s="65"/>
      <c r="K295" s="65"/>
      <c r="L295" s="65"/>
    </row>
    <row r="296" ht="15.75" customHeight="1">
      <c r="C296" s="65"/>
      <c r="D296" s="65"/>
      <c r="E296" s="65"/>
      <c r="F296" s="65"/>
      <c r="H296" s="65"/>
      <c r="J296" s="65"/>
      <c r="K296" s="65"/>
      <c r="L296" s="65"/>
    </row>
    <row r="297" ht="15.75" customHeight="1">
      <c r="C297" s="65"/>
      <c r="D297" s="65"/>
      <c r="E297" s="65"/>
      <c r="F297" s="65"/>
      <c r="H297" s="65"/>
      <c r="J297" s="65"/>
      <c r="K297" s="65"/>
      <c r="L297" s="65"/>
    </row>
    <row r="298" ht="15.75" customHeight="1">
      <c r="C298" s="65"/>
      <c r="D298" s="65"/>
      <c r="E298" s="65"/>
      <c r="F298" s="65"/>
      <c r="H298" s="65"/>
      <c r="J298" s="65"/>
      <c r="K298" s="65"/>
      <c r="L298" s="65"/>
    </row>
    <row r="299" ht="15.75" customHeight="1">
      <c r="C299" s="65"/>
      <c r="D299" s="65"/>
      <c r="E299" s="65"/>
      <c r="F299" s="65"/>
      <c r="H299" s="65"/>
      <c r="J299" s="65"/>
      <c r="K299" s="65"/>
      <c r="L299" s="65"/>
    </row>
    <row r="300" ht="15.75" customHeight="1">
      <c r="C300" s="65"/>
      <c r="D300" s="65"/>
      <c r="E300" s="65"/>
      <c r="F300" s="65"/>
      <c r="H300" s="65"/>
      <c r="J300" s="65"/>
      <c r="K300" s="65"/>
      <c r="L300" s="65"/>
    </row>
    <row r="301" ht="15.75" customHeight="1">
      <c r="C301" s="65"/>
      <c r="D301" s="65"/>
      <c r="E301" s="65"/>
      <c r="F301" s="65"/>
      <c r="H301" s="65"/>
      <c r="J301" s="65"/>
      <c r="K301" s="65"/>
      <c r="L301" s="65"/>
    </row>
    <row r="302" ht="15.75" customHeight="1">
      <c r="C302" s="65"/>
      <c r="D302" s="65"/>
      <c r="E302" s="65"/>
      <c r="F302" s="65"/>
      <c r="H302" s="65"/>
      <c r="J302" s="65"/>
      <c r="K302" s="65"/>
      <c r="L302" s="65"/>
    </row>
    <row r="303" ht="15.75" customHeight="1">
      <c r="C303" s="65"/>
      <c r="D303" s="65"/>
      <c r="E303" s="65"/>
      <c r="F303" s="65"/>
      <c r="H303" s="65"/>
      <c r="J303" s="65"/>
      <c r="K303" s="65"/>
      <c r="L303" s="65"/>
    </row>
    <row r="304" ht="15.75" customHeight="1">
      <c r="C304" s="65"/>
      <c r="D304" s="65"/>
      <c r="E304" s="65"/>
      <c r="F304" s="65"/>
      <c r="H304" s="65"/>
      <c r="J304" s="65"/>
      <c r="K304" s="65"/>
      <c r="L304" s="65"/>
    </row>
    <row r="305" ht="15.75" customHeight="1">
      <c r="C305" s="65"/>
      <c r="D305" s="65"/>
      <c r="E305" s="65"/>
      <c r="F305" s="65"/>
      <c r="H305" s="65"/>
      <c r="J305" s="65"/>
      <c r="K305" s="65"/>
      <c r="L305" s="65"/>
    </row>
    <row r="306" ht="15.75" customHeight="1">
      <c r="C306" s="65"/>
      <c r="D306" s="65"/>
      <c r="E306" s="65"/>
      <c r="F306" s="65"/>
      <c r="H306" s="65"/>
      <c r="J306" s="65"/>
      <c r="K306" s="65"/>
      <c r="L306" s="65"/>
    </row>
    <row r="307" ht="15.75" customHeight="1">
      <c r="C307" s="65"/>
      <c r="D307" s="65"/>
      <c r="E307" s="65"/>
      <c r="F307" s="65"/>
      <c r="H307" s="65"/>
      <c r="J307" s="65"/>
      <c r="K307" s="65"/>
      <c r="L307" s="65"/>
    </row>
    <row r="308" ht="15.75" customHeight="1">
      <c r="C308" s="65"/>
      <c r="D308" s="65"/>
      <c r="E308" s="65"/>
      <c r="F308" s="65"/>
      <c r="H308" s="65"/>
      <c r="J308" s="65"/>
      <c r="K308" s="65"/>
      <c r="L308" s="65"/>
    </row>
    <row r="309" ht="15.75" customHeight="1">
      <c r="C309" s="65"/>
      <c r="D309" s="65"/>
      <c r="E309" s="65"/>
      <c r="F309" s="65"/>
      <c r="H309" s="65"/>
      <c r="J309" s="65"/>
      <c r="K309" s="65"/>
      <c r="L309" s="65"/>
    </row>
    <row r="310" ht="15.75" customHeight="1">
      <c r="C310" s="65"/>
      <c r="D310" s="65"/>
      <c r="E310" s="65"/>
      <c r="F310" s="65"/>
      <c r="H310" s="65"/>
      <c r="J310" s="65"/>
      <c r="K310" s="65"/>
      <c r="L310" s="65"/>
    </row>
    <row r="311" ht="15.75" customHeight="1">
      <c r="C311" s="65"/>
      <c r="D311" s="65"/>
      <c r="E311" s="65"/>
      <c r="F311" s="65"/>
      <c r="H311" s="65"/>
      <c r="J311" s="65"/>
      <c r="K311" s="65"/>
      <c r="L311" s="65"/>
    </row>
    <row r="312" ht="15.75" customHeight="1">
      <c r="C312" s="65"/>
      <c r="D312" s="65"/>
      <c r="E312" s="65"/>
      <c r="F312" s="65"/>
      <c r="H312" s="65"/>
      <c r="J312" s="65"/>
      <c r="K312" s="65"/>
      <c r="L312" s="65"/>
    </row>
    <row r="313" ht="15.75" customHeight="1">
      <c r="C313" s="65"/>
      <c r="D313" s="65"/>
      <c r="E313" s="65"/>
      <c r="F313" s="65"/>
      <c r="H313" s="65"/>
      <c r="J313" s="65"/>
      <c r="K313" s="65"/>
      <c r="L313" s="65"/>
    </row>
    <row r="314" ht="15.75" customHeight="1">
      <c r="C314" s="65"/>
      <c r="D314" s="65"/>
      <c r="E314" s="65"/>
      <c r="F314" s="65"/>
      <c r="H314" s="65"/>
      <c r="J314" s="65"/>
      <c r="K314" s="65"/>
      <c r="L314" s="65"/>
    </row>
    <row r="315" ht="15.75" customHeight="1">
      <c r="C315" s="65"/>
      <c r="D315" s="65"/>
      <c r="E315" s="65"/>
      <c r="F315" s="65"/>
      <c r="H315" s="65"/>
      <c r="J315" s="65"/>
      <c r="K315" s="65"/>
      <c r="L315" s="65"/>
    </row>
    <row r="316" ht="15.75" customHeight="1">
      <c r="C316" s="65"/>
      <c r="D316" s="65"/>
      <c r="E316" s="65"/>
      <c r="F316" s="65"/>
      <c r="H316" s="65"/>
      <c r="J316" s="65"/>
      <c r="K316" s="65"/>
      <c r="L316" s="65"/>
    </row>
    <row r="317" ht="15.75" customHeight="1">
      <c r="C317" s="65"/>
      <c r="D317" s="65"/>
      <c r="E317" s="65"/>
      <c r="F317" s="65"/>
      <c r="H317" s="65"/>
      <c r="J317" s="65"/>
      <c r="K317" s="65"/>
      <c r="L317" s="65"/>
    </row>
    <row r="318" ht="15.75" customHeight="1">
      <c r="C318" s="65"/>
      <c r="D318" s="65"/>
      <c r="E318" s="65"/>
      <c r="F318" s="65"/>
      <c r="H318" s="65"/>
      <c r="J318" s="65"/>
      <c r="K318" s="65"/>
      <c r="L318" s="65"/>
    </row>
    <row r="319" ht="15.75" customHeight="1">
      <c r="C319" s="65"/>
      <c r="D319" s="65"/>
      <c r="E319" s="65"/>
      <c r="F319" s="65"/>
      <c r="H319" s="65"/>
      <c r="J319" s="65"/>
      <c r="K319" s="65"/>
      <c r="L319" s="65"/>
    </row>
    <row r="320" ht="15.75" customHeight="1">
      <c r="C320" s="65"/>
      <c r="D320" s="65"/>
      <c r="E320" s="65"/>
      <c r="F320" s="65"/>
      <c r="H320" s="65"/>
      <c r="J320" s="65"/>
      <c r="K320" s="65"/>
      <c r="L320" s="65"/>
    </row>
    <row r="321" ht="15.75" customHeight="1">
      <c r="C321" s="65"/>
      <c r="D321" s="65"/>
      <c r="E321" s="65"/>
      <c r="F321" s="65"/>
      <c r="H321" s="65"/>
      <c r="J321" s="65"/>
      <c r="K321" s="65"/>
      <c r="L321" s="65"/>
    </row>
    <row r="322" ht="15.75" customHeight="1">
      <c r="C322" s="65"/>
      <c r="D322" s="65"/>
      <c r="E322" s="65"/>
      <c r="F322" s="65"/>
      <c r="H322" s="65"/>
      <c r="J322" s="65"/>
      <c r="K322" s="65"/>
      <c r="L322" s="65"/>
    </row>
    <row r="323" ht="15.75" customHeight="1">
      <c r="C323" s="65"/>
      <c r="D323" s="65"/>
      <c r="E323" s="65"/>
      <c r="F323" s="65"/>
      <c r="H323" s="65"/>
      <c r="J323" s="65"/>
      <c r="K323" s="65"/>
      <c r="L323" s="65"/>
    </row>
    <row r="324" ht="15.75" customHeight="1">
      <c r="C324" s="65"/>
      <c r="D324" s="65"/>
      <c r="E324" s="65"/>
      <c r="F324" s="65"/>
      <c r="H324" s="65"/>
      <c r="J324" s="65"/>
      <c r="K324" s="65"/>
      <c r="L324" s="65"/>
    </row>
    <row r="325" ht="15.75" customHeight="1">
      <c r="C325" s="65"/>
      <c r="D325" s="65"/>
      <c r="E325" s="65"/>
      <c r="F325" s="65"/>
      <c r="H325" s="65"/>
      <c r="J325" s="65"/>
      <c r="K325" s="65"/>
      <c r="L325" s="65"/>
    </row>
    <row r="326" ht="15.75" customHeight="1">
      <c r="C326" s="65"/>
      <c r="D326" s="65"/>
      <c r="E326" s="65"/>
      <c r="F326" s="65"/>
      <c r="H326" s="65"/>
      <c r="J326" s="65"/>
      <c r="K326" s="65"/>
      <c r="L326" s="65"/>
    </row>
    <row r="327" ht="15.75" customHeight="1">
      <c r="C327" s="65"/>
      <c r="D327" s="65"/>
      <c r="E327" s="65"/>
      <c r="F327" s="65"/>
      <c r="H327" s="65"/>
      <c r="J327" s="65"/>
      <c r="K327" s="65"/>
      <c r="L327" s="65"/>
    </row>
    <row r="328" ht="15.75" customHeight="1">
      <c r="C328" s="65"/>
      <c r="D328" s="65"/>
      <c r="E328" s="65"/>
      <c r="F328" s="65"/>
      <c r="H328" s="65"/>
      <c r="J328" s="65"/>
      <c r="K328" s="65"/>
      <c r="L328" s="65"/>
    </row>
    <row r="329" ht="15.75" customHeight="1">
      <c r="C329" s="65"/>
      <c r="D329" s="65"/>
      <c r="E329" s="65"/>
      <c r="F329" s="65"/>
      <c r="H329" s="65"/>
      <c r="J329" s="65"/>
      <c r="K329" s="65"/>
      <c r="L329" s="65"/>
    </row>
    <row r="330" ht="15.75" customHeight="1">
      <c r="C330" s="65"/>
      <c r="D330" s="65"/>
      <c r="E330" s="65"/>
      <c r="F330" s="65"/>
      <c r="H330" s="65"/>
      <c r="J330" s="65"/>
      <c r="K330" s="65"/>
      <c r="L330" s="65"/>
    </row>
    <row r="331" ht="15.75" customHeight="1">
      <c r="C331" s="65"/>
      <c r="D331" s="65"/>
      <c r="E331" s="65"/>
      <c r="F331" s="65"/>
      <c r="H331" s="65"/>
      <c r="J331" s="65"/>
      <c r="K331" s="65"/>
      <c r="L331" s="65"/>
    </row>
    <row r="332" ht="15.75" customHeight="1">
      <c r="C332" s="65"/>
      <c r="D332" s="65"/>
      <c r="E332" s="65"/>
      <c r="F332" s="65"/>
      <c r="H332" s="65"/>
      <c r="J332" s="65"/>
      <c r="K332" s="65"/>
      <c r="L332" s="65"/>
    </row>
    <row r="333" ht="15.75" customHeight="1">
      <c r="C333" s="65"/>
      <c r="D333" s="65"/>
      <c r="E333" s="65"/>
      <c r="F333" s="65"/>
      <c r="H333" s="65"/>
      <c r="J333" s="65"/>
      <c r="K333" s="65"/>
      <c r="L333" s="65"/>
    </row>
    <row r="334" ht="15.75" customHeight="1">
      <c r="C334" s="65"/>
      <c r="D334" s="65"/>
      <c r="E334" s="65"/>
      <c r="F334" s="65"/>
      <c r="H334" s="65"/>
      <c r="J334" s="65"/>
      <c r="K334" s="65"/>
      <c r="L334" s="65"/>
    </row>
    <row r="335" ht="15.75" customHeight="1">
      <c r="C335" s="65"/>
      <c r="D335" s="65"/>
      <c r="E335" s="65"/>
      <c r="F335" s="65"/>
      <c r="H335" s="65"/>
      <c r="J335" s="65"/>
      <c r="K335" s="65"/>
      <c r="L335" s="65"/>
    </row>
    <row r="336" ht="15.75" customHeight="1">
      <c r="C336" s="65"/>
      <c r="D336" s="65"/>
      <c r="E336" s="65"/>
      <c r="F336" s="65"/>
      <c r="H336" s="65"/>
      <c r="J336" s="65"/>
      <c r="K336" s="65"/>
      <c r="L336" s="65"/>
    </row>
    <row r="337" ht="15.75" customHeight="1">
      <c r="C337" s="65"/>
      <c r="D337" s="65"/>
      <c r="E337" s="65"/>
      <c r="F337" s="65"/>
      <c r="H337" s="65"/>
      <c r="J337" s="65"/>
      <c r="K337" s="65"/>
      <c r="L337" s="65"/>
    </row>
    <row r="338" ht="15.75" customHeight="1">
      <c r="C338" s="65"/>
      <c r="D338" s="65"/>
      <c r="E338" s="65"/>
      <c r="F338" s="65"/>
      <c r="H338" s="65"/>
      <c r="J338" s="65"/>
      <c r="K338" s="65"/>
      <c r="L338" s="65"/>
    </row>
    <row r="339" ht="15.75" customHeight="1">
      <c r="C339" s="65"/>
      <c r="D339" s="65"/>
      <c r="E339" s="65"/>
      <c r="F339" s="65"/>
      <c r="H339" s="65"/>
      <c r="J339" s="65"/>
      <c r="K339" s="65"/>
      <c r="L339" s="65"/>
    </row>
    <row r="340" ht="15.75" customHeight="1">
      <c r="C340" s="65"/>
      <c r="D340" s="65"/>
      <c r="E340" s="65"/>
      <c r="F340" s="65"/>
      <c r="H340" s="65"/>
      <c r="J340" s="65"/>
      <c r="K340" s="65"/>
      <c r="L340" s="65"/>
    </row>
    <row r="341" ht="15.75" customHeight="1">
      <c r="C341" s="65"/>
      <c r="D341" s="65"/>
      <c r="E341" s="65"/>
      <c r="F341" s="65"/>
      <c r="H341" s="65"/>
      <c r="J341" s="65"/>
      <c r="K341" s="65"/>
      <c r="L341" s="65"/>
    </row>
    <row r="342" ht="15.75" customHeight="1">
      <c r="C342" s="65"/>
      <c r="D342" s="65"/>
      <c r="E342" s="65"/>
      <c r="F342" s="65"/>
      <c r="H342" s="65"/>
      <c r="J342" s="65"/>
      <c r="K342" s="65"/>
      <c r="L342" s="65"/>
    </row>
    <row r="343" ht="15.75" customHeight="1">
      <c r="C343" s="65"/>
      <c r="D343" s="65"/>
      <c r="E343" s="65"/>
      <c r="F343" s="65"/>
      <c r="H343" s="65"/>
      <c r="J343" s="65"/>
      <c r="K343" s="65"/>
      <c r="L343" s="65"/>
    </row>
    <row r="344" ht="15.75" customHeight="1">
      <c r="C344" s="65"/>
      <c r="D344" s="65"/>
      <c r="E344" s="65"/>
      <c r="F344" s="65"/>
      <c r="H344" s="65"/>
      <c r="J344" s="65"/>
      <c r="K344" s="65"/>
      <c r="L344" s="65"/>
    </row>
    <row r="345" ht="15.75" customHeight="1">
      <c r="C345" s="65"/>
      <c r="D345" s="65"/>
      <c r="E345" s="65"/>
      <c r="F345" s="65"/>
      <c r="H345" s="65"/>
      <c r="J345" s="65"/>
      <c r="K345" s="65"/>
      <c r="L345" s="65"/>
    </row>
    <row r="346" ht="15.75" customHeight="1">
      <c r="C346" s="65"/>
      <c r="D346" s="65"/>
      <c r="E346" s="65"/>
      <c r="F346" s="65"/>
      <c r="H346" s="65"/>
      <c r="J346" s="65"/>
      <c r="K346" s="65"/>
      <c r="L346" s="65"/>
    </row>
    <row r="347" ht="15.75" customHeight="1">
      <c r="C347" s="65"/>
      <c r="D347" s="65"/>
      <c r="E347" s="65"/>
      <c r="F347" s="65"/>
      <c r="H347" s="65"/>
      <c r="J347" s="65"/>
      <c r="K347" s="65"/>
      <c r="L347" s="65"/>
    </row>
    <row r="348" ht="15.75" customHeight="1">
      <c r="C348" s="65"/>
      <c r="D348" s="65"/>
      <c r="E348" s="65"/>
      <c r="F348" s="65"/>
      <c r="H348" s="65"/>
      <c r="J348" s="65"/>
      <c r="K348" s="65"/>
      <c r="L348" s="65"/>
    </row>
    <row r="349" ht="15.75" customHeight="1">
      <c r="C349" s="65"/>
      <c r="D349" s="65"/>
      <c r="E349" s="65"/>
      <c r="F349" s="65"/>
      <c r="H349" s="65"/>
      <c r="J349" s="65"/>
      <c r="K349" s="65"/>
      <c r="L349" s="65"/>
    </row>
    <row r="350" ht="15.75" customHeight="1">
      <c r="C350" s="65"/>
      <c r="D350" s="65"/>
      <c r="E350" s="65"/>
      <c r="F350" s="65"/>
      <c r="H350" s="65"/>
      <c r="J350" s="65"/>
      <c r="K350" s="65"/>
      <c r="L350" s="65"/>
    </row>
    <row r="351" ht="15.75" customHeight="1">
      <c r="C351" s="65"/>
      <c r="D351" s="65"/>
      <c r="E351" s="65"/>
      <c r="F351" s="65"/>
      <c r="H351" s="65"/>
      <c r="J351" s="65"/>
      <c r="K351" s="65"/>
      <c r="L351" s="65"/>
    </row>
    <row r="352" ht="15.75" customHeight="1">
      <c r="C352" s="65"/>
      <c r="D352" s="65"/>
      <c r="E352" s="65"/>
      <c r="F352" s="65"/>
      <c r="H352" s="65"/>
      <c r="J352" s="65"/>
      <c r="K352" s="65"/>
      <c r="L352" s="65"/>
    </row>
    <row r="353" ht="15.75" customHeight="1">
      <c r="C353" s="65"/>
      <c r="D353" s="65"/>
      <c r="E353" s="65"/>
      <c r="F353" s="65"/>
      <c r="H353" s="65"/>
      <c r="J353" s="65"/>
      <c r="K353" s="65"/>
      <c r="L353" s="65"/>
    </row>
    <row r="354" ht="15.75" customHeight="1">
      <c r="C354" s="65"/>
      <c r="D354" s="65"/>
      <c r="E354" s="65"/>
      <c r="F354" s="65"/>
      <c r="H354" s="65"/>
      <c r="J354" s="65"/>
      <c r="K354" s="65"/>
      <c r="L354" s="65"/>
    </row>
    <row r="355" ht="15.75" customHeight="1">
      <c r="C355" s="65"/>
      <c r="D355" s="65"/>
      <c r="E355" s="65"/>
      <c r="F355" s="65"/>
      <c r="H355" s="65"/>
      <c r="J355" s="65"/>
      <c r="K355" s="65"/>
      <c r="L355" s="65"/>
    </row>
    <row r="356" ht="15.75" customHeight="1">
      <c r="C356" s="65"/>
      <c r="D356" s="65"/>
      <c r="E356" s="65"/>
      <c r="F356" s="65"/>
      <c r="H356" s="65"/>
      <c r="J356" s="65"/>
      <c r="K356" s="65"/>
      <c r="L356" s="65"/>
    </row>
    <row r="357" ht="15.75" customHeight="1">
      <c r="C357" s="65"/>
      <c r="D357" s="65"/>
      <c r="E357" s="65"/>
      <c r="F357" s="65"/>
      <c r="H357" s="65"/>
      <c r="J357" s="65"/>
      <c r="K357" s="65"/>
      <c r="L357" s="65"/>
    </row>
    <row r="358" ht="15.75" customHeight="1">
      <c r="C358" s="65"/>
      <c r="D358" s="65"/>
      <c r="E358" s="65"/>
      <c r="F358" s="65"/>
      <c r="H358" s="65"/>
      <c r="J358" s="65"/>
      <c r="K358" s="65"/>
      <c r="L358" s="65"/>
    </row>
    <row r="359" ht="15.75" customHeight="1">
      <c r="C359" s="65"/>
      <c r="D359" s="65"/>
      <c r="E359" s="65"/>
      <c r="F359" s="65"/>
      <c r="H359" s="65"/>
      <c r="J359" s="65"/>
      <c r="K359" s="65"/>
      <c r="L359" s="65"/>
    </row>
    <row r="360" ht="15.75" customHeight="1">
      <c r="C360" s="65"/>
      <c r="D360" s="65"/>
      <c r="E360" s="65"/>
      <c r="F360" s="65"/>
      <c r="H360" s="65"/>
      <c r="J360" s="65"/>
      <c r="K360" s="65"/>
      <c r="L360" s="65"/>
    </row>
    <row r="361" ht="15.75" customHeight="1">
      <c r="C361" s="65"/>
      <c r="D361" s="65"/>
      <c r="E361" s="65"/>
      <c r="F361" s="65"/>
      <c r="H361" s="65"/>
      <c r="J361" s="65"/>
      <c r="K361" s="65"/>
      <c r="L361" s="65"/>
    </row>
    <row r="362" ht="15.75" customHeight="1">
      <c r="C362" s="65"/>
      <c r="D362" s="65"/>
      <c r="E362" s="65"/>
      <c r="F362" s="65"/>
      <c r="H362" s="65"/>
      <c r="J362" s="65"/>
      <c r="K362" s="65"/>
      <c r="L362" s="65"/>
    </row>
    <row r="363" ht="15.75" customHeight="1">
      <c r="C363" s="65"/>
      <c r="D363" s="65"/>
      <c r="E363" s="65"/>
      <c r="F363" s="65"/>
      <c r="H363" s="65"/>
      <c r="J363" s="65"/>
      <c r="K363" s="65"/>
      <c r="L363" s="65"/>
    </row>
    <row r="364" ht="15.75" customHeight="1">
      <c r="C364" s="65"/>
      <c r="D364" s="65"/>
      <c r="E364" s="65"/>
      <c r="F364" s="65"/>
      <c r="H364" s="65"/>
      <c r="J364" s="65"/>
      <c r="K364" s="65"/>
      <c r="L364" s="65"/>
    </row>
    <row r="365" ht="15.75" customHeight="1">
      <c r="C365" s="65"/>
      <c r="D365" s="65"/>
      <c r="E365" s="65"/>
      <c r="F365" s="65"/>
      <c r="H365" s="65"/>
      <c r="J365" s="65"/>
      <c r="K365" s="65"/>
      <c r="L365" s="65"/>
    </row>
    <row r="366" ht="15.75" customHeight="1">
      <c r="C366" s="65"/>
      <c r="D366" s="65"/>
      <c r="E366" s="65"/>
      <c r="F366" s="65"/>
      <c r="H366" s="65"/>
      <c r="J366" s="65"/>
      <c r="K366" s="65"/>
      <c r="L366" s="65"/>
    </row>
    <row r="367" ht="15.75" customHeight="1">
      <c r="C367" s="65"/>
      <c r="D367" s="65"/>
      <c r="E367" s="65"/>
      <c r="F367" s="65"/>
      <c r="H367" s="65"/>
      <c r="J367" s="65"/>
      <c r="K367" s="65"/>
      <c r="L367" s="65"/>
    </row>
    <row r="368" ht="15.75" customHeight="1">
      <c r="C368" s="65"/>
      <c r="D368" s="65"/>
      <c r="E368" s="65"/>
      <c r="F368" s="65"/>
      <c r="H368" s="65"/>
      <c r="J368" s="65"/>
      <c r="K368" s="65"/>
      <c r="L368" s="65"/>
    </row>
    <row r="369" ht="15.75" customHeight="1">
      <c r="C369" s="65"/>
      <c r="D369" s="65"/>
      <c r="E369" s="65"/>
      <c r="F369" s="65"/>
      <c r="H369" s="65"/>
      <c r="J369" s="65"/>
      <c r="K369" s="65"/>
      <c r="L369" s="65"/>
    </row>
    <row r="370" ht="15.75" customHeight="1">
      <c r="C370" s="65"/>
      <c r="D370" s="65"/>
      <c r="E370" s="65"/>
      <c r="F370" s="65"/>
      <c r="H370" s="65"/>
      <c r="J370" s="65"/>
      <c r="K370" s="65"/>
      <c r="L370" s="65"/>
    </row>
    <row r="371" ht="15.75" customHeight="1">
      <c r="C371" s="65"/>
      <c r="D371" s="65"/>
      <c r="E371" s="65"/>
      <c r="F371" s="65"/>
      <c r="H371" s="65"/>
      <c r="J371" s="65"/>
      <c r="K371" s="65"/>
      <c r="L371" s="65"/>
    </row>
    <row r="372" ht="15.75" customHeight="1">
      <c r="C372" s="65"/>
      <c r="D372" s="65"/>
      <c r="E372" s="65"/>
      <c r="F372" s="65"/>
      <c r="H372" s="65"/>
      <c r="J372" s="65"/>
      <c r="K372" s="65"/>
      <c r="L372" s="65"/>
    </row>
    <row r="373" ht="15.75" customHeight="1">
      <c r="C373" s="65"/>
      <c r="D373" s="65"/>
      <c r="E373" s="65"/>
      <c r="F373" s="65"/>
      <c r="H373" s="65"/>
      <c r="J373" s="65"/>
      <c r="K373" s="65"/>
      <c r="L373" s="65"/>
    </row>
    <row r="374" ht="15.75" customHeight="1">
      <c r="C374" s="65"/>
      <c r="D374" s="65"/>
      <c r="E374" s="65"/>
      <c r="F374" s="65"/>
      <c r="H374" s="65"/>
      <c r="J374" s="65"/>
      <c r="K374" s="65"/>
      <c r="L374" s="65"/>
    </row>
    <row r="375" ht="15.75" customHeight="1">
      <c r="C375" s="65"/>
      <c r="D375" s="65"/>
      <c r="E375" s="65"/>
      <c r="F375" s="65"/>
      <c r="H375" s="65"/>
      <c r="J375" s="65"/>
      <c r="K375" s="65"/>
      <c r="L375" s="65"/>
    </row>
    <row r="376" ht="15.75" customHeight="1">
      <c r="C376" s="65"/>
      <c r="D376" s="65"/>
      <c r="E376" s="65"/>
      <c r="F376" s="65"/>
      <c r="H376" s="65"/>
      <c r="J376" s="65"/>
      <c r="K376" s="65"/>
      <c r="L376" s="65"/>
    </row>
    <row r="377" ht="15.75" customHeight="1">
      <c r="C377" s="65"/>
      <c r="D377" s="65"/>
      <c r="E377" s="65"/>
      <c r="F377" s="65"/>
      <c r="H377" s="65"/>
      <c r="J377" s="65"/>
      <c r="K377" s="65"/>
      <c r="L377" s="65"/>
    </row>
    <row r="378" ht="15.75" customHeight="1">
      <c r="C378" s="65"/>
      <c r="D378" s="65"/>
      <c r="E378" s="65"/>
      <c r="F378" s="65"/>
      <c r="H378" s="65"/>
      <c r="J378" s="65"/>
      <c r="K378" s="65"/>
      <c r="L378" s="65"/>
    </row>
    <row r="379" ht="15.75" customHeight="1">
      <c r="C379" s="65"/>
      <c r="D379" s="65"/>
      <c r="E379" s="65"/>
      <c r="F379" s="65"/>
      <c r="H379" s="65"/>
      <c r="J379" s="65"/>
      <c r="K379" s="65"/>
      <c r="L379" s="65"/>
    </row>
    <row r="380" ht="15.75" customHeight="1">
      <c r="C380" s="65"/>
      <c r="D380" s="65"/>
      <c r="E380" s="65"/>
      <c r="F380" s="65"/>
      <c r="H380" s="65"/>
      <c r="J380" s="65"/>
      <c r="K380" s="65"/>
      <c r="L380" s="65"/>
    </row>
    <row r="381" ht="15.75" customHeight="1">
      <c r="C381" s="65"/>
      <c r="D381" s="65"/>
      <c r="E381" s="65"/>
      <c r="F381" s="65"/>
      <c r="H381" s="65"/>
      <c r="J381" s="65"/>
      <c r="K381" s="65"/>
      <c r="L381" s="65"/>
    </row>
    <row r="382" ht="15.75" customHeight="1">
      <c r="C382" s="65"/>
      <c r="D382" s="65"/>
      <c r="E382" s="65"/>
      <c r="F382" s="65"/>
      <c r="H382" s="65"/>
      <c r="J382" s="65"/>
      <c r="K382" s="65"/>
      <c r="L382" s="65"/>
    </row>
    <row r="383" ht="15.75" customHeight="1">
      <c r="C383" s="65"/>
      <c r="D383" s="65"/>
      <c r="E383" s="65"/>
      <c r="F383" s="65"/>
      <c r="H383" s="65"/>
      <c r="J383" s="65"/>
      <c r="K383" s="65"/>
      <c r="L383" s="65"/>
    </row>
    <row r="384" ht="15.75" customHeight="1">
      <c r="C384" s="65"/>
      <c r="D384" s="65"/>
      <c r="E384" s="65"/>
      <c r="F384" s="65"/>
      <c r="H384" s="65"/>
      <c r="J384" s="65"/>
      <c r="K384" s="65"/>
      <c r="L384" s="65"/>
    </row>
    <row r="385" ht="15.75" customHeight="1">
      <c r="C385" s="65"/>
      <c r="D385" s="65"/>
      <c r="E385" s="65"/>
      <c r="F385" s="65"/>
      <c r="H385" s="65"/>
      <c r="J385" s="65"/>
      <c r="K385" s="65"/>
      <c r="L385" s="65"/>
    </row>
    <row r="386" ht="15.75" customHeight="1">
      <c r="C386" s="65"/>
      <c r="D386" s="65"/>
      <c r="E386" s="65"/>
      <c r="F386" s="65"/>
      <c r="H386" s="65"/>
      <c r="J386" s="65"/>
      <c r="K386" s="65"/>
      <c r="L386" s="65"/>
    </row>
    <row r="387" ht="15.75" customHeight="1">
      <c r="C387" s="65"/>
      <c r="D387" s="65"/>
      <c r="E387" s="65"/>
      <c r="F387" s="65"/>
      <c r="H387" s="65"/>
      <c r="J387" s="65"/>
      <c r="K387" s="65"/>
      <c r="L387" s="65"/>
    </row>
    <row r="388" ht="15.75" customHeight="1">
      <c r="C388" s="65"/>
      <c r="D388" s="65"/>
      <c r="E388" s="65"/>
      <c r="F388" s="65"/>
      <c r="H388" s="65"/>
      <c r="J388" s="65"/>
      <c r="K388" s="65"/>
      <c r="L388" s="65"/>
    </row>
    <row r="389" ht="15.75" customHeight="1">
      <c r="C389" s="65"/>
      <c r="D389" s="65"/>
      <c r="E389" s="65"/>
      <c r="F389" s="65"/>
      <c r="H389" s="65"/>
      <c r="J389" s="65"/>
      <c r="K389" s="65"/>
      <c r="L389" s="65"/>
    </row>
    <row r="390" ht="15.75" customHeight="1">
      <c r="C390" s="65"/>
      <c r="D390" s="65"/>
      <c r="E390" s="65"/>
      <c r="F390" s="65"/>
      <c r="H390" s="65"/>
      <c r="J390" s="65"/>
      <c r="K390" s="65"/>
      <c r="L390" s="65"/>
    </row>
    <row r="391" ht="15.75" customHeight="1">
      <c r="C391" s="65"/>
      <c r="D391" s="65"/>
      <c r="E391" s="65"/>
      <c r="F391" s="65"/>
      <c r="H391" s="65"/>
      <c r="J391" s="65"/>
      <c r="K391" s="65"/>
      <c r="L391" s="65"/>
    </row>
    <row r="392" ht="15.75" customHeight="1">
      <c r="C392" s="65"/>
      <c r="D392" s="65"/>
      <c r="E392" s="65"/>
      <c r="F392" s="65"/>
      <c r="H392" s="65"/>
      <c r="J392" s="65"/>
      <c r="K392" s="65"/>
      <c r="L392" s="65"/>
    </row>
    <row r="393" ht="15.75" customHeight="1">
      <c r="C393" s="65"/>
      <c r="D393" s="65"/>
      <c r="E393" s="65"/>
      <c r="F393" s="65"/>
      <c r="H393" s="65"/>
      <c r="J393" s="65"/>
      <c r="K393" s="65"/>
      <c r="L393" s="65"/>
    </row>
    <row r="394" ht="15.75" customHeight="1">
      <c r="C394" s="65"/>
      <c r="D394" s="65"/>
      <c r="E394" s="65"/>
      <c r="F394" s="65"/>
      <c r="H394" s="65"/>
      <c r="J394" s="65"/>
      <c r="K394" s="65"/>
      <c r="L394" s="65"/>
    </row>
    <row r="395" ht="15.75" customHeight="1">
      <c r="C395" s="65"/>
      <c r="D395" s="65"/>
      <c r="E395" s="65"/>
      <c r="F395" s="65"/>
      <c r="H395" s="65"/>
      <c r="J395" s="65"/>
      <c r="K395" s="65"/>
      <c r="L395" s="65"/>
    </row>
    <row r="396" ht="15.75" customHeight="1">
      <c r="C396" s="65"/>
      <c r="D396" s="65"/>
      <c r="E396" s="65"/>
      <c r="F396" s="65"/>
      <c r="H396" s="65"/>
      <c r="J396" s="65"/>
      <c r="K396" s="65"/>
      <c r="L396" s="65"/>
    </row>
    <row r="397" ht="15.75" customHeight="1">
      <c r="C397" s="65"/>
      <c r="D397" s="65"/>
      <c r="E397" s="65"/>
      <c r="F397" s="65"/>
      <c r="H397" s="65"/>
      <c r="J397" s="65"/>
      <c r="K397" s="65"/>
      <c r="L397" s="65"/>
    </row>
    <row r="398" ht="15.75" customHeight="1">
      <c r="C398" s="65"/>
      <c r="D398" s="65"/>
      <c r="E398" s="65"/>
      <c r="F398" s="65"/>
      <c r="H398" s="65"/>
      <c r="J398" s="65"/>
      <c r="K398" s="65"/>
      <c r="L398" s="65"/>
    </row>
    <row r="399" ht="15.75" customHeight="1">
      <c r="C399" s="65"/>
      <c r="D399" s="65"/>
      <c r="E399" s="65"/>
      <c r="F399" s="65"/>
      <c r="H399" s="65"/>
      <c r="J399" s="65"/>
      <c r="K399" s="65"/>
      <c r="L399" s="65"/>
    </row>
    <row r="400" ht="15.75" customHeight="1">
      <c r="C400" s="65"/>
      <c r="D400" s="65"/>
      <c r="E400" s="65"/>
      <c r="F400" s="65"/>
      <c r="H400" s="65"/>
      <c r="J400" s="65"/>
      <c r="K400" s="65"/>
      <c r="L400" s="65"/>
    </row>
    <row r="401" ht="15.75" customHeight="1">
      <c r="C401" s="65"/>
      <c r="D401" s="65"/>
      <c r="E401" s="65"/>
      <c r="F401" s="65"/>
      <c r="H401" s="65"/>
      <c r="J401" s="65"/>
      <c r="K401" s="65"/>
      <c r="L401" s="65"/>
    </row>
    <row r="402" ht="15.75" customHeight="1">
      <c r="C402" s="65"/>
      <c r="D402" s="65"/>
      <c r="E402" s="65"/>
      <c r="F402" s="65"/>
      <c r="H402" s="65"/>
      <c r="J402" s="65"/>
      <c r="K402" s="65"/>
      <c r="L402" s="65"/>
    </row>
    <row r="403" ht="15.75" customHeight="1">
      <c r="C403" s="65"/>
      <c r="D403" s="65"/>
      <c r="E403" s="65"/>
      <c r="F403" s="65"/>
      <c r="H403" s="65"/>
      <c r="J403" s="65"/>
      <c r="K403" s="65"/>
      <c r="L403" s="65"/>
    </row>
    <row r="404" ht="15.75" customHeight="1">
      <c r="C404" s="65"/>
      <c r="D404" s="65"/>
      <c r="E404" s="65"/>
      <c r="F404" s="65"/>
      <c r="H404" s="65"/>
      <c r="J404" s="65"/>
      <c r="K404" s="65"/>
      <c r="L404" s="65"/>
    </row>
    <row r="405" ht="15.75" customHeight="1">
      <c r="C405" s="65"/>
      <c r="D405" s="65"/>
      <c r="E405" s="65"/>
      <c r="F405" s="65"/>
      <c r="H405" s="65"/>
      <c r="J405" s="65"/>
      <c r="K405" s="65"/>
      <c r="L405" s="65"/>
    </row>
    <row r="406" ht="15.75" customHeight="1">
      <c r="C406" s="65"/>
      <c r="D406" s="65"/>
      <c r="E406" s="65"/>
      <c r="F406" s="65"/>
      <c r="H406" s="65"/>
      <c r="J406" s="65"/>
      <c r="K406" s="65"/>
      <c r="L406" s="65"/>
    </row>
    <row r="407" ht="15.75" customHeight="1">
      <c r="C407" s="65"/>
      <c r="D407" s="65"/>
      <c r="E407" s="65"/>
      <c r="F407" s="65"/>
      <c r="H407" s="65"/>
      <c r="J407" s="65"/>
      <c r="K407" s="65"/>
      <c r="L407" s="65"/>
    </row>
    <row r="408" ht="15.75" customHeight="1">
      <c r="C408" s="65"/>
      <c r="D408" s="65"/>
      <c r="E408" s="65"/>
      <c r="F408" s="65"/>
      <c r="H408" s="65"/>
      <c r="J408" s="65"/>
      <c r="K408" s="65"/>
      <c r="L408" s="65"/>
    </row>
    <row r="409" ht="15.75" customHeight="1">
      <c r="C409" s="65"/>
      <c r="D409" s="65"/>
      <c r="E409" s="65"/>
      <c r="F409" s="65"/>
      <c r="H409" s="65"/>
      <c r="J409" s="65"/>
      <c r="K409" s="65"/>
      <c r="L409" s="65"/>
    </row>
    <row r="410" ht="15.75" customHeight="1">
      <c r="C410" s="65"/>
      <c r="D410" s="65"/>
      <c r="E410" s="65"/>
      <c r="F410" s="65"/>
      <c r="H410" s="65"/>
      <c r="J410" s="65"/>
      <c r="K410" s="65"/>
      <c r="L410" s="65"/>
    </row>
    <row r="411" ht="15.75" customHeight="1">
      <c r="C411" s="65"/>
      <c r="D411" s="65"/>
      <c r="E411" s="65"/>
      <c r="F411" s="65"/>
      <c r="H411" s="65"/>
      <c r="J411" s="65"/>
      <c r="K411" s="65"/>
      <c r="L411" s="65"/>
    </row>
    <row r="412" ht="15.75" customHeight="1">
      <c r="C412" s="65"/>
      <c r="D412" s="65"/>
      <c r="E412" s="65"/>
      <c r="F412" s="65"/>
      <c r="H412" s="65"/>
      <c r="J412" s="65"/>
      <c r="K412" s="65"/>
      <c r="L412" s="65"/>
    </row>
    <row r="413" ht="15.75" customHeight="1">
      <c r="C413" s="65"/>
      <c r="D413" s="65"/>
      <c r="E413" s="65"/>
      <c r="F413" s="65"/>
      <c r="H413" s="65"/>
      <c r="J413" s="65"/>
      <c r="K413" s="65"/>
      <c r="L413" s="65"/>
    </row>
    <row r="414" ht="15.75" customHeight="1">
      <c r="C414" s="65"/>
      <c r="D414" s="65"/>
      <c r="E414" s="65"/>
      <c r="F414" s="65"/>
      <c r="H414" s="65"/>
      <c r="J414" s="65"/>
      <c r="K414" s="65"/>
      <c r="L414" s="65"/>
    </row>
    <row r="415" ht="15.75" customHeight="1">
      <c r="C415" s="65"/>
      <c r="D415" s="65"/>
      <c r="E415" s="65"/>
      <c r="F415" s="65"/>
      <c r="H415" s="65"/>
      <c r="J415" s="65"/>
      <c r="K415" s="65"/>
      <c r="L415" s="65"/>
    </row>
    <row r="416" ht="15.75" customHeight="1">
      <c r="C416" s="65"/>
      <c r="D416" s="65"/>
      <c r="E416" s="65"/>
      <c r="F416" s="65"/>
      <c r="H416" s="65"/>
      <c r="J416" s="65"/>
      <c r="K416" s="65"/>
      <c r="L416" s="65"/>
    </row>
    <row r="417" ht="15.75" customHeight="1">
      <c r="C417" s="65"/>
      <c r="D417" s="65"/>
      <c r="E417" s="65"/>
      <c r="F417" s="65"/>
      <c r="H417" s="65"/>
      <c r="J417" s="65"/>
      <c r="K417" s="65"/>
      <c r="L417" s="65"/>
    </row>
    <row r="418" ht="15.75" customHeight="1">
      <c r="C418" s="65"/>
      <c r="D418" s="65"/>
      <c r="E418" s="65"/>
      <c r="F418" s="65"/>
      <c r="H418" s="65"/>
      <c r="J418" s="65"/>
      <c r="K418" s="65"/>
      <c r="L418" s="65"/>
    </row>
    <row r="419" ht="15.75" customHeight="1">
      <c r="C419" s="65"/>
      <c r="D419" s="65"/>
      <c r="E419" s="65"/>
      <c r="F419" s="65"/>
      <c r="H419" s="65"/>
      <c r="J419" s="65"/>
      <c r="K419" s="65"/>
      <c r="L419" s="65"/>
    </row>
    <row r="420" ht="15.75" customHeight="1">
      <c r="C420" s="65"/>
      <c r="D420" s="65"/>
      <c r="E420" s="65"/>
      <c r="F420" s="65"/>
      <c r="H420" s="65"/>
      <c r="J420" s="65"/>
      <c r="K420" s="65"/>
      <c r="L420" s="65"/>
    </row>
    <row r="421" ht="15.75" customHeight="1">
      <c r="C421" s="65"/>
      <c r="D421" s="65"/>
      <c r="E421" s="65"/>
      <c r="F421" s="65"/>
      <c r="H421" s="65"/>
      <c r="J421" s="65"/>
      <c r="K421" s="65"/>
      <c r="L421" s="65"/>
    </row>
    <row r="422" ht="15.75" customHeight="1">
      <c r="C422" s="65"/>
      <c r="D422" s="65"/>
      <c r="E422" s="65"/>
      <c r="F422" s="65"/>
      <c r="H422" s="65"/>
      <c r="J422" s="65"/>
      <c r="K422" s="65"/>
      <c r="L422" s="65"/>
    </row>
    <row r="423" ht="15.75" customHeight="1">
      <c r="C423" s="65"/>
      <c r="D423" s="65"/>
      <c r="E423" s="65"/>
      <c r="F423" s="65"/>
      <c r="H423" s="65"/>
      <c r="J423" s="65"/>
      <c r="K423" s="65"/>
      <c r="L423" s="65"/>
    </row>
    <row r="424" ht="15.75" customHeight="1">
      <c r="C424" s="65"/>
      <c r="D424" s="65"/>
      <c r="E424" s="65"/>
      <c r="F424" s="65"/>
      <c r="H424" s="65"/>
      <c r="J424" s="65"/>
      <c r="K424" s="65"/>
      <c r="L424" s="65"/>
    </row>
    <row r="425" ht="15.75" customHeight="1">
      <c r="C425" s="65"/>
      <c r="D425" s="65"/>
      <c r="E425" s="65"/>
      <c r="F425" s="65"/>
      <c r="H425" s="65"/>
      <c r="J425" s="65"/>
      <c r="K425" s="65"/>
      <c r="L425" s="65"/>
    </row>
    <row r="426" ht="15.75" customHeight="1">
      <c r="C426" s="65"/>
      <c r="D426" s="65"/>
      <c r="E426" s="65"/>
      <c r="F426" s="65"/>
      <c r="H426" s="65"/>
      <c r="J426" s="65"/>
      <c r="K426" s="65"/>
      <c r="L426" s="65"/>
    </row>
    <row r="427" ht="15.75" customHeight="1">
      <c r="C427" s="65"/>
      <c r="D427" s="65"/>
      <c r="E427" s="65"/>
      <c r="F427" s="65"/>
      <c r="H427" s="65"/>
      <c r="J427" s="65"/>
      <c r="K427" s="65"/>
      <c r="L427" s="65"/>
    </row>
    <row r="428" ht="15.75" customHeight="1">
      <c r="C428" s="65"/>
      <c r="D428" s="65"/>
      <c r="E428" s="65"/>
      <c r="F428" s="65"/>
      <c r="H428" s="65"/>
      <c r="J428" s="65"/>
      <c r="K428" s="65"/>
      <c r="L428" s="65"/>
    </row>
    <row r="429" ht="15.75" customHeight="1">
      <c r="C429" s="65"/>
      <c r="D429" s="65"/>
      <c r="E429" s="65"/>
      <c r="F429" s="65"/>
      <c r="H429" s="65"/>
      <c r="J429" s="65"/>
      <c r="K429" s="65"/>
      <c r="L429" s="65"/>
    </row>
    <row r="430" ht="15.75" customHeight="1">
      <c r="C430" s="65"/>
      <c r="D430" s="65"/>
      <c r="E430" s="65"/>
      <c r="F430" s="65"/>
      <c r="H430" s="65"/>
      <c r="J430" s="65"/>
      <c r="K430" s="65"/>
      <c r="L430" s="65"/>
    </row>
    <row r="431" ht="15.75" customHeight="1">
      <c r="C431" s="65"/>
      <c r="D431" s="65"/>
      <c r="E431" s="65"/>
      <c r="F431" s="65"/>
      <c r="H431" s="65"/>
      <c r="J431" s="65"/>
      <c r="K431" s="65"/>
      <c r="L431" s="65"/>
    </row>
    <row r="432" ht="15.75" customHeight="1">
      <c r="C432" s="65"/>
      <c r="D432" s="65"/>
      <c r="E432" s="65"/>
      <c r="F432" s="65"/>
      <c r="H432" s="65"/>
      <c r="J432" s="65"/>
      <c r="K432" s="65"/>
      <c r="L432" s="65"/>
    </row>
    <row r="433" ht="15.75" customHeight="1">
      <c r="C433" s="65"/>
      <c r="D433" s="65"/>
      <c r="E433" s="65"/>
      <c r="F433" s="65"/>
      <c r="H433" s="65"/>
      <c r="J433" s="65"/>
      <c r="K433" s="65"/>
      <c r="L433" s="65"/>
    </row>
    <row r="434" ht="15.75" customHeight="1">
      <c r="C434" s="65"/>
      <c r="D434" s="65"/>
      <c r="E434" s="65"/>
      <c r="F434" s="65"/>
      <c r="H434" s="65"/>
      <c r="J434" s="65"/>
      <c r="K434" s="65"/>
      <c r="L434" s="65"/>
    </row>
    <row r="435" ht="15.75" customHeight="1">
      <c r="C435" s="65"/>
      <c r="D435" s="65"/>
      <c r="E435" s="65"/>
      <c r="F435" s="65"/>
      <c r="H435" s="65"/>
      <c r="J435" s="65"/>
      <c r="K435" s="65"/>
      <c r="L435" s="65"/>
    </row>
    <row r="436" ht="15.75" customHeight="1">
      <c r="C436" s="65"/>
      <c r="D436" s="65"/>
      <c r="E436" s="65"/>
      <c r="F436" s="65"/>
      <c r="H436" s="65"/>
      <c r="J436" s="65"/>
      <c r="K436" s="65"/>
      <c r="L436" s="65"/>
    </row>
    <row r="437" ht="15.75" customHeight="1">
      <c r="C437" s="65"/>
      <c r="D437" s="65"/>
      <c r="E437" s="65"/>
      <c r="F437" s="65"/>
      <c r="H437" s="65"/>
      <c r="J437" s="65"/>
      <c r="K437" s="65"/>
      <c r="L437" s="65"/>
    </row>
    <row r="438" ht="15.75" customHeight="1">
      <c r="C438" s="65"/>
      <c r="D438" s="65"/>
      <c r="E438" s="65"/>
      <c r="F438" s="65"/>
      <c r="H438" s="65"/>
      <c r="J438" s="65"/>
      <c r="K438" s="65"/>
      <c r="L438" s="65"/>
    </row>
    <row r="439" ht="15.75" customHeight="1">
      <c r="C439" s="65"/>
      <c r="D439" s="65"/>
      <c r="E439" s="65"/>
      <c r="F439" s="65"/>
      <c r="H439" s="65"/>
      <c r="J439" s="65"/>
      <c r="K439" s="65"/>
      <c r="L439" s="65"/>
    </row>
    <row r="440" ht="15.75" customHeight="1">
      <c r="C440" s="65"/>
      <c r="D440" s="65"/>
      <c r="E440" s="65"/>
      <c r="F440" s="65"/>
      <c r="H440" s="65"/>
      <c r="J440" s="65"/>
      <c r="K440" s="65"/>
      <c r="L440" s="65"/>
    </row>
    <row r="441" ht="15.75" customHeight="1">
      <c r="C441" s="65"/>
      <c r="D441" s="65"/>
      <c r="E441" s="65"/>
      <c r="F441" s="65"/>
      <c r="H441" s="65"/>
      <c r="J441" s="65"/>
      <c r="K441" s="65"/>
      <c r="L441" s="65"/>
    </row>
    <row r="442" ht="15.75" customHeight="1">
      <c r="C442" s="65"/>
      <c r="D442" s="65"/>
      <c r="E442" s="65"/>
      <c r="F442" s="65"/>
      <c r="H442" s="65"/>
      <c r="J442" s="65"/>
      <c r="K442" s="65"/>
      <c r="L442" s="65"/>
    </row>
    <row r="443" ht="15.75" customHeight="1">
      <c r="C443" s="65"/>
      <c r="D443" s="65"/>
      <c r="E443" s="65"/>
      <c r="F443" s="65"/>
      <c r="H443" s="65"/>
      <c r="J443" s="65"/>
      <c r="K443" s="65"/>
      <c r="L443" s="65"/>
    </row>
    <row r="444" ht="15.75" customHeight="1">
      <c r="C444" s="65"/>
      <c r="D444" s="65"/>
      <c r="E444" s="65"/>
      <c r="F444" s="65"/>
      <c r="H444" s="65"/>
      <c r="J444" s="65"/>
      <c r="K444" s="65"/>
      <c r="L444" s="65"/>
    </row>
    <row r="445" ht="15.75" customHeight="1">
      <c r="C445" s="65"/>
      <c r="D445" s="65"/>
      <c r="E445" s="65"/>
      <c r="F445" s="65"/>
      <c r="H445" s="65"/>
      <c r="J445" s="65"/>
      <c r="K445" s="65"/>
      <c r="L445" s="65"/>
    </row>
    <row r="446" ht="15.75" customHeight="1">
      <c r="C446" s="65"/>
      <c r="D446" s="65"/>
      <c r="E446" s="65"/>
      <c r="F446" s="65"/>
      <c r="H446" s="65"/>
      <c r="J446" s="65"/>
      <c r="K446" s="65"/>
      <c r="L446" s="65"/>
    </row>
    <row r="447" ht="15.75" customHeight="1">
      <c r="C447" s="65"/>
      <c r="D447" s="65"/>
      <c r="E447" s="65"/>
      <c r="F447" s="65"/>
      <c r="H447" s="65"/>
      <c r="J447" s="65"/>
      <c r="K447" s="65"/>
      <c r="L447" s="65"/>
    </row>
    <row r="448" ht="15.75" customHeight="1">
      <c r="C448" s="65"/>
      <c r="D448" s="65"/>
      <c r="E448" s="65"/>
      <c r="F448" s="65"/>
      <c r="H448" s="65"/>
      <c r="J448" s="65"/>
      <c r="K448" s="65"/>
      <c r="L448" s="65"/>
    </row>
    <row r="449" ht="15.75" customHeight="1">
      <c r="C449" s="65"/>
      <c r="D449" s="65"/>
      <c r="E449" s="65"/>
      <c r="F449" s="65"/>
      <c r="H449" s="65"/>
      <c r="J449" s="65"/>
      <c r="K449" s="65"/>
      <c r="L449" s="65"/>
    </row>
    <row r="450" ht="15.75" customHeight="1">
      <c r="C450" s="65"/>
      <c r="D450" s="65"/>
      <c r="E450" s="65"/>
      <c r="F450" s="65"/>
      <c r="H450" s="65"/>
      <c r="J450" s="65"/>
      <c r="K450" s="65"/>
      <c r="L450" s="65"/>
    </row>
    <row r="451" ht="15.75" customHeight="1">
      <c r="C451" s="65"/>
      <c r="D451" s="65"/>
      <c r="E451" s="65"/>
      <c r="F451" s="65"/>
      <c r="H451" s="65"/>
      <c r="J451" s="65"/>
      <c r="K451" s="65"/>
      <c r="L451" s="65"/>
    </row>
    <row r="452" ht="15.75" customHeight="1">
      <c r="C452" s="65"/>
      <c r="D452" s="65"/>
      <c r="E452" s="65"/>
      <c r="F452" s="65"/>
      <c r="H452" s="65"/>
      <c r="J452" s="65"/>
      <c r="K452" s="65"/>
      <c r="L452" s="65"/>
    </row>
    <row r="453" ht="15.75" customHeight="1">
      <c r="C453" s="65"/>
      <c r="D453" s="65"/>
      <c r="E453" s="65"/>
      <c r="F453" s="65"/>
      <c r="H453" s="65"/>
      <c r="J453" s="65"/>
      <c r="K453" s="65"/>
      <c r="L453" s="65"/>
    </row>
    <row r="454" ht="15.75" customHeight="1">
      <c r="C454" s="65"/>
      <c r="D454" s="65"/>
      <c r="E454" s="65"/>
      <c r="F454" s="65"/>
      <c r="H454" s="65"/>
      <c r="J454" s="65"/>
      <c r="K454" s="65"/>
      <c r="L454" s="65"/>
    </row>
    <row r="455" ht="15.75" customHeight="1">
      <c r="C455" s="65"/>
      <c r="D455" s="65"/>
      <c r="E455" s="65"/>
      <c r="F455" s="65"/>
      <c r="H455" s="65"/>
      <c r="J455" s="65"/>
      <c r="K455" s="65"/>
      <c r="L455" s="65"/>
    </row>
    <row r="456" ht="15.75" customHeight="1">
      <c r="C456" s="65"/>
      <c r="D456" s="65"/>
      <c r="E456" s="65"/>
      <c r="F456" s="65"/>
      <c r="H456" s="65"/>
      <c r="J456" s="65"/>
      <c r="K456" s="65"/>
      <c r="L456" s="65"/>
    </row>
    <row r="457" ht="15.75" customHeight="1">
      <c r="C457" s="65"/>
      <c r="D457" s="65"/>
      <c r="E457" s="65"/>
      <c r="F457" s="65"/>
      <c r="H457" s="65"/>
      <c r="J457" s="65"/>
      <c r="K457" s="65"/>
      <c r="L457" s="65"/>
    </row>
    <row r="458" ht="15.75" customHeight="1">
      <c r="C458" s="65"/>
      <c r="D458" s="65"/>
      <c r="E458" s="65"/>
      <c r="F458" s="65"/>
      <c r="H458" s="65"/>
      <c r="J458" s="65"/>
      <c r="K458" s="65"/>
      <c r="L458" s="65"/>
    </row>
    <row r="459" ht="15.75" customHeight="1">
      <c r="C459" s="65"/>
      <c r="D459" s="65"/>
      <c r="E459" s="65"/>
      <c r="F459" s="65"/>
      <c r="H459" s="65"/>
      <c r="J459" s="65"/>
      <c r="K459" s="65"/>
      <c r="L459" s="65"/>
    </row>
    <row r="460" ht="15.75" customHeight="1">
      <c r="C460" s="65"/>
      <c r="D460" s="65"/>
      <c r="E460" s="65"/>
      <c r="F460" s="65"/>
      <c r="H460" s="65"/>
      <c r="J460" s="65"/>
      <c r="K460" s="65"/>
      <c r="L460" s="65"/>
    </row>
    <row r="461" ht="15.75" customHeight="1">
      <c r="C461" s="65"/>
      <c r="D461" s="65"/>
      <c r="E461" s="65"/>
      <c r="F461" s="65"/>
      <c r="H461" s="65"/>
      <c r="J461" s="65"/>
      <c r="K461" s="65"/>
      <c r="L461" s="65"/>
    </row>
    <row r="462" ht="15.75" customHeight="1">
      <c r="C462" s="65"/>
      <c r="D462" s="65"/>
      <c r="E462" s="65"/>
      <c r="F462" s="65"/>
      <c r="H462" s="65"/>
      <c r="J462" s="65"/>
      <c r="K462" s="65"/>
      <c r="L462" s="65"/>
    </row>
    <row r="463" ht="15.75" customHeight="1">
      <c r="C463" s="65"/>
      <c r="D463" s="65"/>
      <c r="E463" s="65"/>
      <c r="F463" s="65"/>
      <c r="H463" s="65"/>
      <c r="J463" s="65"/>
      <c r="K463" s="65"/>
      <c r="L463" s="65"/>
    </row>
    <row r="464" ht="15.75" customHeight="1">
      <c r="C464" s="65"/>
      <c r="D464" s="65"/>
      <c r="E464" s="65"/>
      <c r="F464" s="65"/>
      <c r="H464" s="65"/>
      <c r="J464" s="65"/>
      <c r="K464" s="65"/>
      <c r="L464" s="65"/>
    </row>
    <row r="465" ht="15.75" customHeight="1">
      <c r="C465" s="65"/>
      <c r="D465" s="65"/>
      <c r="E465" s="65"/>
      <c r="F465" s="65"/>
      <c r="H465" s="65"/>
      <c r="J465" s="65"/>
      <c r="K465" s="65"/>
      <c r="L465" s="65"/>
    </row>
    <row r="466" ht="15.75" customHeight="1">
      <c r="C466" s="65"/>
      <c r="D466" s="65"/>
      <c r="E466" s="65"/>
      <c r="F466" s="65"/>
      <c r="H466" s="65"/>
      <c r="J466" s="65"/>
      <c r="K466" s="65"/>
      <c r="L466" s="65"/>
    </row>
    <row r="467" ht="15.75" customHeight="1">
      <c r="C467" s="65"/>
      <c r="D467" s="65"/>
      <c r="E467" s="65"/>
      <c r="F467" s="65"/>
      <c r="H467" s="65"/>
      <c r="J467" s="65"/>
      <c r="K467" s="65"/>
      <c r="L467" s="65"/>
    </row>
    <row r="468" ht="15.75" customHeight="1">
      <c r="C468" s="65"/>
      <c r="D468" s="65"/>
      <c r="E468" s="65"/>
      <c r="F468" s="65"/>
      <c r="H468" s="65"/>
      <c r="J468" s="65"/>
      <c r="K468" s="65"/>
      <c r="L468" s="65"/>
    </row>
    <row r="469" ht="15.75" customHeight="1">
      <c r="C469" s="65"/>
      <c r="D469" s="65"/>
      <c r="E469" s="65"/>
      <c r="F469" s="65"/>
      <c r="H469" s="65"/>
      <c r="J469" s="65"/>
      <c r="K469" s="65"/>
      <c r="L469" s="65"/>
    </row>
    <row r="470" ht="15.75" customHeight="1">
      <c r="C470" s="65"/>
      <c r="D470" s="65"/>
      <c r="E470" s="65"/>
      <c r="F470" s="65"/>
      <c r="H470" s="65"/>
      <c r="J470" s="65"/>
      <c r="K470" s="65"/>
      <c r="L470" s="65"/>
    </row>
    <row r="471" ht="15.75" customHeight="1">
      <c r="C471" s="65"/>
      <c r="D471" s="65"/>
      <c r="E471" s="65"/>
      <c r="F471" s="65"/>
      <c r="H471" s="65"/>
      <c r="J471" s="65"/>
      <c r="K471" s="65"/>
      <c r="L471" s="65"/>
    </row>
    <row r="472" ht="15.75" customHeight="1">
      <c r="C472" s="65"/>
      <c r="D472" s="65"/>
      <c r="E472" s="65"/>
      <c r="F472" s="65"/>
      <c r="H472" s="65"/>
      <c r="J472" s="65"/>
      <c r="K472" s="65"/>
      <c r="L472" s="65"/>
    </row>
    <row r="473" ht="15.75" customHeight="1">
      <c r="C473" s="65"/>
      <c r="D473" s="65"/>
      <c r="E473" s="65"/>
      <c r="F473" s="65"/>
      <c r="H473" s="65"/>
      <c r="J473" s="65"/>
      <c r="K473" s="65"/>
      <c r="L473" s="65"/>
    </row>
    <row r="474" ht="15.75" customHeight="1">
      <c r="C474" s="65"/>
      <c r="D474" s="65"/>
      <c r="E474" s="65"/>
      <c r="F474" s="65"/>
      <c r="H474" s="65"/>
      <c r="J474" s="65"/>
      <c r="K474" s="65"/>
      <c r="L474" s="65"/>
    </row>
    <row r="475" ht="15.75" customHeight="1">
      <c r="C475" s="65"/>
      <c r="D475" s="65"/>
      <c r="E475" s="65"/>
      <c r="F475" s="65"/>
      <c r="H475" s="65"/>
      <c r="J475" s="65"/>
      <c r="K475" s="65"/>
      <c r="L475" s="65"/>
    </row>
    <row r="476" ht="15.75" customHeight="1">
      <c r="C476" s="65"/>
      <c r="D476" s="65"/>
      <c r="E476" s="65"/>
      <c r="F476" s="65"/>
      <c r="H476" s="65"/>
      <c r="J476" s="65"/>
      <c r="K476" s="65"/>
      <c r="L476" s="65"/>
    </row>
    <row r="477" ht="15.75" customHeight="1">
      <c r="C477" s="65"/>
      <c r="D477" s="65"/>
      <c r="E477" s="65"/>
      <c r="F477" s="65"/>
      <c r="H477" s="65"/>
      <c r="J477" s="65"/>
      <c r="K477" s="65"/>
      <c r="L477" s="65"/>
    </row>
    <row r="478" ht="15.75" customHeight="1">
      <c r="C478" s="65"/>
      <c r="D478" s="65"/>
      <c r="E478" s="65"/>
      <c r="F478" s="65"/>
      <c r="H478" s="65"/>
      <c r="J478" s="65"/>
      <c r="K478" s="65"/>
      <c r="L478" s="65"/>
    </row>
    <row r="479" ht="15.75" customHeight="1">
      <c r="C479" s="65"/>
      <c r="D479" s="65"/>
      <c r="E479" s="65"/>
      <c r="F479" s="65"/>
      <c r="H479" s="65"/>
      <c r="J479" s="65"/>
      <c r="K479" s="65"/>
      <c r="L479" s="65"/>
    </row>
    <row r="480" ht="15.75" customHeight="1">
      <c r="C480" s="65"/>
      <c r="D480" s="65"/>
      <c r="E480" s="65"/>
      <c r="F480" s="65"/>
      <c r="H480" s="65"/>
      <c r="J480" s="65"/>
      <c r="K480" s="65"/>
      <c r="L480" s="65"/>
    </row>
    <row r="481" ht="15.75" customHeight="1">
      <c r="C481" s="65"/>
      <c r="D481" s="65"/>
      <c r="E481" s="65"/>
      <c r="F481" s="65"/>
      <c r="H481" s="65"/>
      <c r="J481" s="65"/>
      <c r="K481" s="65"/>
      <c r="L481" s="65"/>
    </row>
    <row r="482" ht="15.75" customHeight="1">
      <c r="C482" s="65"/>
      <c r="D482" s="65"/>
      <c r="E482" s="65"/>
      <c r="F482" s="65"/>
      <c r="H482" s="65"/>
      <c r="J482" s="65"/>
      <c r="K482" s="65"/>
      <c r="L482" s="65"/>
    </row>
    <row r="483" ht="15.75" customHeight="1">
      <c r="C483" s="65"/>
      <c r="D483" s="65"/>
      <c r="E483" s="65"/>
      <c r="F483" s="65"/>
      <c r="H483" s="65"/>
      <c r="J483" s="65"/>
      <c r="K483" s="65"/>
      <c r="L483" s="65"/>
    </row>
    <row r="484" ht="15.75" customHeight="1">
      <c r="C484" s="65"/>
      <c r="D484" s="65"/>
      <c r="E484" s="65"/>
      <c r="F484" s="65"/>
      <c r="H484" s="65"/>
      <c r="J484" s="65"/>
      <c r="K484" s="65"/>
      <c r="L484" s="65"/>
    </row>
    <row r="485" ht="15.75" customHeight="1">
      <c r="C485" s="65"/>
      <c r="D485" s="65"/>
      <c r="E485" s="65"/>
      <c r="F485" s="65"/>
      <c r="H485" s="65"/>
      <c r="J485" s="65"/>
      <c r="K485" s="65"/>
      <c r="L485" s="65"/>
    </row>
    <row r="486" ht="15.75" customHeight="1">
      <c r="C486" s="65"/>
      <c r="D486" s="65"/>
      <c r="E486" s="65"/>
      <c r="F486" s="65"/>
      <c r="H486" s="65"/>
      <c r="J486" s="65"/>
      <c r="K486" s="65"/>
      <c r="L486" s="65"/>
    </row>
    <row r="487" ht="15.75" customHeight="1">
      <c r="C487" s="65"/>
      <c r="D487" s="65"/>
      <c r="E487" s="65"/>
      <c r="F487" s="65"/>
      <c r="H487" s="65"/>
      <c r="J487" s="65"/>
      <c r="K487" s="65"/>
      <c r="L487" s="65"/>
    </row>
    <row r="488" ht="15.75" customHeight="1">
      <c r="C488" s="65"/>
      <c r="D488" s="65"/>
      <c r="E488" s="65"/>
      <c r="F488" s="65"/>
      <c r="H488" s="65"/>
      <c r="J488" s="65"/>
      <c r="K488" s="65"/>
      <c r="L488" s="65"/>
    </row>
    <row r="489" ht="15.75" customHeight="1">
      <c r="C489" s="65"/>
      <c r="D489" s="65"/>
      <c r="E489" s="65"/>
      <c r="F489" s="65"/>
      <c r="H489" s="65"/>
      <c r="J489" s="65"/>
      <c r="K489" s="65"/>
      <c r="L489" s="65"/>
    </row>
    <row r="490" ht="15.75" customHeight="1">
      <c r="C490" s="65"/>
      <c r="D490" s="65"/>
      <c r="E490" s="65"/>
      <c r="F490" s="65"/>
      <c r="H490" s="65"/>
      <c r="J490" s="65"/>
      <c r="K490" s="65"/>
      <c r="L490" s="65"/>
    </row>
    <row r="491" ht="15.75" customHeight="1">
      <c r="C491" s="65"/>
      <c r="D491" s="65"/>
      <c r="E491" s="65"/>
      <c r="F491" s="65"/>
      <c r="H491" s="65"/>
      <c r="J491" s="65"/>
      <c r="K491" s="65"/>
      <c r="L491" s="65"/>
    </row>
    <row r="492" ht="15.75" customHeight="1">
      <c r="C492" s="65"/>
      <c r="D492" s="65"/>
      <c r="E492" s="65"/>
      <c r="F492" s="65"/>
      <c r="H492" s="65"/>
      <c r="J492" s="65"/>
      <c r="K492" s="65"/>
      <c r="L492" s="65"/>
    </row>
    <row r="493" ht="15.75" customHeight="1">
      <c r="C493" s="65"/>
      <c r="D493" s="65"/>
      <c r="E493" s="65"/>
      <c r="F493" s="65"/>
      <c r="H493" s="65"/>
      <c r="J493" s="65"/>
      <c r="K493" s="65"/>
      <c r="L493" s="65"/>
    </row>
    <row r="494" ht="15.75" customHeight="1">
      <c r="C494" s="65"/>
      <c r="D494" s="65"/>
      <c r="E494" s="65"/>
      <c r="F494" s="65"/>
      <c r="H494" s="65"/>
      <c r="J494" s="65"/>
      <c r="K494" s="65"/>
      <c r="L494" s="65"/>
    </row>
    <row r="495" ht="15.75" customHeight="1">
      <c r="C495" s="65"/>
      <c r="D495" s="65"/>
      <c r="E495" s="65"/>
      <c r="F495" s="65"/>
      <c r="H495" s="65"/>
      <c r="J495" s="65"/>
      <c r="K495" s="65"/>
      <c r="L495" s="65"/>
    </row>
    <row r="496" ht="15.75" customHeight="1">
      <c r="C496" s="65"/>
      <c r="D496" s="65"/>
      <c r="E496" s="65"/>
      <c r="F496" s="65"/>
      <c r="H496" s="65"/>
      <c r="J496" s="65"/>
      <c r="K496" s="65"/>
      <c r="L496" s="65"/>
    </row>
    <row r="497" ht="15.75" customHeight="1">
      <c r="C497" s="65"/>
      <c r="D497" s="65"/>
      <c r="E497" s="65"/>
      <c r="F497" s="65"/>
      <c r="H497" s="65"/>
      <c r="J497" s="65"/>
      <c r="K497" s="65"/>
      <c r="L497" s="65"/>
    </row>
    <row r="498" ht="15.75" customHeight="1">
      <c r="C498" s="65"/>
      <c r="D498" s="65"/>
      <c r="E498" s="65"/>
      <c r="F498" s="65"/>
      <c r="H498" s="65"/>
      <c r="J498" s="65"/>
      <c r="K498" s="65"/>
      <c r="L498" s="65"/>
    </row>
    <row r="499" ht="15.75" customHeight="1">
      <c r="C499" s="65"/>
      <c r="D499" s="65"/>
      <c r="E499" s="65"/>
      <c r="F499" s="65"/>
      <c r="H499" s="65"/>
      <c r="J499" s="65"/>
      <c r="K499" s="65"/>
      <c r="L499" s="65"/>
    </row>
    <row r="500" ht="15.75" customHeight="1">
      <c r="C500" s="65"/>
      <c r="D500" s="65"/>
      <c r="E500" s="65"/>
      <c r="F500" s="65"/>
      <c r="H500" s="65"/>
      <c r="J500" s="65"/>
      <c r="K500" s="65"/>
      <c r="L500" s="65"/>
    </row>
    <row r="501" ht="15.75" customHeight="1">
      <c r="C501" s="65"/>
      <c r="D501" s="65"/>
      <c r="E501" s="65"/>
      <c r="F501" s="65"/>
      <c r="H501" s="65"/>
      <c r="J501" s="65"/>
      <c r="K501" s="65"/>
      <c r="L501" s="65"/>
    </row>
    <row r="502" ht="15.75" customHeight="1">
      <c r="C502" s="65"/>
      <c r="D502" s="65"/>
      <c r="E502" s="65"/>
      <c r="F502" s="65"/>
      <c r="H502" s="65"/>
      <c r="J502" s="65"/>
      <c r="K502" s="65"/>
      <c r="L502" s="65"/>
    </row>
    <row r="503" ht="15.75" customHeight="1">
      <c r="C503" s="65"/>
      <c r="D503" s="65"/>
      <c r="E503" s="65"/>
      <c r="F503" s="65"/>
      <c r="H503" s="65"/>
      <c r="J503" s="65"/>
      <c r="K503" s="65"/>
      <c r="L503" s="65"/>
    </row>
    <row r="504" ht="15.75" customHeight="1">
      <c r="C504" s="65"/>
      <c r="D504" s="65"/>
      <c r="E504" s="65"/>
      <c r="F504" s="65"/>
      <c r="H504" s="65"/>
      <c r="J504" s="65"/>
      <c r="K504" s="65"/>
      <c r="L504" s="65"/>
    </row>
    <row r="505" ht="15.75" customHeight="1">
      <c r="C505" s="65"/>
      <c r="D505" s="65"/>
      <c r="E505" s="65"/>
      <c r="F505" s="65"/>
      <c r="H505" s="65"/>
      <c r="J505" s="65"/>
      <c r="K505" s="65"/>
      <c r="L505" s="65"/>
    </row>
    <row r="506" ht="15.75" customHeight="1">
      <c r="C506" s="65"/>
      <c r="D506" s="65"/>
      <c r="E506" s="65"/>
      <c r="F506" s="65"/>
      <c r="H506" s="65"/>
      <c r="J506" s="65"/>
      <c r="K506" s="65"/>
      <c r="L506" s="65"/>
    </row>
    <row r="507" ht="15.75" customHeight="1">
      <c r="C507" s="65"/>
      <c r="D507" s="65"/>
      <c r="E507" s="65"/>
      <c r="F507" s="65"/>
      <c r="H507" s="65"/>
      <c r="J507" s="65"/>
      <c r="K507" s="65"/>
      <c r="L507" s="65"/>
    </row>
    <row r="508" ht="15.75" customHeight="1">
      <c r="C508" s="65"/>
      <c r="D508" s="65"/>
      <c r="E508" s="65"/>
      <c r="F508" s="65"/>
      <c r="H508" s="65"/>
      <c r="J508" s="65"/>
      <c r="K508" s="65"/>
      <c r="L508" s="65"/>
    </row>
    <row r="509" ht="15.75" customHeight="1">
      <c r="C509" s="65"/>
      <c r="D509" s="65"/>
      <c r="E509" s="65"/>
      <c r="F509" s="65"/>
      <c r="H509" s="65"/>
      <c r="J509" s="65"/>
      <c r="K509" s="65"/>
      <c r="L509" s="65"/>
    </row>
    <row r="510" ht="15.75" customHeight="1">
      <c r="C510" s="65"/>
      <c r="D510" s="65"/>
      <c r="E510" s="65"/>
      <c r="F510" s="65"/>
      <c r="H510" s="65"/>
      <c r="J510" s="65"/>
      <c r="K510" s="65"/>
      <c r="L510" s="65"/>
    </row>
    <row r="511" ht="15.75" customHeight="1">
      <c r="C511" s="65"/>
      <c r="D511" s="65"/>
      <c r="E511" s="65"/>
      <c r="F511" s="65"/>
      <c r="H511" s="65"/>
      <c r="J511" s="65"/>
      <c r="K511" s="65"/>
      <c r="L511" s="65"/>
    </row>
    <row r="512" ht="15.75" customHeight="1">
      <c r="C512" s="65"/>
      <c r="D512" s="65"/>
      <c r="E512" s="65"/>
      <c r="F512" s="65"/>
      <c r="H512" s="65"/>
      <c r="J512" s="65"/>
      <c r="K512" s="65"/>
      <c r="L512" s="65"/>
    </row>
    <row r="513" ht="15.75" customHeight="1">
      <c r="C513" s="65"/>
      <c r="D513" s="65"/>
      <c r="E513" s="65"/>
      <c r="F513" s="65"/>
      <c r="H513" s="65"/>
      <c r="J513" s="65"/>
      <c r="K513" s="65"/>
      <c r="L513" s="65"/>
    </row>
    <row r="514" ht="15.75" customHeight="1">
      <c r="C514" s="65"/>
      <c r="D514" s="65"/>
      <c r="E514" s="65"/>
      <c r="F514" s="65"/>
      <c r="H514" s="65"/>
      <c r="J514" s="65"/>
      <c r="K514" s="65"/>
      <c r="L514" s="65"/>
    </row>
    <row r="515" ht="15.75" customHeight="1">
      <c r="C515" s="65"/>
      <c r="D515" s="65"/>
      <c r="E515" s="65"/>
      <c r="F515" s="65"/>
      <c r="H515" s="65"/>
      <c r="J515" s="65"/>
      <c r="K515" s="65"/>
      <c r="L515" s="65"/>
    </row>
    <row r="516" ht="15.75" customHeight="1">
      <c r="C516" s="65"/>
      <c r="D516" s="65"/>
      <c r="E516" s="65"/>
      <c r="F516" s="65"/>
      <c r="H516" s="65"/>
      <c r="J516" s="65"/>
      <c r="K516" s="65"/>
      <c r="L516" s="65"/>
    </row>
    <row r="517" ht="15.75" customHeight="1">
      <c r="C517" s="65"/>
      <c r="D517" s="65"/>
      <c r="E517" s="65"/>
      <c r="F517" s="65"/>
      <c r="H517" s="65"/>
      <c r="J517" s="65"/>
      <c r="K517" s="65"/>
      <c r="L517" s="65"/>
    </row>
    <row r="518" ht="15.75" customHeight="1">
      <c r="C518" s="65"/>
      <c r="D518" s="65"/>
      <c r="E518" s="65"/>
      <c r="F518" s="65"/>
      <c r="H518" s="65"/>
      <c r="J518" s="65"/>
      <c r="K518" s="65"/>
      <c r="L518" s="65"/>
    </row>
    <row r="519" ht="15.75" customHeight="1">
      <c r="C519" s="65"/>
      <c r="D519" s="65"/>
      <c r="E519" s="65"/>
      <c r="F519" s="65"/>
      <c r="H519" s="65"/>
      <c r="J519" s="65"/>
      <c r="K519" s="65"/>
      <c r="L519" s="65"/>
    </row>
    <row r="520" ht="15.75" customHeight="1">
      <c r="C520" s="65"/>
      <c r="D520" s="65"/>
      <c r="E520" s="65"/>
      <c r="F520" s="65"/>
      <c r="H520" s="65"/>
      <c r="J520" s="65"/>
      <c r="K520" s="65"/>
      <c r="L520" s="65"/>
    </row>
    <row r="521" ht="15.75" customHeight="1">
      <c r="C521" s="65"/>
      <c r="D521" s="65"/>
      <c r="E521" s="65"/>
      <c r="F521" s="65"/>
      <c r="H521" s="65"/>
      <c r="J521" s="65"/>
      <c r="K521" s="65"/>
      <c r="L521" s="65"/>
    </row>
    <row r="522" ht="15.75" customHeight="1">
      <c r="C522" s="65"/>
      <c r="D522" s="65"/>
      <c r="E522" s="65"/>
      <c r="F522" s="65"/>
      <c r="H522" s="65"/>
      <c r="J522" s="65"/>
      <c r="K522" s="65"/>
      <c r="L522" s="65"/>
    </row>
    <row r="523" ht="15.75" customHeight="1">
      <c r="C523" s="65"/>
      <c r="D523" s="65"/>
      <c r="E523" s="65"/>
      <c r="F523" s="65"/>
      <c r="H523" s="65"/>
      <c r="J523" s="65"/>
      <c r="K523" s="65"/>
      <c r="L523" s="65"/>
    </row>
    <row r="524" ht="15.75" customHeight="1">
      <c r="C524" s="65"/>
      <c r="D524" s="65"/>
      <c r="E524" s="65"/>
      <c r="F524" s="65"/>
      <c r="H524" s="65"/>
      <c r="J524" s="65"/>
      <c r="K524" s="65"/>
      <c r="L524" s="65"/>
    </row>
    <row r="525" ht="15.75" customHeight="1">
      <c r="C525" s="65"/>
      <c r="D525" s="65"/>
      <c r="E525" s="65"/>
      <c r="F525" s="65"/>
      <c r="H525" s="65"/>
      <c r="J525" s="65"/>
      <c r="K525" s="65"/>
      <c r="L525" s="65"/>
    </row>
    <row r="526" ht="15.75" customHeight="1">
      <c r="C526" s="65"/>
      <c r="D526" s="65"/>
      <c r="E526" s="65"/>
      <c r="F526" s="65"/>
      <c r="H526" s="65"/>
      <c r="J526" s="65"/>
      <c r="K526" s="65"/>
      <c r="L526" s="65"/>
    </row>
    <row r="527" ht="15.75" customHeight="1">
      <c r="C527" s="65"/>
      <c r="D527" s="65"/>
      <c r="E527" s="65"/>
      <c r="F527" s="65"/>
      <c r="H527" s="65"/>
      <c r="J527" s="65"/>
      <c r="K527" s="65"/>
      <c r="L527" s="65"/>
    </row>
    <row r="528" ht="15.75" customHeight="1">
      <c r="C528" s="65"/>
      <c r="D528" s="65"/>
      <c r="E528" s="65"/>
      <c r="F528" s="65"/>
      <c r="H528" s="65"/>
      <c r="J528" s="65"/>
      <c r="K528" s="65"/>
      <c r="L528" s="65"/>
    </row>
    <row r="529" ht="15.75" customHeight="1">
      <c r="C529" s="65"/>
      <c r="D529" s="65"/>
      <c r="E529" s="65"/>
      <c r="F529" s="65"/>
      <c r="H529" s="65"/>
      <c r="J529" s="65"/>
      <c r="K529" s="65"/>
      <c r="L529" s="65"/>
    </row>
    <row r="530" ht="15.75" customHeight="1">
      <c r="C530" s="65"/>
      <c r="D530" s="65"/>
      <c r="E530" s="65"/>
      <c r="F530" s="65"/>
      <c r="H530" s="65"/>
      <c r="J530" s="65"/>
      <c r="K530" s="65"/>
      <c r="L530" s="65"/>
    </row>
    <row r="531" ht="15.75" customHeight="1">
      <c r="C531" s="65"/>
      <c r="D531" s="65"/>
      <c r="E531" s="65"/>
      <c r="F531" s="65"/>
      <c r="H531" s="65"/>
      <c r="J531" s="65"/>
      <c r="K531" s="65"/>
      <c r="L531" s="65"/>
    </row>
    <row r="532" ht="15.75" customHeight="1">
      <c r="C532" s="65"/>
      <c r="D532" s="65"/>
      <c r="E532" s="65"/>
      <c r="F532" s="65"/>
      <c r="H532" s="65"/>
      <c r="J532" s="65"/>
      <c r="K532" s="65"/>
      <c r="L532" s="65"/>
    </row>
    <row r="533" ht="15.75" customHeight="1">
      <c r="C533" s="65"/>
      <c r="D533" s="65"/>
      <c r="E533" s="65"/>
      <c r="F533" s="65"/>
      <c r="H533" s="65"/>
      <c r="J533" s="65"/>
      <c r="K533" s="65"/>
      <c r="L533" s="65"/>
    </row>
    <row r="534" ht="15.75" customHeight="1">
      <c r="C534" s="65"/>
      <c r="D534" s="65"/>
      <c r="E534" s="65"/>
      <c r="F534" s="65"/>
      <c r="H534" s="65"/>
      <c r="J534" s="65"/>
      <c r="K534" s="65"/>
      <c r="L534" s="65"/>
    </row>
    <row r="535" ht="15.75" customHeight="1">
      <c r="C535" s="65"/>
      <c r="D535" s="65"/>
      <c r="E535" s="65"/>
      <c r="F535" s="65"/>
      <c r="H535" s="65"/>
      <c r="J535" s="65"/>
      <c r="K535" s="65"/>
      <c r="L535" s="65"/>
    </row>
    <row r="536" ht="15.75" customHeight="1">
      <c r="C536" s="65"/>
      <c r="D536" s="65"/>
      <c r="E536" s="65"/>
      <c r="F536" s="65"/>
      <c r="H536" s="65"/>
      <c r="J536" s="65"/>
      <c r="K536" s="65"/>
      <c r="L536" s="65"/>
    </row>
    <row r="537" ht="15.75" customHeight="1">
      <c r="C537" s="65"/>
      <c r="D537" s="65"/>
      <c r="E537" s="65"/>
      <c r="F537" s="65"/>
      <c r="H537" s="65"/>
      <c r="J537" s="65"/>
      <c r="K537" s="65"/>
      <c r="L537" s="65"/>
    </row>
    <row r="538" ht="15.75" customHeight="1">
      <c r="C538" s="65"/>
      <c r="D538" s="65"/>
      <c r="E538" s="65"/>
      <c r="F538" s="65"/>
      <c r="H538" s="65"/>
      <c r="J538" s="65"/>
      <c r="K538" s="65"/>
      <c r="L538" s="65"/>
    </row>
    <row r="539" ht="15.75" customHeight="1">
      <c r="C539" s="65"/>
      <c r="D539" s="65"/>
      <c r="E539" s="65"/>
      <c r="F539" s="65"/>
      <c r="H539" s="65"/>
      <c r="J539" s="65"/>
      <c r="K539" s="65"/>
      <c r="L539" s="65"/>
    </row>
    <row r="540" ht="15.75" customHeight="1">
      <c r="C540" s="65"/>
      <c r="D540" s="65"/>
      <c r="E540" s="65"/>
      <c r="F540" s="65"/>
      <c r="H540" s="65"/>
      <c r="J540" s="65"/>
      <c r="K540" s="65"/>
      <c r="L540" s="65"/>
    </row>
    <row r="541" ht="15.75" customHeight="1">
      <c r="C541" s="65"/>
      <c r="D541" s="65"/>
      <c r="E541" s="65"/>
      <c r="F541" s="65"/>
      <c r="H541" s="65"/>
      <c r="J541" s="65"/>
      <c r="K541" s="65"/>
      <c r="L541" s="65"/>
    </row>
    <row r="542" ht="15.75" customHeight="1">
      <c r="C542" s="65"/>
      <c r="D542" s="65"/>
      <c r="E542" s="65"/>
      <c r="F542" s="65"/>
      <c r="H542" s="65"/>
      <c r="J542" s="65"/>
      <c r="K542" s="65"/>
      <c r="L542" s="65"/>
    </row>
    <row r="543" ht="15.75" customHeight="1">
      <c r="C543" s="65"/>
      <c r="D543" s="65"/>
      <c r="E543" s="65"/>
      <c r="F543" s="65"/>
      <c r="H543" s="65"/>
      <c r="J543" s="65"/>
      <c r="K543" s="65"/>
      <c r="L543" s="65"/>
    </row>
    <row r="544" ht="15.75" customHeight="1">
      <c r="C544" s="65"/>
      <c r="D544" s="65"/>
      <c r="E544" s="65"/>
      <c r="F544" s="65"/>
      <c r="H544" s="65"/>
      <c r="J544" s="65"/>
      <c r="K544" s="65"/>
      <c r="L544" s="65"/>
    </row>
    <row r="545" ht="15.75" customHeight="1">
      <c r="C545" s="65"/>
      <c r="D545" s="65"/>
      <c r="E545" s="65"/>
      <c r="F545" s="65"/>
      <c r="H545" s="65"/>
      <c r="J545" s="65"/>
      <c r="K545" s="65"/>
      <c r="L545" s="65"/>
    </row>
    <row r="546" ht="15.75" customHeight="1">
      <c r="C546" s="65"/>
      <c r="D546" s="65"/>
      <c r="E546" s="65"/>
      <c r="F546" s="65"/>
      <c r="H546" s="65"/>
      <c r="J546" s="65"/>
      <c r="K546" s="65"/>
      <c r="L546" s="65"/>
    </row>
    <row r="547" ht="15.75" customHeight="1">
      <c r="C547" s="65"/>
      <c r="D547" s="65"/>
      <c r="E547" s="65"/>
      <c r="F547" s="65"/>
      <c r="H547" s="65"/>
      <c r="J547" s="65"/>
      <c r="K547" s="65"/>
      <c r="L547" s="65"/>
    </row>
    <row r="548" ht="15.75" customHeight="1">
      <c r="C548" s="65"/>
      <c r="D548" s="65"/>
      <c r="E548" s="65"/>
      <c r="F548" s="65"/>
      <c r="H548" s="65"/>
      <c r="J548" s="65"/>
      <c r="K548" s="65"/>
      <c r="L548" s="65"/>
    </row>
    <row r="549" ht="15.75" customHeight="1">
      <c r="C549" s="65"/>
      <c r="D549" s="65"/>
      <c r="E549" s="65"/>
      <c r="F549" s="65"/>
      <c r="H549" s="65"/>
      <c r="J549" s="65"/>
      <c r="K549" s="65"/>
      <c r="L549" s="65"/>
    </row>
    <row r="550" ht="15.75" customHeight="1">
      <c r="C550" s="65"/>
      <c r="D550" s="65"/>
      <c r="E550" s="65"/>
      <c r="F550" s="65"/>
      <c r="H550" s="65"/>
      <c r="J550" s="65"/>
      <c r="K550" s="65"/>
      <c r="L550" s="65"/>
    </row>
    <row r="551" ht="15.75" customHeight="1">
      <c r="C551" s="65"/>
      <c r="D551" s="65"/>
      <c r="E551" s="65"/>
      <c r="F551" s="65"/>
      <c r="H551" s="65"/>
      <c r="J551" s="65"/>
      <c r="K551" s="65"/>
      <c r="L551" s="65"/>
    </row>
    <row r="552" ht="15.75" customHeight="1">
      <c r="C552" s="65"/>
      <c r="D552" s="65"/>
      <c r="E552" s="65"/>
      <c r="F552" s="65"/>
      <c r="H552" s="65"/>
      <c r="J552" s="65"/>
      <c r="K552" s="65"/>
      <c r="L552" s="65"/>
    </row>
    <row r="553" ht="15.75" customHeight="1">
      <c r="C553" s="65"/>
      <c r="D553" s="65"/>
      <c r="E553" s="65"/>
      <c r="F553" s="65"/>
      <c r="H553" s="65"/>
      <c r="J553" s="65"/>
      <c r="K553" s="65"/>
      <c r="L553" s="65"/>
    </row>
    <row r="554" ht="15.75" customHeight="1">
      <c r="C554" s="65"/>
      <c r="D554" s="65"/>
      <c r="E554" s="65"/>
      <c r="F554" s="65"/>
      <c r="H554" s="65"/>
      <c r="J554" s="65"/>
      <c r="K554" s="65"/>
      <c r="L554" s="65"/>
    </row>
    <row r="555" ht="15.75" customHeight="1">
      <c r="C555" s="65"/>
      <c r="D555" s="65"/>
      <c r="E555" s="65"/>
      <c r="F555" s="65"/>
      <c r="H555" s="65"/>
      <c r="J555" s="65"/>
      <c r="K555" s="65"/>
      <c r="L555" s="65"/>
    </row>
    <row r="556" ht="15.75" customHeight="1">
      <c r="C556" s="65"/>
      <c r="D556" s="65"/>
      <c r="E556" s="65"/>
      <c r="F556" s="65"/>
      <c r="H556" s="65"/>
      <c r="J556" s="65"/>
      <c r="K556" s="65"/>
      <c r="L556" s="65"/>
    </row>
    <row r="557" ht="15.75" customHeight="1">
      <c r="C557" s="65"/>
      <c r="D557" s="65"/>
      <c r="E557" s="65"/>
      <c r="F557" s="65"/>
      <c r="H557" s="65"/>
      <c r="J557" s="65"/>
      <c r="K557" s="65"/>
      <c r="L557" s="65"/>
    </row>
    <row r="558" ht="15.75" customHeight="1">
      <c r="C558" s="65"/>
      <c r="D558" s="65"/>
      <c r="E558" s="65"/>
      <c r="F558" s="65"/>
      <c r="H558" s="65"/>
      <c r="J558" s="65"/>
      <c r="K558" s="65"/>
      <c r="L558" s="65"/>
    </row>
    <row r="559" ht="15.75" customHeight="1">
      <c r="C559" s="65"/>
      <c r="D559" s="65"/>
      <c r="E559" s="65"/>
      <c r="F559" s="65"/>
      <c r="H559" s="65"/>
      <c r="J559" s="65"/>
      <c r="K559" s="65"/>
      <c r="L559" s="65"/>
    </row>
    <row r="560" ht="15.75" customHeight="1">
      <c r="C560" s="65"/>
      <c r="D560" s="65"/>
      <c r="E560" s="65"/>
      <c r="F560" s="65"/>
      <c r="H560" s="65"/>
      <c r="J560" s="65"/>
      <c r="K560" s="65"/>
      <c r="L560" s="65"/>
    </row>
    <row r="561" ht="15.75" customHeight="1">
      <c r="C561" s="65"/>
      <c r="D561" s="65"/>
      <c r="E561" s="65"/>
      <c r="F561" s="65"/>
      <c r="H561" s="65"/>
      <c r="J561" s="65"/>
      <c r="K561" s="65"/>
      <c r="L561" s="65"/>
    </row>
    <row r="562" ht="15.75" customHeight="1">
      <c r="C562" s="65"/>
      <c r="D562" s="65"/>
      <c r="E562" s="65"/>
      <c r="F562" s="65"/>
      <c r="H562" s="65"/>
      <c r="J562" s="65"/>
      <c r="K562" s="65"/>
      <c r="L562" s="65"/>
    </row>
    <row r="563" ht="15.75" customHeight="1">
      <c r="C563" s="65"/>
      <c r="D563" s="65"/>
      <c r="E563" s="65"/>
      <c r="F563" s="65"/>
      <c r="H563" s="65"/>
      <c r="J563" s="65"/>
      <c r="K563" s="65"/>
      <c r="L563" s="65"/>
    </row>
    <row r="564" ht="15.75" customHeight="1">
      <c r="C564" s="65"/>
      <c r="D564" s="65"/>
      <c r="E564" s="65"/>
      <c r="F564" s="65"/>
      <c r="H564" s="65"/>
      <c r="J564" s="65"/>
      <c r="K564" s="65"/>
      <c r="L564" s="65"/>
    </row>
    <row r="565" ht="15.75" customHeight="1">
      <c r="C565" s="65"/>
      <c r="D565" s="65"/>
      <c r="E565" s="65"/>
      <c r="F565" s="65"/>
      <c r="H565" s="65"/>
      <c r="J565" s="65"/>
      <c r="K565" s="65"/>
      <c r="L565" s="65"/>
    </row>
    <row r="566" ht="15.75" customHeight="1">
      <c r="C566" s="65"/>
      <c r="D566" s="65"/>
      <c r="E566" s="65"/>
      <c r="F566" s="65"/>
      <c r="H566" s="65"/>
      <c r="J566" s="65"/>
      <c r="K566" s="65"/>
      <c r="L566" s="65"/>
    </row>
    <row r="567" ht="15.75" customHeight="1">
      <c r="C567" s="65"/>
      <c r="D567" s="65"/>
      <c r="E567" s="65"/>
      <c r="F567" s="65"/>
      <c r="H567" s="65"/>
      <c r="J567" s="65"/>
      <c r="K567" s="65"/>
      <c r="L567" s="65"/>
    </row>
    <row r="568" ht="15.75" customHeight="1">
      <c r="C568" s="65"/>
      <c r="D568" s="65"/>
      <c r="E568" s="65"/>
      <c r="F568" s="65"/>
      <c r="H568" s="65"/>
      <c r="J568" s="65"/>
      <c r="K568" s="65"/>
      <c r="L568" s="65"/>
    </row>
    <row r="569" ht="15.75" customHeight="1">
      <c r="C569" s="65"/>
      <c r="D569" s="65"/>
      <c r="E569" s="65"/>
      <c r="F569" s="65"/>
      <c r="H569" s="65"/>
      <c r="J569" s="65"/>
      <c r="K569" s="65"/>
      <c r="L569" s="65"/>
    </row>
    <row r="570" ht="15.75" customHeight="1">
      <c r="C570" s="65"/>
      <c r="D570" s="65"/>
      <c r="E570" s="65"/>
      <c r="F570" s="65"/>
      <c r="H570" s="65"/>
      <c r="J570" s="65"/>
      <c r="K570" s="65"/>
      <c r="L570" s="65"/>
    </row>
    <row r="571" ht="15.75" customHeight="1">
      <c r="C571" s="65"/>
      <c r="D571" s="65"/>
      <c r="E571" s="65"/>
      <c r="F571" s="65"/>
      <c r="H571" s="65"/>
      <c r="J571" s="65"/>
      <c r="K571" s="65"/>
      <c r="L571" s="65"/>
    </row>
    <row r="572" ht="15.75" customHeight="1">
      <c r="C572" s="65"/>
      <c r="D572" s="65"/>
      <c r="E572" s="65"/>
      <c r="F572" s="65"/>
      <c r="H572" s="65"/>
      <c r="J572" s="65"/>
      <c r="K572" s="65"/>
      <c r="L572" s="65"/>
    </row>
    <row r="573" ht="15.75" customHeight="1">
      <c r="C573" s="65"/>
      <c r="D573" s="65"/>
      <c r="E573" s="65"/>
      <c r="F573" s="65"/>
      <c r="H573" s="65"/>
      <c r="J573" s="65"/>
      <c r="K573" s="65"/>
      <c r="L573" s="65"/>
    </row>
    <row r="574" ht="15.75" customHeight="1">
      <c r="C574" s="65"/>
      <c r="D574" s="65"/>
      <c r="E574" s="65"/>
      <c r="F574" s="65"/>
      <c r="H574" s="65"/>
      <c r="J574" s="65"/>
      <c r="K574" s="65"/>
      <c r="L574" s="65"/>
    </row>
    <row r="575" ht="15.75" customHeight="1">
      <c r="C575" s="65"/>
      <c r="D575" s="65"/>
      <c r="E575" s="65"/>
      <c r="F575" s="65"/>
      <c r="H575" s="65"/>
      <c r="J575" s="65"/>
      <c r="K575" s="65"/>
      <c r="L575" s="65"/>
    </row>
    <row r="576" ht="15.75" customHeight="1">
      <c r="C576" s="65"/>
      <c r="D576" s="65"/>
      <c r="E576" s="65"/>
      <c r="F576" s="65"/>
      <c r="H576" s="65"/>
      <c r="J576" s="65"/>
      <c r="K576" s="65"/>
      <c r="L576" s="65"/>
    </row>
    <row r="577" ht="15.75" customHeight="1">
      <c r="C577" s="65"/>
      <c r="D577" s="65"/>
      <c r="E577" s="65"/>
      <c r="F577" s="65"/>
      <c r="H577" s="65"/>
      <c r="J577" s="65"/>
      <c r="K577" s="65"/>
      <c r="L577" s="65"/>
    </row>
    <row r="578" ht="15.75" customHeight="1">
      <c r="C578" s="65"/>
      <c r="D578" s="65"/>
      <c r="E578" s="65"/>
      <c r="F578" s="65"/>
      <c r="H578" s="65"/>
      <c r="J578" s="65"/>
      <c r="K578" s="65"/>
      <c r="L578" s="65"/>
    </row>
    <row r="579" ht="15.75" customHeight="1">
      <c r="C579" s="65"/>
      <c r="D579" s="65"/>
      <c r="E579" s="65"/>
      <c r="F579" s="65"/>
      <c r="H579" s="65"/>
      <c r="J579" s="65"/>
      <c r="K579" s="65"/>
      <c r="L579" s="65"/>
    </row>
    <row r="580" ht="15.75" customHeight="1">
      <c r="C580" s="65"/>
      <c r="D580" s="65"/>
      <c r="E580" s="65"/>
      <c r="F580" s="65"/>
      <c r="H580" s="65"/>
      <c r="J580" s="65"/>
      <c r="K580" s="65"/>
      <c r="L580" s="65"/>
    </row>
    <row r="581" ht="15.75" customHeight="1">
      <c r="C581" s="65"/>
      <c r="D581" s="65"/>
      <c r="E581" s="65"/>
      <c r="F581" s="65"/>
      <c r="H581" s="65"/>
      <c r="J581" s="65"/>
      <c r="K581" s="65"/>
      <c r="L581" s="65"/>
    </row>
    <row r="582" ht="15.75" customHeight="1">
      <c r="C582" s="65"/>
      <c r="D582" s="65"/>
      <c r="E582" s="65"/>
      <c r="F582" s="65"/>
      <c r="H582" s="65"/>
      <c r="J582" s="65"/>
      <c r="K582" s="65"/>
      <c r="L582" s="65"/>
    </row>
    <row r="583" ht="15.75" customHeight="1">
      <c r="C583" s="65"/>
      <c r="D583" s="65"/>
      <c r="E583" s="65"/>
      <c r="F583" s="65"/>
      <c r="H583" s="65"/>
      <c r="J583" s="65"/>
      <c r="K583" s="65"/>
      <c r="L583" s="65"/>
    </row>
    <row r="584" ht="15.75" customHeight="1">
      <c r="C584" s="65"/>
      <c r="D584" s="65"/>
      <c r="E584" s="65"/>
      <c r="F584" s="65"/>
      <c r="H584" s="65"/>
      <c r="J584" s="65"/>
      <c r="K584" s="65"/>
      <c r="L584" s="65"/>
    </row>
    <row r="585" ht="15.75" customHeight="1">
      <c r="C585" s="65"/>
      <c r="D585" s="65"/>
      <c r="E585" s="65"/>
      <c r="F585" s="65"/>
      <c r="H585" s="65"/>
      <c r="J585" s="65"/>
      <c r="K585" s="65"/>
      <c r="L585" s="65"/>
    </row>
    <row r="586" ht="15.75" customHeight="1">
      <c r="C586" s="65"/>
      <c r="D586" s="65"/>
      <c r="E586" s="65"/>
      <c r="F586" s="65"/>
      <c r="H586" s="65"/>
      <c r="J586" s="65"/>
      <c r="K586" s="65"/>
      <c r="L586" s="65"/>
    </row>
    <row r="587" ht="15.75" customHeight="1">
      <c r="C587" s="65"/>
      <c r="D587" s="65"/>
      <c r="E587" s="65"/>
      <c r="F587" s="65"/>
      <c r="H587" s="65"/>
      <c r="J587" s="65"/>
      <c r="K587" s="65"/>
      <c r="L587" s="65"/>
    </row>
    <row r="588" ht="15.75" customHeight="1">
      <c r="C588" s="65"/>
      <c r="D588" s="65"/>
      <c r="E588" s="65"/>
      <c r="F588" s="65"/>
      <c r="H588" s="65"/>
      <c r="J588" s="65"/>
      <c r="K588" s="65"/>
      <c r="L588" s="65"/>
    </row>
    <row r="589" ht="15.75" customHeight="1">
      <c r="C589" s="65"/>
      <c r="D589" s="65"/>
      <c r="E589" s="65"/>
      <c r="F589" s="65"/>
      <c r="H589" s="65"/>
      <c r="J589" s="65"/>
      <c r="K589" s="65"/>
      <c r="L589" s="65"/>
    </row>
    <row r="590" ht="15.75" customHeight="1">
      <c r="C590" s="65"/>
      <c r="D590" s="65"/>
      <c r="E590" s="65"/>
      <c r="F590" s="65"/>
      <c r="H590" s="65"/>
      <c r="J590" s="65"/>
      <c r="K590" s="65"/>
      <c r="L590" s="65"/>
    </row>
    <row r="591" ht="15.75" customHeight="1">
      <c r="C591" s="65"/>
      <c r="D591" s="65"/>
      <c r="E591" s="65"/>
      <c r="F591" s="65"/>
      <c r="H591" s="65"/>
      <c r="J591" s="65"/>
      <c r="K591" s="65"/>
      <c r="L591" s="65"/>
    </row>
    <row r="592" ht="15.75" customHeight="1">
      <c r="C592" s="65"/>
      <c r="D592" s="65"/>
      <c r="E592" s="65"/>
      <c r="F592" s="65"/>
      <c r="H592" s="65"/>
      <c r="J592" s="65"/>
      <c r="K592" s="65"/>
      <c r="L592" s="65"/>
    </row>
    <row r="593" ht="15.75" customHeight="1">
      <c r="C593" s="65"/>
      <c r="D593" s="65"/>
      <c r="E593" s="65"/>
      <c r="F593" s="65"/>
      <c r="H593" s="65"/>
      <c r="J593" s="65"/>
      <c r="K593" s="65"/>
      <c r="L593" s="65"/>
    </row>
    <row r="594" ht="15.75" customHeight="1">
      <c r="C594" s="65"/>
      <c r="D594" s="65"/>
      <c r="E594" s="65"/>
      <c r="F594" s="65"/>
      <c r="H594" s="65"/>
      <c r="J594" s="65"/>
      <c r="K594" s="65"/>
      <c r="L594" s="65"/>
    </row>
    <row r="595" ht="15.75" customHeight="1">
      <c r="C595" s="65"/>
      <c r="D595" s="65"/>
      <c r="E595" s="65"/>
      <c r="F595" s="65"/>
      <c r="H595" s="65"/>
      <c r="J595" s="65"/>
      <c r="K595" s="65"/>
      <c r="L595" s="65"/>
    </row>
    <row r="596" ht="15.75" customHeight="1">
      <c r="C596" s="65"/>
      <c r="D596" s="65"/>
      <c r="E596" s="65"/>
      <c r="F596" s="65"/>
      <c r="H596" s="65"/>
      <c r="J596" s="65"/>
      <c r="K596" s="65"/>
      <c r="L596" s="65"/>
    </row>
    <row r="597" ht="15.75" customHeight="1">
      <c r="C597" s="65"/>
      <c r="D597" s="65"/>
      <c r="E597" s="65"/>
      <c r="F597" s="65"/>
      <c r="H597" s="65"/>
      <c r="J597" s="65"/>
      <c r="K597" s="65"/>
      <c r="L597" s="65"/>
    </row>
    <row r="598" ht="15.75" customHeight="1">
      <c r="C598" s="65"/>
      <c r="D598" s="65"/>
      <c r="E598" s="65"/>
      <c r="F598" s="65"/>
      <c r="H598" s="65"/>
      <c r="J598" s="65"/>
      <c r="K598" s="65"/>
      <c r="L598" s="65"/>
    </row>
    <row r="599" ht="15.75" customHeight="1">
      <c r="C599" s="65"/>
      <c r="D599" s="65"/>
      <c r="E599" s="65"/>
      <c r="F599" s="65"/>
      <c r="H599" s="65"/>
      <c r="J599" s="65"/>
      <c r="K599" s="65"/>
      <c r="L599" s="65"/>
    </row>
    <row r="600" ht="15.75" customHeight="1">
      <c r="C600" s="65"/>
      <c r="D600" s="65"/>
      <c r="E600" s="65"/>
      <c r="F600" s="65"/>
      <c r="H600" s="65"/>
      <c r="J600" s="65"/>
      <c r="K600" s="65"/>
      <c r="L600" s="65"/>
    </row>
    <row r="601" ht="15.75" customHeight="1">
      <c r="C601" s="65"/>
      <c r="D601" s="65"/>
      <c r="E601" s="65"/>
      <c r="F601" s="65"/>
      <c r="H601" s="65"/>
      <c r="J601" s="65"/>
      <c r="K601" s="65"/>
      <c r="L601" s="65"/>
    </row>
    <row r="602" ht="15.75" customHeight="1">
      <c r="C602" s="65"/>
      <c r="D602" s="65"/>
      <c r="E602" s="65"/>
      <c r="F602" s="65"/>
      <c r="H602" s="65"/>
      <c r="J602" s="65"/>
      <c r="K602" s="65"/>
      <c r="L602" s="65"/>
    </row>
    <row r="603" ht="15.75" customHeight="1">
      <c r="C603" s="65"/>
      <c r="D603" s="65"/>
      <c r="E603" s="65"/>
      <c r="F603" s="65"/>
      <c r="H603" s="65"/>
      <c r="J603" s="65"/>
      <c r="K603" s="65"/>
      <c r="L603" s="65"/>
    </row>
    <row r="604" ht="15.75" customHeight="1">
      <c r="C604" s="65"/>
      <c r="D604" s="65"/>
      <c r="E604" s="65"/>
      <c r="F604" s="65"/>
      <c r="H604" s="65"/>
      <c r="J604" s="65"/>
      <c r="K604" s="65"/>
      <c r="L604" s="65"/>
    </row>
    <row r="605" ht="15.75" customHeight="1">
      <c r="C605" s="65"/>
      <c r="D605" s="65"/>
      <c r="E605" s="65"/>
      <c r="F605" s="65"/>
      <c r="H605" s="65"/>
      <c r="J605" s="65"/>
      <c r="K605" s="65"/>
      <c r="L605" s="65"/>
    </row>
    <row r="606" ht="15.75" customHeight="1">
      <c r="C606" s="65"/>
      <c r="D606" s="65"/>
      <c r="E606" s="65"/>
      <c r="F606" s="65"/>
      <c r="H606" s="65"/>
      <c r="J606" s="65"/>
      <c r="K606" s="65"/>
      <c r="L606" s="65"/>
    </row>
    <row r="607" ht="15.75" customHeight="1">
      <c r="C607" s="65"/>
      <c r="D607" s="65"/>
      <c r="E607" s="65"/>
      <c r="F607" s="65"/>
      <c r="H607" s="65"/>
      <c r="J607" s="65"/>
      <c r="K607" s="65"/>
      <c r="L607" s="65"/>
    </row>
    <row r="608" ht="15.75" customHeight="1">
      <c r="C608" s="65"/>
      <c r="D608" s="65"/>
      <c r="E608" s="65"/>
      <c r="F608" s="65"/>
      <c r="H608" s="65"/>
      <c r="J608" s="65"/>
      <c r="K608" s="65"/>
      <c r="L608" s="65"/>
    </row>
    <row r="609" ht="15.75" customHeight="1">
      <c r="C609" s="65"/>
      <c r="D609" s="65"/>
      <c r="E609" s="65"/>
      <c r="F609" s="65"/>
      <c r="H609" s="65"/>
      <c r="J609" s="65"/>
      <c r="K609" s="65"/>
      <c r="L609" s="65"/>
    </row>
    <row r="610" ht="15.75" customHeight="1">
      <c r="C610" s="65"/>
      <c r="D610" s="65"/>
      <c r="E610" s="65"/>
      <c r="F610" s="65"/>
      <c r="H610" s="65"/>
      <c r="J610" s="65"/>
      <c r="K610" s="65"/>
      <c r="L610" s="65"/>
    </row>
    <row r="611" ht="15.75" customHeight="1">
      <c r="C611" s="65"/>
      <c r="D611" s="65"/>
      <c r="E611" s="65"/>
      <c r="F611" s="65"/>
      <c r="H611" s="65"/>
      <c r="J611" s="65"/>
      <c r="K611" s="65"/>
      <c r="L611" s="65"/>
    </row>
    <row r="612" ht="15.75" customHeight="1">
      <c r="C612" s="65"/>
      <c r="D612" s="65"/>
      <c r="E612" s="65"/>
      <c r="F612" s="65"/>
      <c r="H612" s="65"/>
      <c r="J612" s="65"/>
      <c r="K612" s="65"/>
      <c r="L612" s="65"/>
    </row>
    <row r="613" ht="15.75" customHeight="1">
      <c r="C613" s="65"/>
      <c r="D613" s="65"/>
      <c r="E613" s="65"/>
      <c r="F613" s="65"/>
      <c r="H613" s="65"/>
      <c r="J613" s="65"/>
      <c r="K613" s="65"/>
      <c r="L613" s="65"/>
    </row>
    <row r="614" ht="15.75" customHeight="1">
      <c r="C614" s="65"/>
      <c r="D614" s="65"/>
      <c r="E614" s="65"/>
      <c r="F614" s="65"/>
      <c r="H614" s="65"/>
      <c r="J614" s="65"/>
      <c r="K614" s="65"/>
      <c r="L614" s="65"/>
    </row>
    <row r="615" ht="15.75" customHeight="1">
      <c r="C615" s="65"/>
      <c r="D615" s="65"/>
      <c r="E615" s="65"/>
      <c r="F615" s="65"/>
      <c r="H615" s="65"/>
      <c r="J615" s="65"/>
      <c r="K615" s="65"/>
      <c r="L615" s="65"/>
    </row>
    <row r="616" ht="15.75" customHeight="1">
      <c r="C616" s="65"/>
      <c r="D616" s="65"/>
      <c r="E616" s="65"/>
      <c r="F616" s="65"/>
      <c r="H616" s="65"/>
      <c r="J616" s="65"/>
      <c r="K616" s="65"/>
      <c r="L616" s="65"/>
    </row>
    <row r="617" ht="15.75" customHeight="1">
      <c r="C617" s="65"/>
      <c r="D617" s="65"/>
      <c r="E617" s="65"/>
      <c r="F617" s="65"/>
      <c r="H617" s="65"/>
      <c r="J617" s="65"/>
      <c r="K617" s="65"/>
      <c r="L617" s="65"/>
    </row>
    <row r="618" ht="15.75" customHeight="1">
      <c r="C618" s="65"/>
      <c r="D618" s="65"/>
      <c r="E618" s="65"/>
      <c r="F618" s="65"/>
      <c r="H618" s="65"/>
      <c r="J618" s="65"/>
      <c r="K618" s="65"/>
      <c r="L618" s="65"/>
    </row>
    <row r="619" ht="15.75" customHeight="1">
      <c r="C619" s="65"/>
      <c r="D619" s="65"/>
      <c r="E619" s="65"/>
      <c r="F619" s="65"/>
      <c r="H619" s="65"/>
      <c r="J619" s="65"/>
      <c r="K619" s="65"/>
      <c r="L619" s="65"/>
    </row>
    <row r="620" ht="15.75" customHeight="1">
      <c r="C620" s="65"/>
      <c r="D620" s="65"/>
      <c r="E620" s="65"/>
      <c r="F620" s="65"/>
      <c r="H620" s="65"/>
      <c r="J620" s="65"/>
      <c r="K620" s="65"/>
      <c r="L620" s="65"/>
    </row>
    <row r="621" ht="15.75" customHeight="1">
      <c r="C621" s="65"/>
      <c r="D621" s="65"/>
      <c r="E621" s="65"/>
      <c r="F621" s="65"/>
      <c r="H621" s="65"/>
      <c r="J621" s="65"/>
      <c r="K621" s="65"/>
      <c r="L621" s="65"/>
    </row>
    <row r="622" ht="15.75" customHeight="1">
      <c r="C622" s="65"/>
      <c r="D622" s="65"/>
      <c r="E622" s="65"/>
      <c r="F622" s="65"/>
      <c r="H622" s="65"/>
      <c r="J622" s="65"/>
      <c r="K622" s="65"/>
      <c r="L622" s="65"/>
    </row>
    <row r="623" ht="15.75" customHeight="1">
      <c r="C623" s="65"/>
      <c r="D623" s="65"/>
      <c r="E623" s="65"/>
      <c r="F623" s="65"/>
      <c r="H623" s="65"/>
      <c r="J623" s="65"/>
      <c r="K623" s="65"/>
      <c r="L623" s="65"/>
    </row>
    <row r="624" ht="15.75" customHeight="1">
      <c r="C624" s="65"/>
      <c r="D624" s="65"/>
      <c r="E624" s="65"/>
      <c r="F624" s="65"/>
      <c r="H624" s="65"/>
      <c r="J624" s="65"/>
      <c r="K624" s="65"/>
      <c r="L624" s="65"/>
    </row>
    <row r="625" ht="15.75" customHeight="1">
      <c r="C625" s="65"/>
      <c r="D625" s="65"/>
      <c r="E625" s="65"/>
      <c r="F625" s="65"/>
      <c r="H625" s="65"/>
      <c r="J625" s="65"/>
      <c r="K625" s="65"/>
      <c r="L625" s="65"/>
    </row>
    <row r="626" ht="15.75" customHeight="1">
      <c r="C626" s="65"/>
      <c r="D626" s="65"/>
      <c r="E626" s="65"/>
      <c r="F626" s="65"/>
      <c r="H626" s="65"/>
      <c r="J626" s="65"/>
      <c r="K626" s="65"/>
      <c r="L626" s="65"/>
    </row>
    <row r="627" ht="15.75" customHeight="1">
      <c r="C627" s="65"/>
      <c r="D627" s="65"/>
      <c r="E627" s="65"/>
      <c r="F627" s="65"/>
      <c r="H627" s="65"/>
      <c r="J627" s="65"/>
      <c r="K627" s="65"/>
      <c r="L627" s="65"/>
    </row>
    <row r="628" ht="15.75" customHeight="1">
      <c r="C628" s="65"/>
      <c r="D628" s="65"/>
      <c r="E628" s="65"/>
      <c r="F628" s="65"/>
      <c r="H628" s="65"/>
      <c r="J628" s="65"/>
      <c r="K628" s="65"/>
      <c r="L628" s="65"/>
    </row>
    <row r="629" ht="15.75" customHeight="1">
      <c r="C629" s="65"/>
      <c r="D629" s="65"/>
      <c r="E629" s="65"/>
      <c r="F629" s="65"/>
      <c r="H629" s="65"/>
      <c r="J629" s="65"/>
      <c r="K629" s="65"/>
      <c r="L629" s="65"/>
    </row>
    <row r="630" ht="15.75" customHeight="1">
      <c r="C630" s="65"/>
      <c r="D630" s="65"/>
      <c r="E630" s="65"/>
      <c r="F630" s="65"/>
      <c r="H630" s="65"/>
      <c r="J630" s="65"/>
      <c r="K630" s="65"/>
      <c r="L630" s="65"/>
    </row>
    <row r="631" ht="15.75" customHeight="1">
      <c r="C631" s="65"/>
      <c r="D631" s="65"/>
      <c r="E631" s="65"/>
      <c r="F631" s="65"/>
      <c r="H631" s="65"/>
      <c r="J631" s="65"/>
      <c r="K631" s="65"/>
      <c r="L631" s="65"/>
    </row>
    <row r="632" ht="15.75" customHeight="1">
      <c r="C632" s="65"/>
      <c r="D632" s="65"/>
      <c r="E632" s="65"/>
      <c r="F632" s="65"/>
      <c r="H632" s="65"/>
      <c r="J632" s="65"/>
      <c r="K632" s="65"/>
      <c r="L632" s="65"/>
    </row>
    <row r="633" ht="15.75" customHeight="1">
      <c r="C633" s="65"/>
      <c r="D633" s="65"/>
      <c r="E633" s="65"/>
      <c r="F633" s="65"/>
      <c r="H633" s="65"/>
      <c r="J633" s="65"/>
      <c r="K633" s="65"/>
      <c r="L633" s="65"/>
    </row>
    <row r="634" ht="15.75" customHeight="1">
      <c r="C634" s="65"/>
      <c r="D634" s="65"/>
      <c r="E634" s="65"/>
      <c r="F634" s="65"/>
      <c r="H634" s="65"/>
      <c r="J634" s="65"/>
      <c r="K634" s="65"/>
      <c r="L634" s="65"/>
    </row>
    <row r="635" ht="15.75" customHeight="1">
      <c r="C635" s="65"/>
      <c r="D635" s="65"/>
      <c r="E635" s="65"/>
      <c r="F635" s="65"/>
      <c r="H635" s="65"/>
      <c r="J635" s="65"/>
      <c r="K635" s="65"/>
      <c r="L635" s="65"/>
    </row>
    <row r="636" ht="15.75" customHeight="1">
      <c r="C636" s="65"/>
      <c r="D636" s="65"/>
      <c r="E636" s="65"/>
      <c r="F636" s="65"/>
      <c r="H636" s="65"/>
      <c r="J636" s="65"/>
      <c r="K636" s="65"/>
      <c r="L636" s="65"/>
    </row>
    <row r="637" ht="15.75" customHeight="1">
      <c r="C637" s="65"/>
      <c r="D637" s="65"/>
      <c r="E637" s="65"/>
      <c r="F637" s="65"/>
      <c r="H637" s="65"/>
      <c r="J637" s="65"/>
      <c r="K637" s="65"/>
      <c r="L637" s="65"/>
    </row>
    <row r="638" ht="15.75" customHeight="1">
      <c r="C638" s="65"/>
      <c r="D638" s="65"/>
      <c r="E638" s="65"/>
      <c r="F638" s="65"/>
      <c r="H638" s="65"/>
      <c r="J638" s="65"/>
      <c r="K638" s="65"/>
      <c r="L638" s="65"/>
    </row>
    <row r="639" ht="15.75" customHeight="1">
      <c r="C639" s="65"/>
      <c r="D639" s="65"/>
      <c r="E639" s="65"/>
      <c r="F639" s="65"/>
      <c r="H639" s="65"/>
      <c r="J639" s="65"/>
      <c r="K639" s="65"/>
      <c r="L639" s="65"/>
    </row>
    <row r="640" ht="15.75" customHeight="1">
      <c r="C640" s="65"/>
      <c r="D640" s="65"/>
      <c r="E640" s="65"/>
      <c r="F640" s="65"/>
      <c r="H640" s="65"/>
      <c r="J640" s="65"/>
      <c r="K640" s="65"/>
      <c r="L640" s="65"/>
    </row>
    <row r="641" ht="15.75" customHeight="1">
      <c r="C641" s="65"/>
      <c r="D641" s="65"/>
      <c r="E641" s="65"/>
      <c r="F641" s="65"/>
      <c r="H641" s="65"/>
      <c r="J641" s="65"/>
      <c r="K641" s="65"/>
      <c r="L641" s="65"/>
    </row>
    <row r="642" ht="15.75" customHeight="1">
      <c r="C642" s="65"/>
      <c r="D642" s="65"/>
      <c r="E642" s="65"/>
      <c r="F642" s="65"/>
      <c r="H642" s="65"/>
      <c r="J642" s="65"/>
      <c r="K642" s="65"/>
      <c r="L642" s="65"/>
    </row>
    <row r="643" ht="15.75" customHeight="1">
      <c r="C643" s="65"/>
      <c r="D643" s="65"/>
      <c r="E643" s="65"/>
      <c r="F643" s="65"/>
      <c r="H643" s="65"/>
      <c r="J643" s="65"/>
      <c r="K643" s="65"/>
      <c r="L643" s="65"/>
    </row>
    <row r="644" ht="15.75" customHeight="1">
      <c r="C644" s="65"/>
      <c r="D644" s="65"/>
      <c r="E644" s="65"/>
      <c r="F644" s="65"/>
      <c r="H644" s="65"/>
      <c r="J644" s="65"/>
      <c r="K644" s="65"/>
      <c r="L644" s="65"/>
    </row>
    <row r="645" ht="15.75" customHeight="1">
      <c r="C645" s="65"/>
      <c r="D645" s="65"/>
      <c r="E645" s="65"/>
      <c r="F645" s="65"/>
      <c r="H645" s="65"/>
      <c r="J645" s="65"/>
      <c r="K645" s="65"/>
      <c r="L645" s="65"/>
    </row>
    <row r="646" ht="15.75" customHeight="1">
      <c r="C646" s="65"/>
      <c r="D646" s="65"/>
      <c r="E646" s="65"/>
      <c r="F646" s="65"/>
      <c r="H646" s="65"/>
      <c r="J646" s="65"/>
      <c r="K646" s="65"/>
      <c r="L646" s="65"/>
    </row>
    <row r="647" ht="15.75" customHeight="1">
      <c r="C647" s="65"/>
      <c r="D647" s="65"/>
      <c r="E647" s="65"/>
      <c r="F647" s="65"/>
      <c r="H647" s="65"/>
      <c r="J647" s="65"/>
      <c r="K647" s="65"/>
      <c r="L647" s="65"/>
    </row>
    <row r="648" ht="15.75" customHeight="1">
      <c r="C648" s="65"/>
      <c r="D648" s="65"/>
      <c r="E648" s="65"/>
      <c r="F648" s="65"/>
      <c r="H648" s="65"/>
      <c r="J648" s="65"/>
      <c r="K648" s="65"/>
      <c r="L648" s="65"/>
    </row>
    <row r="649" ht="15.75" customHeight="1">
      <c r="C649" s="65"/>
      <c r="D649" s="65"/>
      <c r="E649" s="65"/>
      <c r="F649" s="65"/>
      <c r="H649" s="65"/>
      <c r="J649" s="65"/>
      <c r="K649" s="65"/>
      <c r="L649" s="65"/>
    </row>
    <row r="650" ht="15.75" customHeight="1">
      <c r="C650" s="65"/>
      <c r="D650" s="65"/>
      <c r="E650" s="65"/>
      <c r="F650" s="65"/>
      <c r="H650" s="65"/>
      <c r="J650" s="65"/>
      <c r="K650" s="65"/>
      <c r="L650" s="65"/>
    </row>
    <row r="651" ht="15.75" customHeight="1">
      <c r="C651" s="65"/>
      <c r="D651" s="65"/>
      <c r="E651" s="65"/>
      <c r="F651" s="65"/>
      <c r="H651" s="65"/>
      <c r="J651" s="65"/>
      <c r="K651" s="65"/>
      <c r="L651" s="65"/>
    </row>
    <row r="652" ht="15.75" customHeight="1">
      <c r="C652" s="65"/>
      <c r="D652" s="65"/>
      <c r="E652" s="65"/>
      <c r="F652" s="65"/>
      <c r="H652" s="65"/>
      <c r="J652" s="65"/>
      <c r="K652" s="65"/>
      <c r="L652" s="65"/>
    </row>
    <row r="653" ht="15.75" customHeight="1">
      <c r="C653" s="65"/>
      <c r="D653" s="65"/>
      <c r="E653" s="65"/>
      <c r="F653" s="65"/>
      <c r="H653" s="65"/>
      <c r="J653" s="65"/>
      <c r="K653" s="65"/>
      <c r="L653" s="65"/>
    </row>
    <row r="654" ht="15.75" customHeight="1">
      <c r="C654" s="65"/>
      <c r="D654" s="65"/>
      <c r="E654" s="65"/>
      <c r="F654" s="65"/>
      <c r="H654" s="65"/>
      <c r="J654" s="65"/>
      <c r="K654" s="65"/>
      <c r="L654" s="65"/>
    </row>
    <row r="655" ht="15.75" customHeight="1">
      <c r="C655" s="65"/>
      <c r="D655" s="65"/>
      <c r="E655" s="65"/>
      <c r="F655" s="65"/>
      <c r="H655" s="65"/>
      <c r="J655" s="65"/>
      <c r="K655" s="65"/>
      <c r="L655" s="65"/>
    </row>
    <row r="656" ht="15.75" customHeight="1">
      <c r="C656" s="65"/>
      <c r="D656" s="65"/>
      <c r="E656" s="65"/>
      <c r="F656" s="65"/>
      <c r="H656" s="65"/>
      <c r="J656" s="65"/>
      <c r="K656" s="65"/>
      <c r="L656" s="65"/>
    </row>
    <row r="657" ht="15.75" customHeight="1">
      <c r="C657" s="65"/>
      <c r="D657" s="65"/>
      <c r="E657" s="65"/>
      <c r="F657" s="65"/>
      <c r="H657" s="65"/>
      <c r="J657" s="65"/>
      <c r="K657" s="65"/>
      <c r="L657" s="65"/>
    </row>
    <row r="658" ht="15.75" customHeight="1">
      <c r="C658" s="65"/>
      <c r="D658" s="65"/>
      <c r="E658" s="65"/>
      <c r="F658" s="65"/>
      <c r="H658" s="65"/>
      <c r="J658" s="65"/>
      <c r="K658" s="65"/>
      <c r="L658" s="65"/>
    </row>
    <row r="659" ht="15.75" customHeight="1">
      <c r="C659" s="65"/>
      <c r="D659" s="65"/>
      <c r="E659" s="65"/>
      <c r="F659" s="65"/>
      <c r="H659" s="65"/>
      <c r="J659" s="65"/>
      <c r="K659" s="65"/>
      <c r="L659" s="65"/>
    </row>
    <row r="660" ht="15.75" customHeight="1">
      <c r="C660" s="65"/>
      <c r="D660" s="65"/>
      <c r="E660" s="65"/>
      <c r="F660" s="65"/>
      <c r="H660" s="65"/>
      <c r="J660" s="65"/>
      <c r="K660" s="65"/>
      <c r="L660" s="65"/>
    </row>
    <row r="661" ht="15.75" customHeight="1">
      <c r="C661" s="65"/>
      <c r="D661" s="65"/>
      <c r="E661" s="65"/>
      <c r="F661" s="65"/>
      <c r="H661" s="65"/>
      <c r="J661" s="65"/>
      <c r="K661" s="65"/>
      <c r="L661" s="65"/>
    </row>
    <row r="662" ht="15.75" customHeight="1">
      <c r="C662" s="65"/>
      <c r="D662" s="65"/>
      <c r="E662" s="65"/>
      <c r="F662" s="65"/>
      <c r="H662" s="65"/>
      <c r="J662" s="65"/>
      <c r="K662" s="65"/>
      <c r="L662" s="65"/>
    </row>
    <row r="663" ht="15.75" customHeight="1">
      <c r="C663" s="65"/>
      <c r="D663" s="65"/>
      <c r="E663" s="65"/>
      <c r="F663" s="65"/>
      <c r="H663" s="65"/>
      <c r="J663" s="65"/>
      <c r="K663" s="65"/>
      <c r="L663" s="65"/>
    </row>
    <row r="664" ht="15.75" customHeight="1">
      <c r="C664" s="65"/>
      <c r="D664" s="65"/>
      <c r="E664" s="65"/>
      <c r="F664" s="65"/>
      <c r="H664" s="65"/>
      <c r="J664" s="65"/>
      <c r="K664" s="65"/>
      <c r="L664" s="65"/>
    </row>
    <row r="665" ht="15.75" customHeight="1">
      <c r="C665" s="65"/>
      <c r="D665" s="65"/>
      <c r="E665" s="65"/>
      <c r="F665" s="65"/>
      <c r="H665" s="65"/>
      <c r="J665" s="65"/>
      <c r="K665" s="65"/>
      <c r="L665" s="65"/>
    </row>
    <row r="666" ht="15.75" customHeight="1">
      <c r="C666" s="65"/>
      <c r="D666" s="65"/>
      <c r="E666" s="65"/>
      <c r="F666" s="65"/>
      <c r="H666" s="65"/>
      <c r="J666" s="65"/>
      <c r="K666" s="65"/>
      <c r="L666" s="65"/>
    </row>
    <row r="667" ht="15.75" customHeight="1">
      <c r="C667" s="65"/>
      <c r="D667" s="65"/>
      <c r="E667" s="65"/>
      <c r="F667" s="65"/>
      <c r="H667" s="65"/>
      <c r="J667" s="65"/>
      <c r="K667" s="65"/>
      <c r="L667" s="65"/>
    </row>
    <row r="668" ht="15.75" customHeight="1">
      <c r="C668" s="65"/>
      <c r="D668" s="65"/>
      <c r="E668" s="65"/>
      <c r="F668" s="65"/>
      <c r="H668" s="65"/>
      <c r="J668" s="65"/>
      <c r="K668" s="65"/>
      <c r="L668" s="65"/>
    </row>
    <row r="669" ht="15.75" customHeight="1">
      <c r="C669" s="65"/>
      <c r="D669" s="65"/>
      <c r="E669" s="65"/>
      <c r="F669" s="65"/>
      <c r="H669" s="65"/>
      <c r="J669" s="65"/>
      <c r="K669" s="65"/>
      <c r="L669" s="65"/>
    </row>
    <row r="670" ht="15.75" customHeight="1">
      <c r="C670" s="65"/>
      <c r="D670" s="65"/>
      <c r="E670" s="65"/>
      <c r="F670" s="65"/>
      <c r="H670" s="65"/>
      <c r="J670" s="65"/>
      <c r="K670" s="65"/>
      <c r="L670" s="65"/>
    </row>
    <row r="671" ht="15.75" customHeight="1">
      <c r="C671" s="65"/>
      <c r="D671" s="65"/>
      <c r="E671" s="65"/>
      <c r="F671" s="65"/>
      <c r="H671" s="65"/>
      <c r="J671" s="65"/>
      <c r="K671" s="65"/>
      <c r="L671" s="65"/>
    </row>
    <row r="672" ht="15.75" customHeight="1">
      <c r="C672" s="65"/>
      <c r="D672" s="65"/>
      <c r="E672" s="65"/>
      <c r="F672" s="65"/>
      <c r="H672" s="65"/>
      <c r="J672" s="65"/>
      <c r="K672" s="65"/>
      <c r="L672" s="65"/>
    </row>
    <row r="673" ht="15.75" customHeight="1">
      <c r="C673" s="65"/>
      <c r="D673" s="65"/>
      <c r="E673" s="65"/>
      <c r="F673" s="65"/>
      <c r="H673" s="65"/>
      <c r="J673" s="65"/>
      <c r="K673" s="65"/>
      <c r="L673" s="65"/>
    </row>
    <row r="674" ht="15.75" customHeight="1">
      <c r="C674" s="65"/>
      <c r="D674" s="65"/>
      <c r="E674" s="65"/>
      <c r="F674" s="65"/>
      <c r="H674" s="65"/>
      <c r="J674" s="65"/>
      <c r="K674" s="65"/>
      <c r="L674" s="65"/>
    </row>
    <row r="675" ht="15.75" customHeight="1">
      <c r="C675" s="65"/>
      <c r="D675" s="65"/>
      <c r="E675" s="65"/>
      <c r="F675" s="65"/>
      <c r="H675" s="65"/>
      <c r="J675" s="65"/>
      <c r="K675" s="65"/>
      <c r="L675" s="65"/>
    </row>
    <row r="676" ht="15.75" customHeight="1">
      <c r="C676" s="65"/>
      <c r="D676" s="65"/>
      <c r="E676" s="65"/>
      <c r="F676" s="65"/>
      <c r="H676" s="65"/>
      <c r="J676" s="65"/>
      <c r="K676" s="65"/>
      <c r="L676" s="65"/>
    </row>
    <row r="677" ht="15.75" customHeight="1">
      <c r="C677" s="65"/>
      <c r="D677" s="65"/>
      <c r="E677" s="65"/>
      <c r="F677" s="65"/>
      <c r="H677" s="65"/>
      <c r="J677" s="65"/>
      <c r="K677" s="65"/>
      <c r="L677" s="65"/>
    </row>
    <row r="678" ht="15.75" customHeight="1">
      <c r="C678" s="65"/>
      <c r="D678" s="65"/>
      <c r="E678" s="65"/>
      <c r="F678" s="65"/>
      <c r="H678" s="65"/>
      <c r="J678" s="65"/>
      <c r="K678" s="65"/>
      <c r="L678" s="65"/>
    </row>
    <row r="679" ht="15.75" customHeight="1">
      <c r="C679" s="65"/>
      <c r="D679" s="65"/>
      <c r="E679" s="65"/>
      <c r="F679" s="65"/>
      <c r="H679" s="65"/>
      <c r="J679" s="65"/>
      <c r="K679" s="65"/>
      <c r="L679" s="65"/>
    </row>
    <row r="680" ht="15.75" customHeight="1">
      <c r="C680" s="65"/>
      <c r="D680" s="65"/>
      <c r="E680" s="65"/>
      <c r="F680" s="65"/>
      <c r="H680" s="65"/>
      <c r="J680" s="65"/>
      <c r="K680" s="65"/>
      <c r="L680" s="65"/>
    </row>
    <row r="681" ht="15.75" customHeight="1">
      <c r="C681" s="65"/>
      <c r="D681" s="65"/>
      <c r="E681" s="65"/>
      <c r="F681" s="65"/>
      <c r="H681" s="65"/>
      <c r="J681" s="65"/>
      <c r="K681" s="65"/>
      <c r="L681" s="65"/>
    </row>
    <row r="682" ht="15.75" customHeight="1">
      <c r="C682" s="65"/>
      <c r="D682" s="65"/>
      <c r="E682" s="65"/>
      <c r="F682" s="65"/>
      <c r="H682" s="65"/>
      <c r="J682" s="65"/>
      <c r="K682" s="65"/>
      <c r="L682" s="65"/>
    </row>
    <row r="683" ht="15.75" customHeight="1">
      <c r="C683" s="65"/>
      <c r="D683" s="65"/>
      <c r="E683" s="65"/>
      <c r="F683" s="65"/>
      <c r="H683" s="65"/>
      <c r="J683" s="65"/>
      <c r="K683" s="65"/>
      <c r="L683" s="65"/>
    </row>
    <row r="684" ht="15.75" customHeight="1">
      <c r="C684" s="65"/>
      <c r="D684" s="65"/>
      <c r="E684" s="65"/>
      <c r="F684" s="65"/>
      <c r="H684" s="65"/>
      <c r="J684" s="65"/>
      <c r="K684" s="65"/>
      <c r="L684" s="65"/>
    </row>
    <row r="685" ht="15.75" customHeight="1">
      <c r="C685" s="65"/>
      <c r="D685" s="65"/>
      <c r="E685" s="65"/>
      <c r="F685" s="65"/>
      <c r="H685" s="65"/>
      <c r="J685" s="65"/>
      <c r="K685" s="65"/>
      <c r="L685" s="65"/>
    </row>
    <row r="686" ht="15.75" customHeight="1">
      <c r="C686" s="65"/>
      <c r="D686" s="65"/>
      <c r="E686" s="65"/>
      <c r="F686" s="65"/>
      <c r="H686" s="65"/>
      <c r="J686" s="65"/>
      <c r="K686" s="65"/>
      <c r="L686" s="65"/>
    </row>
    <row r="687" ht="15.75" customHeight="1">
      <c r="C687" s="65"/>
      <c r="D687" s="65"/>
      <c r="E687" s="65"/>
      <c r="F687" s="65"/>
      <c r="H687" s="65"/>
      <c r="J687" s="65"/>
      <c r="K687" s="65"/>
      <c r="L687" s="65"/>
    </row>
    <row r="688" ht="15.75" customHeight="1">
      <c r="C688" s="65"/>
      <c r="D688" s="65"/>
      <c r="E688" s="65"/>
      <c r="F688" s="65"/>
      <c r="H688" s="65"/>
      <c r="J688" s="65"/>
      <c r="K688" s="65"/>
      <c r="L688" s="65"/>
    </row>
    <row r="689" ht="15.75" customHeight="1">
      <c r="C689" s="65"/>
      <c r="D689" s="65"/>
      <c r="E689" s="65"/>
      <c r="F689" s="65"/>
      <c r="H689" s="65"/>
      <c r="J689" s="65"/>
      <c r="K689" s="65"/>
      <c r="L689" s="65"/>
    </row>
    <row r="690" ht="15.75" customHeight="1">
      <c r="C690" s="65"/>
      <c r="D690" s="65"/>
      <c r="E690" s="65"/>
      <c r="F690" s="65"/>
      <c r="H690" s="65"/>
      <c r="J690" s="65"/>
      <c r="K690" s="65"/>
      <c r="L690" s="65"/>
    </row>
    <row r="691" ht="15.75" customHeight="1">
      <c r="C691" s="65"/>
      <c r="D691" s="65"/>
      <c r="E691" s="65"/>
      <c r="F691" s="65"/>
      <c r="H691" s="65"/>
      <c r="J691" s="65"/>
      <c r="K691" s="65"/>
      <c r="L691" s="65"/>
    </row>
    <row r="692" ht="15.75" customHeight="1">
      <c r="C692" s="65"/>
      <c r="D692" s="65"/>
      <c r="E692" s="65"/>
      <c r="F692" s="65"/>
      <c r="H692" s="65"/>
      <c r="J692" s="65"/>
      <c r="K692" s="65"/>
      <c r="L692" s="65"/>
    </row>
    <row r="693" ht="15.75" customHeight="1">
      <c r="C693" s="65"/>
      <c r="D693" s="65"/>
      <c r="E693" s="65"/>
      <c r="F693" s="65"/>
      <c r="H693" s="65"/>
      <c r="J693" s="65"/>
      <c r="K693" s="65"/>
      <c r="L693" s="65"/>
    </row>
    <row r="694" ht="15.75" customHeight="1">
      <c r="C694" s="65"/>
      <c r="D694" s="65"/>
      <c r="E694" s="65"/>
      <c r="F694" s="65"/>
      <c r="H694" s="65"/>
      <c r="J694" s="65"/>
      <c r="K694" s="65"/>
      <c r="L694" s="65"/>
    </row>
    <row r="695" ht="15.75" customHeight="1">
      <c r="C695" s="65"/>
      <c r="D695" s="65"/>
      <c r="E695" s="65"/>
      <c r="F695" s="65"/>
      <c r="H695" s="65"/>
      <c r="J695" s="65"/>
      <c r="K695" s="65"/>
      <c r="L695" s="65"/>
    </row>
    <row r="696" ht="15.75" customHeight="1">
      <c r="C696" s="65"/>
      <c r="D696" s="65"/>
      <c r="E696" s="65"/>
      <c r="F696" s="65"/>
      <c r="H696" s="65"/>
      <c r="J696" s="65"/>
      <c r="K696" s="65"/>
      <c r="L696" s="65"/>
    </row>
    <row r="697" ht="15.75" customHeight="1">
      <c r="C697" s="65"/>
      <c r="D697" s="65"/>
      <c r="E697" s="65"/>
      <c r="F697" s="65"/>
      <c r="H697" s="65"/>
      <c r="J697" s="65"/>
      <c r="K697" s="65"/>
      <c r="L697" s="65"/>
    </row>
    <row r="698" ht="15.75" customHeight="1">
      <c r="C698" s="65"/>
      <c r="D698" s="65"/>
      <c r="E698" s="65"/>
      <c r="F698" s="65"/>
      <c r="H698" s="65"/>
      <c r="J698" s="65"/>
      <c r="K698" s="65"/>
      <c r="L698" s="65"/>
    </row>
    <row r="699" ht="15.75" customHeight="1">
      <c r="C699" s="65"/>
      <c r="D699" s="65"/>
      <c r="E699" s="65"/>
      <c r="F699" s="65"/>
      <c r="H699" s="65"/>
      <c r="J699" s="65"/>
      <c r="K699" s="65"/>
      <c r="L699" s="65"/>
    </row>
    <row r="700" ht="15.75" customHeight="1">
      <c r="C700" s="65"/>
      <c r="D700" s="65"/>
      <c r="E700" s="65"/>
      <c r="F700" s="65"/>
      <c r="H700" s="65"/>
      <c r="J700" s="65"/>
      <c r="K700" s="65"/>
      <c r="L700" s="65"/>
    </row>
    <row r="701" ht="15.75" customHeight="1">
      <c r="C701" s="65"/>
      <c r="D701" s="65"/>
      <c r="E701" s="65"/>
      <c r="F701" s="65"/>
      <c r="H701" s="65"/>
      <c r="J701" s="65"/>
      <c r="K701" s="65"/>
      <c r="L701" s="65"/>
    </row>
    <row r="702" ht="15.75" customHeight="1">
      <c r="C702" s="65"/>
      <c r="D702" s="65"/>
      <c r="E702" s="65"/>
      <c r="F702" s="65"/>
      <c r="H702" s="65"/>
      <c r="J702" s="65"/>
      <c r="K702" s="65"/>
      <c r="L702" s="65"/>
    </row>
    <row r="703" ht="15.75" customHeight="1">
      <c r="C703" s="65"/>
      <c r="D703" s="65"/>
      <c r="E703" s="65"/>
      <c r="F703" s="65"/>
      <c r="H703" s="65"/>
      <c r="J703" s="65"/>
      <c r="K703" s="65"/>
      <c r="L703" s="65"/>
    </row>
    <row r="704" ht="15.75" customHeight="1">
      <c r="C704" s="65"/>
      <c r="D704" s="65"/>
      <c r="E704" s="65"/>
      <c r="F704" s="65"/>
      <c r="H704" s="65"/>
      <c r="J704" s="65"/>
      <c r="K704" s="65"/>
      <c r="L704" s="65"/>
    </row>
    <row r="705" ht="15.75" customHeight="1">
      <c r="C705" s="65"/>
      <c r="D705" s="65"/>
      <c r="E705" s="65"/>
      <c r="F705" s="65"/>
      <c r="H705" s="65"/>
      <c r="J705" s="65"/>
      <c r="K705" s="65"/>
      <c r="L705" s="65"/>
    </row>
    <row r="706" ht="15.75" customHeight="1">
      <c r="C706" s="65"/>
      <c r="D706" s="65"/>
      <c r="E706" s="65"/>
      <c r="F706" s="65"/>
      <c r="H706" s="65"/>
      <c r="J706" s="65"/>
      <c r="K706" s="65"/>
      <c r="L706" s="65"/>
    </row>
    <row r="707" ht="15.75" customHeight="1">
      <c r="C707" s="65"/>
      <c r="D707" s="65"/>
      <c r="E707" s="65"/>
      <c r="F707" s="65"/>
      <c r="H707" s="65"/>
      <c r="J707" s="65"/>
      <c r="K707" s="65"/>
      <c r="L707" s="65"/>
    </row>
    <row r="708" ht="15.75" customHeight="1">
      <c r="C708" s="65"/>
      <c r="D708" s="65"/>
      <c r="E708" s="65"/>
      <c r="F708" s="65"/>
      <c r="H708" s="65"/>
      <c r="J708" s="65"/>
      <c r="K708" s="65"/>
      <c r="L708" s="65"/>
    </row>
    <row r="709" ht="15.75" customHeight="1">
      <c r="C709" s="65"/>
      <c r="D709" s="65"/>
      <c r="E709" s="65"/>
      <c r="F709" s="65"/>
      <c r="H709" s="65"/>
      <c r="J709" s="65"/>
      <c r="K709" s="65"/>
      <c r="L709" s="65"/>
    </row>
    <row r="710" ht="15.75" customHeight="1">
      <c r="C710" s="65"/>
      <c r="D710" s="65"/>
      <c r="E710" s="65"/>
      <c r="F710" s="65"/>
      <c r="H710" s="65"/>
      <c r="J710" s="65"/>
      <c r="K710" s="65"/>
      <c r="L710" s="65"/>
    </row>
    <row r="711" ht="15.75" customHeight="1">
      <c r="C711" s="65"/>
      <c r="D711" s="65"/>
      <c r="E711" s="65"/>
      <c r="F711" s="65"/>
      <c r="H711" s="65"/>
      <c r="J711" s="65"/>
      <c r="K711" s="65"/>
      <c r="L711" s="65"/>
    </row>
    <row r="712" ht="15.75" customHeight="1">
      <c r="C712" s="65"/>
      <c r="D712" s="65"/>
      <c r="E712" s="65"/>
      <c r="F712" s="65"/>
      <c r="H712" s="65"/>
      <c r="J712" s="65"/>
      <c r="K712" s="65"/>
      <c r="L712" s="65"/>
    </row>
    <row r="713" ht="15.75" customHeight="1">
      <c r="C713" s="65"/>
      <c r="D713" s="65"/>
      <c r="E713" s="65"/>
      <c r="F713" s="65"/>
      <c r="H713" s="65"/>
      <c r="J713" s="65"/>
      <c r="K713" s="65"/>
      <c r="L713" s="65"/>
    </row>
    <row r="714" ht="15.75" customHeight="1">
      <c r="C714" s="65"/>
      <c r="D714" s="65"/>
      <c r="E714" s="65"/>
      <c r="F714" s="65"/>
      <c r="H714" s="65"/>
      <c r="J714" s="65"/>
      <c r="K714" s="65"/>
      <c r="L714" s="65"/>
    </row>
    <row r="715" ht="15.75" customHeight="1">
      <c r="C715" s="65"/>
      <c r="D715" s="65"/>
      <c r="E715" s="65"/>
      <c r="F715" s="65"/>
      <c r="H715" s="65"/>
      <c r="J715" s="65"/>
      <c r="K715" s="65"/>
      <c r="L715" s="65"/>
    </row>
    <row r="716" ht="15.75" customHeight="1">
      <c r="C716" s="65"/>
      <c r="D716" s="65"/>
      <c r="E716" s="65"/>
      <c r="F716" s="65"/>
      <c r="H716" s="65"/>
      <c r="J716" s="65"/>
      <c r="K716" s="65"/>
      <c r="L716" s="65"/>
    </row>
    <row r="717" ht="15.75" customHeight="1">
      <c r="C717" s="65"/>
      <c r="D717" s="65"/>
      <c r="E717" s="65"/>
      <c r="F717" s="65"/>
      <c r="H717" s="65"/>
      <c r="J717" s="65"/>
      <c r="K717" s="65"/>
      <c r="L717" s="65"/>
    </row>
    <row r="718" ht="15.75" customHeight="1">
      <c r="C718" s="65"/>
      <c r="D718" s="65"/>
      <c r="E718" s="65"/>
      <c r="F718" s="65"/>
      <c r="H718" s="65"/>
      <c r="J718" s="65"/>
      <c r="K718" s="65"/>
      <c r="L718" s="65"/>
    </row>
    <row r="719" ht="15.75" customHeight="1">
      <c r="C719" s="65"/>
      <c r="D719" s="65"/>
      <c r="E719" s="65"/>
      <c r="F719" s="65"/>
      <c r="H719" s="65"/>
      <c r="J719" s="65"/>
      <c r="K719" s="65"/>
      <c r="L719" s="65"/>
    </row>
    <row r="720" ht="15.75" customHeight="1">
      <c r="C720" s="65"/>
      <c r="D720" s="65"/>
      <c r="E720" s="65"/>
      <c r="F720" s="65"/>
      <c r="H720" s="65"/>
      <c r="J720" s="65"/>
      <c r="K720" s="65"/>
      <c r="L720" s="65"/>
    </row>
    <row r="721" ht="15.75" customHeight="1">
      <c r="C721" s="65"/>
      <c r="D721" s="65"/>
      <c r="E721" s="65"/>
      <c r="F721" s="65"/>
      <c r="H721" s="65"/>
      <c r="J721" s="65"/>
      <c r="K721" s="65"/>
      <c r="L721" s="65"/>
    </row>
    <row r="722" ht="15.75" customHeight="1">
      <c r="C722" s="65"/>
      <c r="D722" s="65"/>
      <c r="E722" s="65"/>
      <c r="F722" s="65"/>
      <c r="H722" s="65"/>
      <c r="J722" s="65"/>
      <c r="K722" s="65"/>
      <c r="L722" s="65"/>
    </row>
    <row r="723" ht="15.75" customHeight="1">
      <c r="C723" s="65"/>
      <c r="D723" s="65"/>
      <c r="E723" s="65"/>
      <c r="F723" s="65"/>
      <c r="H723" s="65"/>
      <c r="J723" s="65"/>
      <c r="K723" s="65"/>
      <c r="L723" s="65"/>
    </row>
    <row r="724" ht="15.75" customHeight="1">
      <c r="C724" s="65"/>
      <c r="D724" s="65"/>
      <c r="E724" s="65"/>
      <c r="F724" s="65"/>
      <c r="H724" s="65"/>
      <c r="J724" s="65"/>
      <c r="K724" s="65"/>
      <c r="L724" s="65"/>
    </row>
    <row r="725" ht="15.75" customHeight="1">
      <c r="C725" s="65"/>
      <c r="D725" s="65"/>
      <c r="E725" s="65"/>
      <c r="F725" s="65"/>
      <c r="H725" s="65"/>
      <c r="J725" s="65"/>
      <c r="K725" s="65"/>
      <c r="L725" s="65"/>
    </row>
    <row r="726" ht="15.75" customHeight="1">
      <c r="C726" s="65"/>
      <c r="D726" s="65"/>
      <c r="E726" s="65"/>
      <c r="F726" s="65"/>
      <c r="H726" s="65"/>
      <c r="J726" s="65"/>
      <c r="K726" s="65"/>
      <c r="L726" s="65"/>
    </row>
    <row r="727" ht="15.75" customHeight="1">
      <c r="C727" s="65"/>
      <c r="D727" s="65"/>
      <c r="E727" s="65"/>
      <c r="F727" s="65"/>
      <c r="H727" s="65"/>
      <c r="J727" s="65"/>
      <c r="K727" s="65"/>
      <c r="L727" s="65"/>
    </row>
    <row r="728" ht="15.75" customHeight="1">
      <c r="C728" s="65"/>
      <c r="D728" s="65"/>
      <c r="E728" s="65"/>
      <c r="F728" s="65"/>
      <c r="H728" s="65"/>
      <c r="J728" s="65"/>
      <c r="K728" s="65"/>
      <c r="L728" s="65"/>
    </row>
    <row r="729" ht="15.75" customHeight="1">
      <c r="C729" s="65"/>
      <c r="D729" s="65"/>
      <c r="E729" s="65"/>
      <c r="F729" s="65"/>
      <c r="H729" s="65"/>
      <c r="J729" s="65"/>
      <c r="K729" s="65"/>
      <c r="L729" s="65"/>
    </row>
    <row r="730" ht="15.75" customHeight="1">
      <c r="C730" s="65"/>
      <c r="D730" s="65"/>
      <c r="E730" s="65"/>
      <c r="F730" s="65"/>
      <c r="H730" s="65"/>
      <c r="J730" s="65"/>
      <c r="K730" s="65"/>
      <c r="L730" s="65"/>
    </row>
    <row r="731" ht="15.75" customHeight="1">
      <c r="C731" s="65"/>
      <c r="D731" s="65"/>
      <c r="E731" s="65"/>
      <c r="F731" s="65"/>
      <c r="H731" s="65"/>
      <c r="J731" s="65"/>
      <c r="K731" s="65"/>
      <c r="L731" s="65"/>
    </row>
    <row r="732" ht="15.75" customHeight="1">
      <c r="C732" s="65"/>
      <c r="D732" s="65"/>
      <c r="E732" s="65"/>
      <c r="F732" s="65"/>
      <c r="H732" s="65"/>
      <c r="J732" s="65"/>
      <c r="K732" s="65"/>
      <c r="L732" s="65"/>
    </row>
    <row r="733" ht="15.75" customHeight="1">
      <c r="C733" s="65"/>
      <c r="D733" s="65"/>
      <c r="E733" s="65"/>
      <c r="F733" s="65"/>
      <c r="H733" s="65"/>
      <c r="J733" s="65"/>
      <c r="K733" s="65"/>
      <c r="L733" s="65"/>
    </row>
    <row r="734" ht="15.75" customHeight="1">
      <c r="C734" s="65"/>
      <c r="D734" s="65"/>
      <c r="E734" s="65"/>
      <c r="F734" s="65"/>
      <c r="H734" s="65"/>
      <c r="J734" s="65"/>
      <c r="K734" s="65"/>
      <c r="L734" s="65"/>
    </row>
    <row r="735" ht="15.75" customHeight="1">
      <c r="C735" s="65"/>
      <c r="D735" s="65"/>
      <c r="E735" s="65"/>
      <c r="F735" s="65"/>
      <c r="H735" s="65"/>
      <c r="J735" s="65"/>
      <c r="K735" s="65"/>
      <c r="L735" s="65"/>
    </row>
    <row r="736" ht="15.75" customHeight="1">
      <c r="C736" s="65"/>
      <c r="D736" s="65"/>
      <c r="E736" s="65"/>
      <c r="F736" s="65"/>
      <c r="H736" s="65"/>
      <c r="J736" s="65"/>
      <c r="K736" s="65"/>
      <c r="L736" s="65"/>
    </row>
    <row r="737" ht="15.75" customHeight="1">
      <c r="C737" s="65"/>
      <c r="D737" s="65"/>
      <c r="E737" s="65"/>
      <c r="F737" s="65"/>
      <c r="H737" s="65"/>
      <c r="J737" s="65"/>
      <c r="K737" s="65"/>
      <c r="L737" s="65"/>
    </row>
    <row r="738" ht="15.75" customHeight="1">
      <c r="C738" s="65"/>
      <c r="D738" s="65"/>
      <c r="E738" s="65"/>
      <c r="F738" s="65"/>
      <c r="H738" s="65"/>
      <c r="J738" s="65"/>
      <c r="K738" s="65"/>
      <c r="L738" s="65"/>
    </row>
    <row r="739" ht="15.75" customHeight="1">
      <c r="C739" s="65"/>
      <c r="D739" s="65"/>
      <c r="E739" s="65"/>
      <c r="F739" s="65"/>
      <c r="H739" s="65"/>
      <c r="J739" s="65"/>
      <c r="K739" s="65"/>
      <c r="L739" s="65"/>
    </row>
    <row r="740" ht="15.75" customHeight="1">
      <c r="C740" s="65"/>
      <c r="D740" s="65"/>
      <c r="E740" s="65"/>
      <c r="F740" s="65"/>
      <c r="H740" s="65"/>
      <c r="J740" s="65"/>
      <c r="K740" s="65"/>
      <c r="L740" s="65"/>
    </row>
    <row r="741" ht="15.75" customHeight="1">
      <c r="C741" s="65"/>
      <c r="D741" s="65"/>
      <c r="E741" s="65"/>
      <c r="F741" s="65"/>
      <c r="H741" s="65"/>
      <c r="J741" s="65"/>
      <c r="K741" s="65"/>
      <c r="L741" s="65"/>
    </row>
    <row r="742" ht="15.75" customHeight="1">
      <c r="C742" s="65"/>
      <c r="D742" s="65"/>
      <c r="E742" s="65"/>
      <c r="F742" s="65"/>
      <c r="H742" s="65"/>
      <c r="J742" s="65"/>
      <c r="K742" s="65"/>
      <c r="L742" s="65"/>
    </row>
    <row r="743" ht="15.75" customHeight="1">
      <c r="C743" s="65"/>
      <c r="D743" s="65"/>
      <c r="E743" s="65"/>
      <c r="F743" s="65"/>
      <c r="H743" s="65"/>
      <c r="J743" s="65"/>
      <c r="K743" s="65"/>
      <c r="L743" s="65"/>
    </row>
    <row r="744" ht="15.75" customHeight="1">
      <c r="C744" s="65"/>
      <c r="D744" s="65"/>
      <c r="E744" s="65"/>
      <c r="F744" s="65"/>
      <c r="H744" s="65"/>
      <c r="J744" s="65"/>
      <c r="K744" s="65"/>
      <c r="L744" s="65"/>
    </row>
    <row r="745" ht="15.75" customHeight="1">
      <c r="C745" s="65"/>
      <c r="D745" s="65"/>
      <c r="E745" s="65"/>
      <c r="F745" s="65"/>
      <c r="H745" s="65"/>
      <c r="J745" s="65"/>
      <c r="K745" s="65"/>
      <c r="L745" s="65"/>
    </row>
    <row r="746" ht="15.75" customHeight="1">
      <c r="C746" s="65"/>
      <c r="D746" s="65"/>
      <c r="E746" s="65"/>
      <c r="F746" s="65"/>
      <c r="H746" s="65"/>
      <c r="J746" s="65"/>
      <c r="K746" s="65"/>
      <c r="L746" s="65"/>
    </row>
    <row r="747" ht="15.75" customHeight="1">
      <c r="C747" s="65"/>
      <c r="D747" s="65"/>
      <c r="E747" s="65"/>
      <c r="F747" s="65"/>
      <c r="H747" s="65"/>
      <c r="J747" s="65"/>
      <c r="K747" s="65"/>
      <c r="L747" s="65"/>
    </row>
    <row r="748" ht="15.75" customHeight="1">
      <c r="C748" s="65"/>
      <c r="D748" s="65"/>
      <c r="E748" s="65"/>
      <c r="F748" s="65"/>
      <c r="H748" s="65"/>
      <c r="J748" s="65"/>
      <c r="K748" s="65"/>
      <c r="L748" s="65"/>
    </row>
    <row r="749" ht="15.75" customHeight="1">
      <c r="C749" s="65"/>
      <c r="D749" s="65"/>
      <c r="E749" s="65"/>
      <c r="F749" s="65"/>
      <c r="H749" s="65"/>
      <c r="J749" s="65"/>
      <c r="K749" s="65"/>
      <c r="L749" s="65"/>
    </row>
    <row r="750" ht="15.75" customHeight="1">
      <c r="C750" s="65"/>
      <c r="D750" s="65"/>
      <c r="E750" s="65"/>
      <c r="F750" s="65"/>
      <c r="H750" s="65"/>
      <c r="J750" s="65"/>
      <c r="K750" s="65"/>
      <c r="L750" s="65"/>
    </row>
    <row r="751" ht="15.75" customHeight="1">
      <c r="C751" s="65"/>
      <c r="D751" s="65"/>
      <c r="E751" s="65"/>
      <c r="F751" s="65"/>
      <c r="H751" s="65"/>
      <c r="J751" s="65"/>
      <c r="K751" s="65"/>
      <c r="L751" s="65"/>
    </row>
    <row r="752" ht="15.75" customHeight="1">
      <c r="C752" s="65"/>
      <c r="D752" s="65"/>
      <c r="E752" s="65"/>
      <c r="F752" s="65"/>
      <c r="H752" s="65"/>
      <c r="J752" s="65"/>
      <c r="K752" s="65"/>
      <c r="L752" s="65"/>
    </row>
    <row r="753" ht="15.75" customHeight="1">
      <c r="C753" s="65"/>
      <c r="D753" s="65"/>
      <c r="E753" s="65"/>
      <c r="F753" s="65"/>
      <c r="H753" s="65"/>
      <c r="J753" s="65"/>
      <c r="K753" s="65"/>
      <c r="L753" s="65"/>
    </row>
    <row r="754" ht="15.75" customHeight="1">
      <c r="C754" s="65"/>
      <c r="D754" s="65"/>
      <c r="E754" s="65"/>
      <c r="F754" s="65"/>
      <c r="H754" s="65"/>
      <c r="J754" s="65"/>
      <c r="K754" s="65"/>
      <c r="L754" s="65"/>
    </row>
    <row r="755" ht="15.75" customHeight="1">
      <c r="C755" s="65"/>
      <c r="D755" s="65"/>
      <c r="E755" s="65"/>
      <c r="F755" s="65"/>
      <c r="H755" s="65"/>
      <c r="J755" s="65"/>
      <c r="K755" s="65"/>
      <c r="L755" s="65"/>
    </row>
    <row r="756" ht="15.75" customHeight="1">
      <c r="C756" s="65"/>
      <c r="D756" s="65"/>
      <c r="E756" s="65"/>
      <c r="F756" s="65"/>
      <c r="H756" s="65"/>
      <c r="J756" s="65"/>
      <c r="K756" s="65"/>
      <c r="L756" s="65"/>
    </row>
    <row r="757" ht="15.75" customHeight="1">
      <c r="C757" s="65"/>
      <c r="D757" s="65"/>
      <c r="E757" s="65"/>
      <c r="F757" s="65"/>
      <c r="H757" s="65"/>
      <c r="J757" s="65"/>
      <c r="K757" s="65"/>
      <c r="L757" s="65"/>
    </row>
    <row r="758" ht="15.75" customHeight="1">
      <c r="C758" s="65"/>
      <c r="D758" s="65"/>
      <c r="E758" s="65"/>
      <c r="F758" s="65"/>
      <c r="H758" s="65"/>
      <c r="J758" s="65"/>
      <c r="K758" s="65"/>
      <c r="L758" s="65"/>
    </row>
    <row r="759" ht="15.75" customHeight="1">
      <c r="C759" s="65"/>
      <c r="D759" s="65"/>
      <c r="E759" s="65"/>
      <c r="F759" s="65"/>
      <c r="H759" s="65"/>
      <c r="J759" s="65"/>
      <c r="K759" s="65"/>
      <c r="L759" s="65"/>
    </row>
    <row r="760" ht="15.75" customHeight="1">
      <c r="C760" s="65"/>
      <c r="D760" s="65"/>
      <c r="E760" s="65"/>
      <c r="F760" s="65"/>
      <c r="H760" s="65"/>
      <c r="J760" s="65"/>
      <c r="K760" s="65"/>
      <c r="L760" s="65"/>
    </row>
    <row r="761" ht="15.75" customHeight="1">
      <c r="C761" s="65"/>
      <c r="D761" s="65"/>
      <c r="E761" s="65"/>
      <c r="F761" s="65"/>
      <c r="H761" s="65"/>
      <c r="J761" s="65"/>
      <c r="K761" s="65"/>
      <c r="L761" s="65"/>
    </row>
    <row r="762" ht="15.75" customHeight="1">
      <c r="C762" s="65"/>
      <c r="D762" s="65"/>
      <c r="E762" s="65"/>
      <c r="F762" s="65"/>
      <c r="H762" s="65"/>
      <c r="J762" s="65"/>
      <c r="K762" s="65"/>
      <c r="L762" s="65"/>
    </row>
    <row r="763" ht="15.75" customHeight="1">
      <c r="C763" s="65"/>
      <c r="D763" s="65"/>
      <c r="E763" s="65"/>
      <c r="F763" s="65"/>
      <c r="H763" s="65"/>
      <c r="J763" s="65"/>
      <c r="K763" s="65"/>
      <c r="L763" s="65"/>
    </row>
    <row r="764" ht="15.75" customHeight="1">
      <c r="C764" s="65"/>
      <c r="D764" s="65"/>
      <c r="E764" s="65"/>
      <c r="F764" s="65"/>
      <c r="H764" s="65"/>
      <c r="J764" s="65"/>
      <c r="K764" s="65"/>
      <c r="L764" s="65"/>
    </row>
    <row r="765" ht="15.75" customHeight="1">
      <c r="C765" s="65"/>
      <c r="D765" s="65"/>
      <c r="E765" s="65"/>
      <c r="F765" s="65"/>
      <c r="H765" s="65"/>
      <c r="J765" s="65"/>
      <c r="K765" s="65"/>
      <c r="L765" s="65"/>
    </row>
    <row r="766" ht="15.75" customHeight="1">
      <c r="C766" s="65"/>
      <c r="D766" s="65"/>
      <c r="E766" s="65"/>
      <c r="F766" s="65"/>
      <c r="H766" s="65"/>
      <c r="J766" s="65"/>
      <c r="K766" s="65"/>
      <c r="L766" s="65"/>
    </row>
    <row r="767" ht="15.75" customHeight="1">
      <c r="C767" s="65"/>
      <c r="D767" s="65"/>
      <c r="E767" s="65"/>
      <c r="F767" s="65"/>
      <c r="H767" s="65"/>
      <c r="J767" s="65"/>
      <c r="K767" s="65"/>
      <c r="L767" s="65"/>
    </row>
    <row r="768" ht="15.75" customHeight="1">
      <c r="C768" s="65"/>
      <c r="D768" s="65"/>
      <c r="E768" s="65"/>
      <c r="F768" s="65"/>
      <c r="H768" s="65"/>
      <c r="J768" s="65"/>
      <c r="K768" s="65"/>
      <c r="L768" s="65"/>
    </row>
    <row r="769" ht="15.75" customHeight="1">
      <c r="C769" s="65"/>
      <c r="D769" s="65"/>
      <c r="E769" s="65"/>
      <c r="F769" s="65"/>
      <c r="H769" s="65"/>
      <c r="J769" s="65"/>
      <c r="K769" s="65"/>
      <c r="L769" s="65"/>
    </row>
    <row r="770" ht="15.75" customHeight="1">
      <c r="C770" s="65"/>
      <c r="D770" s="65"/>
      <c r="E770" s="65"/>
      <c r="F770" s="65"/>
      <c r="H770" s="65"/>
      <c r="J770" s="65"/>
      <c r="K770" s="65"/>
      <c r="L770" s="65"/>
    </row>
    <row r="771" ht="15.75" customHeight="1">
      <c r="C771" s="65"/>
      <c r="D771" s="65"/>
      <c r="E771" s="65"/>
      <c r="F771" s="65"/>
      <c r="H771" s="65"/>
      <c r="J771" s="65"/>
      <c r="K771" s="65"/>
      <c r="L771" s="65"/>
    </row>
    <row r="772" ht="15.75" customHeight="1">
      <c r="C772" s="65"/>
      <c r="D772" s="65"/>
      <c r="E772" s="65"/>
      <c r="F772" s="65"/>
      <c r="H772" s="65"/>
      <c r="J772" s="65"/>
      <c r="K772" s="65"/>
      <c r="L772" s="65"/>
    </row>
    <row r="773" ht="15.75" customHeight="1">
      <c r="C773" s="65"/>
      <c r="D773" s="65"/>
      <c r="E773" s="65"/>
      <c r="F773" s="65"/>
      <c r="H773" s="65"/>
      <c r="J773" s="65"/>
      <c r="K773" s="65"/>
      <c r="L773" s="65"/>
    </row>
    <row r="774" ht="15.75" customHeight="1">
      <c r="C774" s="65"/>
      <c r="D774" s="65"/>
      <c r="E774" s="65"/>
      <c r="F774" s="65"/>
      <c r="H774" s="65"/>
      <c r="J774" s="65"/>
      <c r="K774" s="65"/>
      <c r="L774" s="65"/>
    </row>
    <row r="775" ht="15.75" customHeight="1">
      <c r="C775" s="65"/>
      <c r="D775" s="65"/>
      <c r="E775" s="65"/>
      <c r="F775" s="65"/>
      <c r="H775" s="65"/>
      <c r="J775" s="65"/>
      <c r="K775" s="65"/>
      <c r="L775" s="65"/>
    </row>
    <row r="776" ht="15.75" customHeight="1">
      <c r="C776" s="65"/>
      <c r="D776" s="65"/>
      <c r="E776" s="65"/>
      <c r="F776" s="65"/>
      <c r="H776" s="65"/>
      <c r="J776" s="65"/>
      <c r="K776" s="65"/>
      <c r="L776" s="65"/>
    </row>
    <row r="777" ht="15.75" customHeight="1">
      <c r="C777" s="65"/>
      <c r="D777" s="65"/>
      <c r="E777" s="65"/>
      <c r="F777" s="65"/>
      <c r="H777" s="65"/>
      <c r="J777" s="65"/>
      <c r="K777" s="65"/>
      <c r="L777" s="65"/>
    </row>
    <row r="778" ht="15.75" customHeight="1">
      <c r="C778" s="65"/>
      <c r="D778" s="65"/>
      <c r="E778" s="65"/>
      <c r="F778" s="65"/>
      <c r="H778" s="65"/>
      <c r="J778" s="65"/>
      <c r="K778" s="65"/>
      <c r="L778" s="65"/>
    </row>
    <row r="779" ht="15.75" customHeight="1">
      <c r="C779" s="65"/>
      <c r="D779" s="65"/>
      <c r="E779" s="65"/>
      <c r="F779" s="65"/>
      <c r="H779" s="65"/>
      <c r="J779" s="65"/>
      <c r="K779" s="65"/>
      <c r="L779" s="65"/>
    </row>
    <row r="780" ht="15.75" customHeight="1">
      <c r="C780" s="65"/>
      <c r="D780" s="65"/>
      <c r="E780" s="65"/>
      <c r="F780" s="65"/>
      <c r="H780" s="65"/>
      <c r="J780" s="65"/>
      <c r="K780" s="65"/>
      <c r="L780" s="65"/>
    </row>
    <row r="781" ht="15.75" customHeight="1">
      <c r="C781" s="65"/>
      <c r="D781" s="65"/>
      <c r="E781" s="65"/>
      <c r="F781" s="65"/>
      <c r="H781" s="65"/>
      <c r="J781" s="65"/>
      <c r="K781" s="65"/>
      <c r="L781" s="65"/>
    </row>
    <row r="782" ht="15.75" customHeight="1">
      <c r="C782" s="65"/>
      <c r="D782" s="65"/>
      <c r="E782" s="65"/>
      <c r="F782" s="65"/>
      <c r="H782" s="65"/>
      <c r="J782" s="65"/>
      <c r="K782" s="65"/>
      <c r="L782" s="65"/>
    </row>
    <row r="783" ht="15.75" customHeight="1">
      <c r="C783" s="65"/>
      <c r="D783" s="65"/>
      <c r="E783" s="65"/>
      <c r="F783" s="65"/>
      <c r="H783" s="65"/>
      <c r="J783" s="65"/>
      <c r="K783" s="65"/>
      <c r="L783" s="65"/>
    </row>
    <row r="784" ht="15.75" customHeight="1">
      <c r="C784" s="65"/>
      <c r="D784" s="65"/>
      <c r="E784" s="65"/>
      <c r="F784" s="65"/>
      <c r="H784" s="65"/>
      <c r="J784" s="65"/>
      <c r="K784" s="65"/>
      <c r="L784" s="65"/>
    </row>
    <row r="785" ht="15.75" customHeight="1">
      <c r="C785" s="65"/>
      <c r="D785" s="65"/>
      <c r="E785" s="65"/>
      <c r="F785" s="65"/>
      <c r="H785" s="65"/>
      <c r="J785" s="65"/>
      <c r="K785" s="65"/>
      <c r="L785" s="65"/>
    </row>
    <row r="786" ht="15.75" customHeight="1">
      <c r="C786" s="65"/>
      <c r="D786" s="65"/>
      <c r="E786" s="65"/>
      <c r="F786" s="65"/>
      <c r="H786" s="65"/>
      <c r="J786" s="65"/>
      <c r="K786" s="65"/>
      <c r="L786" s="65"/>
    </row>
    <row r="787" ht="15.75" customHeight="1">
      <c r="C787" s="65"/>
      <c r="D787" s="65"/>
      <c r="E787" s="65"/>
      <c r="F787" s="65"/>
      <c r="H787" s="65"/>
      <c r="J787" s="65"/>
      <c r="K787" s="65"/>
      <c r="L787" s="65"/>
    </row>
    <row r="788" ht="15.75" customHeight="1">
      <c r="C788" s="65"/>
      <c r="D788" s="65"/>
      <c r="E788" s="65"/>
      <c r="F788" s="65"/>
      <c r="H788" s="65"/>
      <c r="J788" s="65"/>
      <c r="K788" s="65"/>
      <c r="L788" s="65"/>
    </row>
    <row r="789" ht="15.75" customHeight="1">
      <c r="C789" s="65"/>
      <c r="D789" s="65"/>
      <c r="E789" s="65"/>
      <c r="F789" s="65"/>
      <c r="H789" s="65"/>
      <c r="J789" s="65"/>
      <c r="K789" s="65"/>
      <c r="L789" s="65"/>
    </row>
    <row r="790" ht="15.75" customHeight="1">
      <c r="C790" s="65"/>
      <c r="D790" s="65"/>
      <c r="E790" s="65"/>
      <c r="F790" s="65"/>
      <c r="H790" s="65"/>
      <c r="J790" s="65"/>
      <c r="K790" s="65"/>
      <c r="L790" s="65"/>
    </row>
    <row r="791" ht="15.75" customHeight="1">
      <c r="C791" s="65"/>
      <c r="D791" s="65"/>
      <c r="E791" s="65"/>
      <c r="F791" s="65"/>
      <c r="H791" s="65"/>
      <c r="J791" s="65"/>
      <c r="K791" s="65"/>
      <c r="L791" s="65"/>
    </row>
    <row r="792" ht="15.75" customHeight="1">
      <c r="C792" s="65"/>
      <c r="D792" s="65"/>
      <c r="E792" s="65"/>
      <c r="F792" s="65"/>
      <c r="H792" s="65"/>
      <c r="J792" s="65"/>
      <c r="K792" s="65"/>
      <c r="L792" s="65"/>
    </row>
    <row r="793" ht="15.75" customHeight="1">
      <c r="C793" s="65"/>
      <c r="D793" s="65"/>
      <c r="E793" s="65"/>
      <c r="F793" s="65"/>
      <c r="H793" s="65"/>
      <c r="J793" s="65"/>
      <c r="K793" s="65"/>
      <c r="L793" s="65"/>
    </row>
    <row r="794" ht="15.75" customHeight="1">
      <c r="C794" s="65"/>
      <c r="D794" s="65"/>
      <c r="E794" s="65"/>
      <c r="F794" s="65"/>
      <c r="H794" s="65"/>
      <c r="J794" s="65"/>
      <c r="K794" s="65"/>
      <c r="L794" s="65"/>
    </row>
    <row r="795" ht="15.75" customHeight="1">
      <c r="C795" s="65"/>
      <c r="D795" s="65"/>
      <c r="E795" s="65"/>
      <c r="F795" s="65"/>
      <c r="H795" s="65"/>
      <c r="J795" s="65"/>
      <c r="K795" s="65"/>
      <c r="L795" s="65"/>
    </row>
    <row r="796" ht="15.75" customHeight="1">
      <c r="C796" s="65"/>
      <c r="D796" s="65"/>
      <c r="E796" s="65"/>
      <c r="F796" s="65"/>
      <c r="H796" s="65"/>
      <c r="J796" s="65"/>
      <c r="K796" s="65"/>
      <c r="L796" s="65"/>
    </row>
    <row r="797" ht="15.75" customHeight="1">
      <c r="C797" s="65"/>
      <c r="D797" s="65"/>
      <c r="E797" s="65"/>
      <c r="F797" s="65"/>
      <c r="H797" s="65"/>
      <c r="J797" s="65"/>
      <c r="K797" s="65"/>
      <c r="L797" s="65"/>
    </row>
    <row r="798" ht="15.75" customHeight="1">
      <c r="C798" s="65"/>
      <c r="D798" s="65"/>
      <c r="E798" s="65"/>
      <c r="F798" s="65"/>
      <c r="H798" s="65"/>
      <c r="J798" s="65"/>
      <c r="K798" s="65"/>
      <c r="L798" s="65"/>
    </row>
    <row r="799" ht="15.75" customHeight="1">
      <c r="C799" s="65"/>
      <c r="D799" s="65"/>
      <c r="E799" s="65"/>
      <c r="F799" s="65"/>
      <c r="H799" s="65"/>
      <c r="J799" s="65"/>
      <c r="K799" s="65"/>
      <c r="L799" s="65"/>
    </row>
    <row r="800" ht="15.75" customHeight="1">
      <c r="C800" s="65"/>
      <c r="D800" s="65"/>
      <c r="E800" s="65"/>
      <c r="F800" s="65"/>
      <c r="H800" s="65"/>
      <c r="J800" s="65"/>
      <c r="K800" s="65"/>
      <c r="L800" s="65"/>
    </row>
    <row r="801" ht="15.75" customHeight="1">
      <c r="C801" s="65"/>
      <c r="D801" s="65"/>
      <c r="E801" s="65"/>
      <c r="F801" s="65"/>
      <c r="H801" s="65"/>
      <c r="J801" s="65"/>
      <c r="K801" s="65"/>
      <c r="L801" s="65"/>
    </row>
    <row r="802" ht="15.75" customHeight="1">
      <c r="C802" s="65"/>
      <c r="D802" s="65"/>
      <c r="E802" s="65"/>
      <c r="F802" s="65"/>
      <c r="H802" s="65"/>
      <c r="J802" s="65"/>
      <c r="K802" s="65"/>
      <c r="L802" s="65"/>
    </row>
    <row r="803" ht="15.75" customHeight="1">
      <c r="C803" s="65"/>
      <c r="D803" s="65"/>
      <c r="E803" s="65"/>
      <c r="F803" s="65"/>
      <c r="H803" s="65"/>
      <c r="J803" s="65"/>
      <c r="K803" s="65"/>
      <c r="L803" s="65"/>
    </row>
    <row r="804" ht="15.75" customHeight="1">
      <c r="C804" s="65"/>
      <c r="D804" s="65"/>
      <c r="E804" s="65"/>
      <c r="F804" s="65"/>
      <c r="H804" s="65"/>
      <c r="J804" s="65"/>
      <c r="K804" s="65"/>
      <c r="L804" s="65"/>
    </row>
    <row r="805" ht="15.75" customHeight="1">
      <c r="C805" s="65"/>
      <c r="D805" s="65"/>
      <c r="E805" s="65"/>
      <c r="F805" s="65"/>
      <c r="H805" s="65"/>
      <c r="J805" s="65"/>
      <c r="K805" s="65"/>
      <c r="L805" s="65"/>
    </row>
    <row r="806" ht="15.75" customHeight="1">
      <c r="C806" s="65"/>
      <c r="D806" s="65"/>
      <c r="E806" s="65"/>
      <c r="F806" s="65"/>
      <c r="H806" s="65"/>
      <c r="J806" s="65"/>
      <c r="K806" s="65"/>
      <c r="L806" s="65"/>
    </row>
    <row r="807" ht="15.75" customHeight="1">
      <c r="C807" s="65"/>
      <c r="D807" s="65"/>
      <c r="E807" s="65"/>
      <c r="F807" s="65"/>
      <c r="H807" s="65"/>
      <c r="J807" s="65"/>
      <c r="K807" s="65"/>
      <c r="L807" s="65"/>
    </row>
    <row r="808" ht="15.75" customHeight="1">
      <c r="C808" s="65"/>
      <c r="D808" s="65"/>
      <c r="E808" s="65"/>
      <c r="F808" s="65"/>
      <c r="H808" s="65"/>
      <c r="J808" s="65"/>
      <c r="K808" s="65"/>
      <c r="L808" s="65"/>
    </row>
    <row r="809" ht="15.75" customHeight="1">
      <c r="C809" s="65"/>
      <c r="D809" s="65"/>
      <c r="E809" s="65"/>
      <c r="F809" s="65"/>
      <c r="H809" s="65"/>
      <c r="J809" s="65"/>
      <c r="K809" s="65"/>
      <c r="L809" s="65"/>
    </row>
    <row r="810" ht="15.75" customHeight="1">
      <c r="C810" s="65"/>
      <c r="D810" s="65"/>
      <c r="E810" s="65"/>
      <c r="F810" s="65"/>
      <c r="H810" s="65"/>
      <c r="J810" s="65"/>
      <c r="K810" s="65"/>
      <c r="L810" s="65"/>
    </row>
    <row r="811" ht="15.75" customHeight="1">
      <c r="C811" s="65"/>
      <c r="D811" s="65"/>
      <c r="E811" s="65"/>
      <c r="F811" s="65"/>
      <c r="H811" s="65"/>
      <c r="J811" s="65"/>
      <c r="K811" s="65"/>
      <c r="L811" s="65"/>
    </row>
    <row r="812" ht="15.75" customHeight="1">
      <c r="C812" s="65"/>
      <c r="D812" s="65"/>
      <c r="E812" s="65"/>
      <c r="F812" s="65"/>
      <c r="H812" s="65"/>
      <c r="J812" s="65"/>
      <c r="K812" s="65"/>
      <c r="L812" s="65"/>
    </row>
    <row r="813" ht="15.75" customHeight="1">
      <c r="C813" s="65"/>
      <c r="D813" s="65"/>
      <c r="E813" s="65"/>
      <c r="F813" s="65"/>
      <c r="H813" s="65"/>
      <c r="J813" s="65"/>
      <c r="K813" s="65"/>
      <c r="L813" s="65"/>
    </row>
    <row r="814" ht="15.75" customHeight="1">
      <c r="C814" s="65"/>
      <c r="D814" s="65"/>
      <c r="E814" s="65"/>
      <c r="F814" s="65"/>
      <c r="H814" s="65"/>
      <c r="J814" s="65"/>
      <c r="K814" s="65"/>
      <c r="L814" s="65"/>
    </row>
    <row r="815" ht="15.75" customHeight="1">
      <c r="C815" s="65"/>
      <c r="D815" s="65"/>
      <c r="E815" s="65"/>
      <c r="F815" s="65"/>
      <c r="H815" s="65"/>
      <c r="J815" s="65"/>
      <c r="K815" s="65"/>
      <c r="L815" s="65"/>
    </row>
    <row r="816" ht="15.75" customHeight="1">
      <c r="C816" s="65"/>
      <c r="D816" s="65"/>
      <c r="E816" s="65"/>
      <c r="F816" s="65"/>
      <c r="H816" s="65"/>
      <c r="J816" s="65"/>
      <c r="K816" s="65"/>
      <c r="L816" s="65"/>
    </row>
    <row r="817" ht="15.75" customHeight="1">
      <c r="C817" s="65"/>
      <c r="D817" s="65"/>
      <c r="E817" s="65"/>
      <c r="F817" s="65"/>
      <c r="H817" s="65"/>
      <c r="J817" s="65"/>
      <c r="K817" s="65"/>
      <c r="L817" s="65"/>
    </row>
    <row r="818" ht="15.75" customHeight="1">
      <c r="C818" s="65"/>
      <c r="D818" s="65"/>
      <c r="E818" s="65"/>
      <c r="F818" s="65"/>
      <c r="H818" s="65"/>
      <c r="J818" s="65"/>
      <c r="K818" s="65"/>
      <c r="L818" s="65"/>
    </row>
    <row r="819" ht="15.75" customHeight="1">
      <c r="C819" s="65"/>
      <c r="D819" s="65"/>
      <c r="E819" s="65"/>
      <c r="F819" s="65"/>
      <c r="H819" s="65"/>
      <c r="J819" s="65"/>
      <c r="K819" s="65"/>
      <c r="L819" s="65"/>
    </row>
    <row r="820" ht="15.75" customHeight="1">
      <c r="C820" s="65"/>
      <c r="D820" s="65"/>
      <c r="E820" s="65"/>
      <c r="F820" s="65"/>
      <c r="H820" s="65"/>
      <c r="J820" s="65"/>
      <c r="K820" s="65"/>
      <c r="L820" s="65"/>
    </row>
    <row r="821" ht="15.75" customHeight="1">
      <c r="C821" s="65"/>
      <c r="D821" s="65"/>
      <c r="E821" s="65"/>
      <c r="F821" s="65"/>
      <c r="H821" s="65"/>
      <c r="J821" s="65"/>
      <c r="K821" s="65"/>
      <c r="L821" s="65"/>
    </row>
    <row r="822" ht="15.75" customHeight="1">
      <c r="C822" s="65"/>
      <c r="D822" s="65"/>
      <c r="E822" s="65"/>
      <c r="F822" s="65"/>
      <c r="H822" s="65"/>
      <c r="J822" s="65"/>
      <c r="K822" s="65"/>
      <c r="L822" s="65"/>
    </row>
    <row r="823" ht="15.75" customHeight="1">
      <c r="C823" s="65"/>
      <c r="D823" s="65"/>
      <c r="E823" s="65"/>
      <c r="F823" s="65"/>
      <c r="H823" s="65"/>
      <c r="J823" s="65"/>
      <c r="K823" s="65"/>
      <c r="L823" s="65"/>
    </row>
    <row r="824" ht="15.75" customHeight="1">
      <c r="C824" s="65"/>
      <c r="D824" s="65"/>
      <c r="E824" s="65"/>
      <c r="F824" s="65"/>
      <c r="H824" s="65"/>
      <c r="J824" s="65"/>
      <c r="K824" s="65"/>
      <c r="L824" s="65"/>
    </row>
    <row r="825" ht="15.75" customHeight="1">
      <c r="C825" s="65"/>
      <c r="D825" s="65"/>
      <c r="E825" s="65"/>
      <c r="F825" s="65"/>
      <c r="H825" s="65"/>
      <c r="J825" s="65"/>
      <c r="K825" s="65"/>
      <c r="L825" s="65"/>
    </row>
    <row r="826" ht="15.75" customHeight="1">
      <c r="C826" s="65"/>
      <c r="D826" s="65"/>
      <c r="E826" s="65"/>
      <c r="F826" s="65"/>
      <c r="H826" s="65"/>
      <c r="J826" s="65"/>
      <c r="K826" s="65"/>
      <c r="L826" s="65"/>
    </row>
    <row r="827" ht="15.75" customHeight="1">
      <c r="C827" s="65"/>
      <c r="D827" s="65"/>
      <c r="E827" s="65"/>
      <c r="F827" s="65"/>
      <c r="H827" s="65"/>
      <c r="J827" s="65"/>
      <c r="K827" s="65"/>
      <c r="L827" s="65"/>
    </row>
    <row r="828" ht="15.75" customHeight="1">
      <c r="C828" s="65"/>
      <c r="D828" s="65"/>
      <c r="E828" s="65"/>
      <c r="F828" s="65"/>
      <c r="H828" s="65"/>
      <c r="J828" s="65"/>
      <c r="K828" s="65"/>
      <c r="L828" s="65"/>
    </row>
    <row r="829" ht="15.75" customHeight="1">
      <c r="C829" s="65"/>
      <c r="D829" s="65"/>
      <c r="E829" s="65"/>
      <c r="F829" s="65"/>
      <c r="H829" s="65"/>
      <c r="J829" s="65"/>
      <c r="K829" s="65"/>
      <c r="L829" s="65"/>
    </row>
    <row r="830" ht="15.75" customHeight="1">
      <c r="C830" s="65"/>
      <c r="D830" s="65"/>
      <c r="E830" s="65"/>
      <c r="F830" s="65"/>
      <c r="H830" s="65"/>
      <c r="J830" s="65"/>
      <c r="K830" s="65"/>
      <c r="L830" s="65"/>
    </row>
    <row r="831" ht="15.75" customHeight="1">
      <c r="C831" s="65"/>
      <c r="D831" s="65"/>
      <c r="E831" s="65"/>
      <c r="F831" s="65"/>
      <c r="H831" s="65"/>
      <c r="J831" s="65"/>
      <c r="K831" s="65"/>
      <c r="L831" s="65"/>
    </row>
    <row r="832" ht="15.75" customHeight="1">
      <c r="C832" s="65"/>
      <c r="D832" s="65"/>
      <c r="E832" s="65"/>
      <c r="F832" s="65"/>
      <c r="H832" s="65"/>
      <c r="J832" s="65"/>
      <c r="K832" s="65"/>
      <c r="L832" s="65"/>
    </row>
    <row r="833" ht="15.75" customHeight="1">
      <c r="C833" s="65"/>
      <c r="D833" s="65"/>
      <c r="E833" s="65"/>
      <c r="F833" s="65"/>
      <c r="H833" s="65"/>
      <c r="J833" s="65"/>
      <c r="K833" s="65"/>
      <c r="L833" s="65"/>
    </row>
    <row r="834" ht="15.75" customHeight="1">
      <c r="C834" s="65"/>
      <c r="D834" s="65"/>
      <c r="E834" s="65"/>
      <c r="F834" s="65"/>
      <c r="H834" s="65"/>
      <c r="J834" s="65"/>
      <c r="K834" s="65"/>
      <c r="L834" s="65"/>
    </row>
    <row r="835" ht="15.75" customHeight="1">
      <c r="C835" s="65"/>
      <c r="D835" s="65"/>
      <c r="E835" s="65"/>
      <c r="F835" s="65"/>
      <c r="H835" s="65"/>
      <c r="J835" s="65"/>
      <c r="K835" s="65"/>
      <c r="L835" s="65"/>
    </row>
    <row r="836" ht="15.75" customHeight="1">
      <c r="C836" s="65"/>
      <c r="D836" s="65"/>
      <c r="E836" s="65"/>
      <c r="F836" s="65"/>
      <c r="H836" s="65"/>
      <c r="J836" s="65"/>
      <c r="K836" s="65"/>
      <c r="L836" s="65"/>
    </row>
    <row r="837" ht="15.75" customHeight="1">
      <c r="C837" s="65"/>
      <c r="D837" s="65"/>
      <c r="E837" s="65"/>
      <c r="F837" s="65"/>
      <c r="H837" s="65"/>
      <c r="J837" s="65"/>
      <c r="K837" s="65"/>
      <c r="L837" s="65"/>
    </row>
    <row r="838" ht="15.75" customHeight="1">
      <c r="C838" s="65"/>
      <c r="D838" s="65"/>
      <c r="E838" s="65"/>
      <c r="F838" s="65"/>
      <c r="H838" s="65"/>
      <c r="J838" s="65"/>
      <c r="K838" s="65"/>
      <c r="L838" s="65"/>
    </row>
    <row r="839" ht="15.75" customHeight="1">
      <c r="C839" s="65"/>
      <c r="D839" s="65"/>
      <c r="E839" s="65"/>
      <c r="F839" s="65"/>
      <c r="H839" s="65"/>
      <c r="J839" s="65"/>
      <c r="K839" s="65"/>
      <c r="L839" s="65"/>
    </row>
    <row r="840" ht="15.75" customHeight="1">
      <c r="C840" s="65"/>
      <c r="D840" s="65"/>
      <c r="E840" s="65"/>
      <c r="F840" s="65"/>
      <c r="H840" s="65"/>
      <c r="J840" s="65"/>
      <c r="K840" s="65"/>
      <c r="L840" s="65"/>
    </row>
    <row r="841" ht="15.75" customHeight="1">
      <c r="C841" s="65"/>
      <c r="D841" s="65"/>
      <c r="E841" s="65"/>
      <c r="F841" s="65"/>
      <c r="H841" s="65"/>
      <c r="J841" s="65"/>
      <c r="K841" s="65"/>
      <c r="L841" s="65"/>
    </row>
    <row r="842" ht="15.75" customHeight="1">
      <c r="C842" s="65"/>
      <c r="D842" s="65"/>
      <c r="E842" s="65"/>
      <c r="F842" s="65"/>
      <c r="H842" s="65"/>
      <c r="J842" s="65"/>
      <c r="K842" s="65"/>
      <c r="L842" s="65"/>
    </row>
    <row r="843" ht="15.75" customHeight="1">
      <c r="C843" s="65"/>
      <c r="D843" s="65"/>
      <c r="E843" s="65"/>
      <c r="F843" s="65"/>
      <c r="H843" s="65"/>
      <c r="J843" s="65"/>
      <c r="K843" s="65"/>
      <c r="L843" s="65"/>
    </row>
    <row r="844" ht="15.75" customHeight="1">
      <c r="C844" s="65"/>
      <c r="D844" s="65"/>
      <c r="E844" s="65"/>
      <c r="F844" s="65"/>
      <c r="H844" s="65"/>
      <c r="J844" s="65"/>
      <c r="K844" s="65"/>
      <c r="L844" s="65"/>
    </row>
    <row r="845" ht="15.75" customHeight="1">
      <c r="C845" s="65"/>
      <c r="D845" s="65"/>
      <c r="E845" s="65"/>
      <c r="F845" s="65"/>
      <c r="H845" s="65"/>
      <c r="J845" s="65"/>
      <c r="K845" s="65"/>
      <c r="L845" s="65"/>
    </row>
    <row r="846" ht="15.75" customHeight="1">
      <c r="C846" s="65"/>
      <c r="D846" s="65"/>
      <c r="E846" s="65"/>
      <c r="F846" s="65"/>
      <c r="H846" s="65"/>
      <c r="J846" s="65"/>
      <c r="K846" s="65"/>
      <c r="L846" s="65"/>
    </row>
    <row r="847" ht="15.75" customHeight="1">
      <c r="C847" s="65"/>
      <c r="D847" s="65"/>
      <c r="E847" s="65"/>
      <c r="F847" s="65"/>
      <c r="H847" s="65"/>
      <c r="J847" s="65"/>
      <c r="K847" s="65"/>
      <c r="L847" s="65"/>
    </row>
    <row r="848" ht="15.75" customHeight="1">
      <c r="C848" s="65"/>
      <c r="D848" s="65"/>
      <c r="E848" s="65"/>
      <c r="F848" s="65"/>
      <c r="H848" s="65"/>
      <c r="J848" s="65"/>
      <c r="K848" s="65"/>
      <c r="L848" s="65"/>
    </row>
    <row r="849" ht="15.75" customHeight="1">
      <c r="C849" s="65"/>
      <c r="D849" s="65"/>
      <c r="E849" s="65"/>
      <c r="F849" s="65"/>
      <c r="H849" s="65"/>
      <c r="J849" s="65"/>
      <c r="K849" s="65"/>
      <c r="L849" s="65"/>
    </row>
    <row r="850" ht="15.75" customHeight="1">
      <c r="C850" s="65"/>
      <c r="D850" s="65"/>
      <c r="E850" s="65"/>
      <c r="F850" s="65"/>
      <c r="H850" s="65"/>
      <c r="J850" s="65"/>
      <c r="K850" s="65"/>
      <c r="L850" s="65"/>
    </row>
    <row r="851" ht="15.75" customHeight="1">
      <c r="C851" s="65"/>
      <c r="D851" s="65"/>
      <c r="E851" s="65"/>
      <c r="F851" s="65"/>
      <c r="H851" s="65"/>
      <c r="J851" s="65"/>
      <c r="K851" s="65"/>
      <c r="L851" s="65"/>
    </row>
    <row r="852" ht="15.75" customHeight="1">
      <c r="C852" s="65"/>
      <c r="D852" s="65"/>
      <c r="E852" s="65"/>
      <c r="F852" s="65"/>
      <c r="H852" s="65"/>
      <c r="J852" s="65"/>
      <c r="K852" s="65"/>
      <c r="L852" s="65"/>
    </row>
    <row r="853" ht="15.75" customHeight="1">
      <c r="C853" s="65"/>
      <c r="D853" s="65"/>
      <c r="E853" s="65"/>
      <c r="F853" s="65"/>
      <c r="H853" s="65"/>
      <c r="J853" s="65"/>
      <c r="K853" s="65"/>
      <c r="L853" s="65"/>
    </row>
    <row r="854" ht="15.75" customHeight="1">
      <c r="C854" s="65"/>
      <c r="D854" s="65"/>
      <c r="E854" s="65"/>
      <c r="F854" s="65"/>
      <c r="H854" s="65"/>
      <c r="J854" s="65"/>
      <c r="K854" s="65"/>
      <c r="L854" s="65"/>
    </row>
    <row r="855" ht="15.75" customHeight="1">
      <c r="C855" s="65"/>
      <c r="D855" s="65"/>
      <c r="E855" s="65"/>
      <c r="F855" s="65"/>
      <c r="H855" s="65"/>
      <c r="J855" s="65"/>
      <c r="K855" s="65"/>
      <c r="L855" s="65"/>
    </row>
    <row r="856" ht="15.75" customHeight="1">
      <c r="C856" s="65"/>
      <c r="D856" s="65"/>
      <c r="E856" s="65"/>
      <c r="F856" s="65"/>
      <c r="H856" s="65"/>
      <c r="J856" s="65"/>
      <c r="K856" s="65"/>
      <c r="L856" s="65"/>
    </row>
    <row r="857" ht="15.75" customHeight="1">
      <c r="C857" s="65"/>
      <c r="D857" s="65"/>
      <c r="E857" s="65"/>
      <c r="F857" s="65"/>
      <c r="H857" s="65"/>
      <c r="J857" s="65"/>
      <c r="K857" s="65"/>
      <c r="L857" s="65"/>
    </row>
    <row r="858" ht="15.75" customHeight="1">
      <c r="C858" s="65"/>
      <c r="D858" s="65"/>
      <c r="E858" s="65"/>
      <c r="F858" s="65"/>
      <c r="H858" s="65"/>
      <c r="J858" s="65"/>
      <c r="K858" s="65"/>
      <c r="L858" s="65"/>
    </row>
    <row r="859" ht="15.75" customHeight="1">
      <c r="C859" s="65"/>
      <c r="D859" s="65"/>
      <c r="E859" s="65"/>
      <c r="F859" s="65"/>
      <c r="H859" s="65"/>
      <c r="J859" s="65"/>
      <c r="K859" s="65"/>
      <c r="L859" s="65"/>
    </row>
    <row r="860" ht="15.75" customHeight="1">
      <c r="C860" s="65"/>
      <c r="D860" s="65"/>
      <c r="E860" s="65"/>
      <c r="F860" s="65"/>
      <c r="H860" s="65"/>
      <c r="J860" s="65"/>
      <c r="K860" s="65"/>
      <c r="L860" s="65"/>
    </row>
    <row r="861" ht="15.75" customHeight="1">
      <c r="C861" s="65"/>
      <c r="D861" s="65"/>
      <c r="E861" s="65"/>
      <c r="F861" s="65"/>
      <c r="H861" s="65"/>
      <c r="J861" s="65"/>
      <c r="K861" s="65"/>
      <c r="L861" s="65"/>
    </row>
    <row r="862" ht="15.75" customHeight="1">
      <c r="C862" s="65"/>
      <c r="D862" s="65"/>
      <c r="E862" s="65"/>
      <c r="F862" s="65"/>
      <c r="H862" s="65"/>
      <c r="J862" s="65"/>
      <c r="K862" s="65"/>
      <c r="L862" s="65"/>
    </row>
    <row r="863" ht="15.75" customHeight="1">
      <c r="C863" s="65"/>
      <c r="D863" s="65"/>
      <c r="E863" s="65"/>
      <c r="F863" s="65"/>
      <c r="H863" s="65"/>
      <c r="J863" s="65"/>
      <c r="K863" s="65"/>
      <c r="L863" s="65"/>
    </row>
    <row r="864" ht="15.75" customHeight="1">
      <c r="C864" s="65"/>
      <c r="D864" s="65"/>
      <c r="E864" s="65"/>
      <c r="F864" s="65"/>
      <c r="H864" s="65"/>
      <c r="J864" s="65"/>
      <c r="K864" s="65"/>
      <c r="L864" s="65"/>
    </row>
    <row r="865" ht="15.75" customHeight="1">
      <c r="C865" s="65"/>
      <c r="D865" s="65"/>
      <c r="E865" s="65"/>
      <c r="F865" s="65"/>
      <c r="H865" s="65"/>
      <c r="J865" s="65"/>
      <c r="K865" s="65"/>
      <c r="L865" s="65"/>
    </row>
    <row r="866" ht="15.75" customHeight="1">
      <c r="C866" s="65"/>
      <c r="D866" s="65"/>
      <c r="E866" s="65"/>
      <c r="F866" s="65"/>
      <c r="H866" s="65"/>
      <c r="J866" s="65"/>
      <c r="K866" s="65"/>
      <c r="L866" s="65"/>
    </row>
    <row r="867" ht="15.75" customHeight="1">
      <c r="C867" s="65"/>
      <c r="D867" s="65"/>
      <c r="E867" s="65"/>
      <c r="F867" s="65"/>
      <c r="H867" s="65"/>
      <c r="J867" s="65"/>
      <c r="K867" s="65"/>
      <c r="L867" s="65"/>
    </row>
    <row r="868" ht="15.75" customHeight="1">
      <c r="C868" s="65"/>
      <c r="D868" s="65"/>
      <c r="E868" s="65"/>
      <c r="F868" s="65"/>
      <c r="H868" s="65"/>
      <c r="J868" s="65"/>
      <c r="K868" s="65"/>
      <c r="L868" s="65"/>
    </row>
    <row r="869" ht="15.75" customHeight="1">
      <c r="C869" s="65"/>
      <c r="D869" s="65"/>
      <c r="E869" s="65"/>
      <c r="F869" s="65"/>
      <c r="H869" s="65"/>
      <c r="J869" s="65"/>
      <c r="K869" s="65"/>
      <c r="L869" s="65"/>
    </row>
    <row r="870" ht="15.75" customHeight="1">
      <c r="C870" s="65"/>
      <c r="D870" s="65"/>
      <c r="E870" s="65"/>
      <c r="F870" s="65"/>
      <c r="H870" s="65"/>
      <c r="J870" s="65"/>
      <c r="K870" s="65"/>
      <c r="L870" s="65"/>
    </row>
    <row r="871" ht="15.75" customHeight="1">
      <c r="C871" s="65"/>
      <c r="D871" s="65"/>
      <c r="E871" s="65"/>
      <c r="F871" s="65"/>
      <c r="H871" s="65"/>
      <c r="J871" s="65"/>
      <c r="K871" s="65"/>
      <c r="L871" s="65"/>
    </row>
    <row r="872" ht="15.75" customHeight="1">
      <c r="C872" s="65"/>
      <c r="D872" s="65"/>
      <c r="E872" s="65"/>
      <c r="F872" s="65"/>
      <c r="H872" s="65"/>
      <c r="J872" s="65"/>
      <c r="K872" s="65"/>
      <c r="L872" s="65"/>
    </row>
    <row r="873" ht="15.75" customHeight="1">
      <c r="C873" s="65"/>
      <c r="D873" s="65"/>
      <c r="E873" s="65"/>
      <c r="F873" s="65"/>
      <c r="H873" s="65"/>
      <c r="J873" s="65"/>
      <c r="K873" s="65"/>
      <c r="L873" s="65"/>
    </row>
    <row r="874" ht="15.75" customHeight="1">
      <c r="C874" s="65"/>
      <c r="D874" s="65"/>
      <c r="E874" s="65"/>
      <c r="F874" s="65"/>
      <c r="H874" s="65"/>
      <c r="J874" s="65"/>
      <c r="K874" s="65"/>
      <c r="L874" s="65"/>
    </row>
    <row r="875" ht="15.75" customHeight="1">
      <c r="C875" s="65"/>
      <c r="D875" s="65"/>
      <c r="E875" s="65"/>
      <c r="F875" s="65"/>
      <c r="H875" s="65"/>
      <c r="J875" s="65"/>
      <c r="K875" s="65"/>
      <c r="L875" s="65"/>
    </row>
    <row r="876" ht="15.75" customHeight="1">
      <c r="C876" s="65"/>
      <c r="D876" s="65"/>
      <c r="E876" s="65"/>
      <c r="F876" s="65"/>
      <c r="H876" s="65"/>
      <c r="J876" s="65"/>
      <c r="K876" s="65"/>
      <c r="L876" s="65"/>
    </row>
    <row r="877" ht="15.75" customHeight="1">
      <c r="C877" s="65"/>
      <c r="D877" s="65"/>
      <c r="E877" s="65"/>
      <c r="F877" s="65"/>
      <c r="H877" s="65"/>
      <c r="J877" s="65"/>
      <c r="K877" s="65"/>
      <c r="L877" s="65"/>
    </row>
    <row r="878" ht="15.75" customHeight="1">
      <c r="C878" s="65"/>
      <c r="D878" s="65"/>
      <c r="E878" s="65"/>
      <c r="F878" s="65"/>
      <c r="H878" s="65"/>
      <c r="J878" s="65"/>
      <c r="K878" s="65"/>
      <c r="L878" s="65"/>
    </row>
    <row r="879" ht="15.75" customHeight="1">
      <c r="C879" s="65"/>
      <c r="D879" s="65"/>
      <c r="E879" s="65"/>
      <c r="F879" s="65"/>
      <c r="H879" s="65"/>
      <c r="J879" s="65"/>
      <c r="K879" s="65"/>
      <c r="L879" s="65"/>
    </row>
    <row r="880" ht="15.75" customHeight="1">
      <c r="C880" s="65"/>
      <c r="D880" s="65"/>
      <c r="E880" s="65"/>
      <c r="F880" s="65"/>
      <c r="H880" s="65"/>
      <c r="J880" s="65"/>
      <c r="K880" s="65"/>
      <c r="L880" s="65"/>
    </row>
    <row r="881" ht="15.75" customHeight="1">
      <c r="C881" s="65"/>
      <c r="D881" s="65"/>
      <c r="E881" s="65"/>
      <c r="F881" s="65"/>
      <c r="H881" s="65"/>
      <c r="J881" s="65"/>
      <c r="K881" s="65"/>
      <c r="L881" s="65"/>
    </row>
    <row r="882" ht="15.75" customHeight="1">
      <c r="C882" s="65"/>
      <c r="D882" s="65"/>
      <c r="E882" s="65"/>
      <c r="F882" s="65"/>
      <c r="H882" s="65"/>
      <c r="J882" s="65"/>
      <c r="K882" s="65"/>
      <c r="L882" s="65"/>
    </row>
    <row r="883" ht="15.75" customHeight="1">
      <c r="C883" s="65"/>
      <c r="D883" s="65"/>
      <c r="E883" s="65"/>
      <c r="F883" s="65"/>
      <c r="H883" s="65"/>
      <c r="J883" s="65"/>
      <c r="K883" s="65"/>
      <c r="L883" s="65"/>
    </row>
    <row r="884" ht="15.75" customHeight="1">
      <c r="C884" s="65"/>
      <c r="D884" s="65"/>
      <c r="E884" s="65"/>
      <c r="F884" s="65"/>
      <c r="H884" s="65"/>
      <c r="J884" s="65"/>
      <c r="K884" s="65"/>
      <c r="L884" s="65"/>
    </row>
    <row r="885" ht="15.75" customHeight="1">
      <c r="C885" s="65"/>
      <c r="D885" s="65"/>
      <c r="E885" s="65"/>
      <c r="F885" s="65"/>
      <c r="H885" s="65"/>
      <c r="J885" s="65"/>
      <c r="K885" s="65"/>
      <c r="L885" s="65"/>
    </row>
    <row r="886" ht="15.75" customHeight="1">
      <c r="C886" s="65"/>
      <c r="D886" s="65"/>
      <c r="E886" s="65"/>
      <c r="F886" s="65"/>
      <c r="H886" s="65"/>
      <c r="J886" s="65"/>
      <c r="K886" s="65"/>
      <c r="L886" s="65"/>
    </row>
    <row r="887" ht="15.75" customHeight="1">
      <c r="C887" s="65"/>
      <c r="D887" s="65"/>
      <c r="E887" s="65"/>
      <c r="F887" s="65"/>
      <c r="H887" s="65"/>
      <c r="J887" s="65"/>
      <c r="K887" s="65"/>
      <c r="L887" s="65"/>
    </row>
    <row r="888" ht="15.75" customHeight="1">
      <c r="C888" s="65"/>
      <c r="D888" s="65"/>
      <c r="E888" s="65"/>
      <c r="F888" s="65"/>
      <c r="H888" s="65"/>
      <c r="J888" s="65"/>
      <c r="K888" s="65"/>
      <c r="L888" s="65"/>
    </row>
    <row r="889" ht="15.75" customHeight="1">
      <c r="C889" s="65"/>
      <c r="D889" s="65"/>
      <c r="E889" s="65"/>
      <c r="F889" s="65"/>
      <c r="H889" s="65"/>
      <c r="J889" s="65"/>
      <c r="K889" s="65"/>
      <c r="L889" s="65"/>
    </row>
    <row r="890" ht="15.75" customHeight="1">
      <c r="C890" s="65"/>
      <c r="D890" s="65"/>
      <c r="E890" s="65"/>
      <c r="F890" s="65"/>
      <c r="H890" s="65"/>
      <c r="J890" s="65"/>
      <c r="K890" s="65"/>
      <c r="L890" s="65"/>
    </row>
    <row r="891" ht="15.75" customHeight="1">
      <c r="C891" s="65"/>
      <c r="D891" s="65"/>
      <c r="E891" s="65"/>
      <c r="F891" s="65"/>
      <c r="H891" s="65"/>
      <c r="J891" s="65"/>
      <c r="K891" s="65"/>
      <c r="L891" s="65"/>
    </row>
    <row r="892" ht="15.75" customHeight="1">
      <c r="C892" s="65"/>
      <c r="D892" s="65"/>
      <c r="E892" s="65"/>
      <c r="F892" s="65"/>
      <c r="H892" s="65"/>
      <c r="J892" s="65"/>
      <c r="K892" s="65"/>
      <c r="L892" s="65"/>
    </row>
    <row r="893" ht="15.75" customHeight="1">
      <c r="C893" s="65"/>
      <c r="D893" s="65"/>
      <c r="E893" s="65"/>
      <c r="F893" s="65"/>
      <c r="H893" s="65"/>
      <c r="J893" s="65"/>
      <c r="K893" s="65"/>
      <c r="L893" s="65"/>
    </row>
    <row r="894" ht="15.75" customHeight="1">
      <c r="C894" s="65"/>
      <c r="D894" s="65"/>
      <c r="E894" s="65"/>
      <c r="F894" s="65"/>
      <c r="H894" s="65"/>
      <c r="J894" s="65"/>
      <c r="K894" s="65"/>
      <c r="L894" s="65"/>
    </row>
    <row r="895" ht="15.75" customHeight="1">
      <c r="C895" s="65"/>
      <c r="D895" s="65"/>
      <c r="E895" s="65"/>
      <c r="F895" s="65"/>
      <c r="H895" s="65"/>
      <c r="J895" s="65"/>
      <c r="K895" s="65"/>
      <c r="L895" s="65"/>
    </row>
    <row r="896" ht="15.75" customHeight="1">
      <c r="C896" s="65"/>
      <c r="D896" s="65"/>
      <c r="E896" s="65"/>
      <c r="F896" s="65"/>
      <c r="H896" s="65"/>
      <c r="J896" s="65"/>
      <c r="K896" s="65"/>
      <c r="L896" s="65"/>
    </row>
    <row r="897" ht="15.75" customHeight="1">
      <c r="C897" s="65"/>
      <c r="D897" s="65"/>
      <c r="E897" s="65"/>
      <c r="F897" s="65"/>
      <c r="H897" s="65"/>
      <c r="J897" s="65"/>
      <c r="K897" s="65"/>
      <c r="L897" s="65"/>
    </row>
    <row r="898" ht="15.75" customHeight="1">
      <c r="C898" s="65"/>
      <c r="D898" s="65"/>
      <c r="E898" s="65"/>
      <c r="F898" s="65"/>
      <c r="H898" s="65"/>
      <c r="J898" s="65"/>
      <c r="K898" s="65"/>
      <c r="L898" s="65"/>
    </row>
    <row r="899" ht="15.75" customHeight="1">
      <c r="C899" s="65"/>
      <c r="D899" s="65"/>
      <c r="E899" s="65"/>
      <c r="F899" s="65"/>
      <c r="H899" s="65"/>
      <c r="J899" s="65"/>
      <c r="K899" s="65"/>
      <c r="L899" s="65"/>
    </row>
    <row r="900" ht="15.75" customHeight="1">
      <c r="C900" s="65"/>
      <c r="D900" s="65"/>
      <c r="E900" s="65"/>
      <c r="F900" s="65"/>
      <c r="H900" s="65"/>
      <c r="J900" s="65"/>
      <c r="K900" s="65"/>
      <c r="L900" s="65"/>
    </row>
    <row r="901" ht="15.75" customHeight="1">
      <c r="C901" s="65"/>
      <c r="D901" s="65"/>
      <c r="E901" s="65"/>
      <c r="F901" s="65"/>
      <c r="H901" s="65"/>
      <c r="J901" s="65"/>
      <c r="K901" s="65"/>
      <c r="L901" s="65"/>
    </row>
    <row r="902" ht="15.75" customHeight="1">
      <c r="C902" s="65"/>
      <c r="D902" s="65"/>
      <c r="E902" s="65"/>
      <c r="F902" s="65"/>
      <c r="H902" s="65"/>
      <c r="J902" s="65"/>
      <c r="K902" s="65"/>
      <c r="L902" s="65"/>
    </row>
    <row r="903" ht="15.75" customHeight="1">
      <c r="C903" s="65"/>
      <c r="D903" s="65"/>
      <c r="E903" s="65"/>
      <c r="F903" s="65"/>
      <c r="H903" s="65"/>
      <c r="J903" s="65"/>
      <c r="K903" s="65"/>
      <c r="L903" s="65"/>
    </row>
    <row r="904" ht="15.75" customHeight="1">
      <c r="C904" s="65"/>
      <c r="D904" s="65"/>
      <c r="E904" s="65"/>
      <c r="F904" s="65"/>
      <c r="H904" s="65"/>
      <c r="J904" s="65"/>
      <c r="K904" s="65"/>
      <c r="L904" s="65"/>
    </row>
    <row r="905" ht="15.75" customHeight="1">
      <c r="C905" s="65"/>
      <c r="D905" s="65"/>
      <c r="E905" s="65"/>
      <c r="F905" s="65"/>
      <c r="H905" s="65"/>
      <c r="J905" s="65"/>
      <c r="K905" s="65"/>
      <c r="L905" s="65"/>
    </row>
    <row r="906" ht="15.75" customHeight="1">
      <c r="C906" s="65"/>
      <c r="D906" s="65"/>
      <c r="E906" s="65"/>
      <c r="F906" s="65"/>
      <c r="H906" s="65"/>
      <c r="J906" s="65"/>
      <c r="K906" s="65"/>
      <c r="L906" s="65"/>
    </row>
    <row r="907" ht="15.75" customHeight="1">
      <c r="C907" s="65"/>
      <c r="D907" s="65"/>
      <c r="E907" s="65"/>
      <c r="F907" s="65"/>
      <c r="H907" s="65"/>
      <c r="J907" s="65"/>
      <c r="K907" s="65"/>
      <c r="L907" s="65"/>
    </row>
    <row r="908" ht="15.75" customHeight="1">
      <c r="C908" s="65"/>
      <c r="D908" s="65"/>
      <c r="E908" s="65"/>
      <c r="F908" s="65"/>
      <c r="H908" s="65"/>
      <c r="J908" s="65"/>
      <c r="K908" s="65"/>
      <c r="L908" s="65"/>
    </row>
    <row r="909" ht="15.75" customHeight="1">
      <c r="C909" s="65"/>
      <c r="D909" s="65"/>
      <c r="E909" s="65"/>
      <c r="F909" s="65"/>
      <c r="H909" s="65"/>
      <c r="J909" s="65"/>
      <c r="K909" s="65"/>
      <c r="L909" s="65"/>
    </row>
    <row r="910" ht="15.75" customHeight="1">
      <c r="C910" s="65"/>
      <c r="D910" s="65"/>
      <c r="E910" s="65"/>
      <c r="F910" s="65"/>
      <c r="H910" s="65"/>
      <c r="J910" s="65"/>
      <c r="K910" s="65"/>
      <c r="L910" s="65"/>
    </row>
    <row r="911" ht="15.75" customHeight="1">
      <c r="C911" s="65"/>
      <c r="D911" s="65"/>
      <c r="E911" s="65"/>
      <c r="F911" s="65"/>
      <c r="H911" s="65"/>
      <c r="J911" s="65"/>
      <c r="K911" s="65"/>
      <c r="L911" s="65"/>
    </row>
    <row r="912" ht="15.75" customHeight="1">
      <c r="C912" s="65"/>
      <c r="D912" s="65"/>
      <c r="E912" s="65"/>
      <c r="F912" s="65"/>
      <c r="H912" s="65"/>
      <c r="J912" s="65"/>
      <c r="K912" s="65"/>
      <c r="L912" s="65"/>
    </row>
    <row r="913" ht="15.75" customHeight="1">
      <c r="C913" s="65"/>
      <c r="D913" s="65"/>
      <c r="E913" s="65"/>
      <c r="F913" s="65"/>
      <c r="H913" s="65"/>
      <c r="J913" s="65"/>
      <c r="K913" s="65"/>
      <c r="L913" s="65"/>
    </row>
    <row r="914" ht="15.75" customHeight="1">
      <c r="C914" s="65"/>
      <c r="D914" s="65"/>
      <c r="E914" s="65"/>
      <c r="F914" s="65"/>
      <c r="H914" s="65"/>
      <c r="J914" s="65"/>
      <c r="K914" s="65"/>
      <c r="L914" s="65"/>
    </row>
    <row r="915" ht="15.75" customHeight="1">
      <c r="C915" s="65"/>
      <c r="D915" s="65"/>
      <c r="E915" s="65"/>
      <c r="F915" s="65"/>
      <c r="H915" s="65"/>
      <c r="J915" s="65"/>
      <c r="K915" s="65"/>
      <c r="L915" s="65"/>
    </row>
    <row r="916" ht="15.75" customHeight="1">
      <c r="C916" s="65"/>
      <c r="D916" s="65"/>
      <c r="E916" s="65"/>
      <c r="F916" s="65"/>
      <c r="H916" s="65"/>
      <c r="J916" s="65"/>
      <c r="K916" s="65"/>
      <c r="L916" s="65"/>
    </row>
    <row r="917" ht="15.75" customHeight="1">
      <c r="C917" s="65"/>
      <c r="D917" s="65"/>
      <c r="E917" s="65"/>
      <c r="F917" s="65"/>
      <c r="H917" s="65"/>
      <c r="J917" s="65"/>
      <c r="K917" s="65"/>
      <c r="L917" s="65"/>
    </row>
    <row r="918" ht="15.75" customHeight="1">
      <c r="C918" s="65"/>
      <c r="D918" s="65"/>
      <c r="E918" s="65"/>
      <c r="F918" s="65"/>
      <c r="H918" s="65"/>
      <c r="J918" s="65"/>
      <c r="K918" s="65"/>
      <c r="L918" s="65"/>
    </row>
    <row r="919" ht="15.75" customHeight="1">
      <c r="C919" s="65"/>
      <c r="D919" s="65"/>
      <c r="E919" s="65"/>
      <c r="F919" s="65"/>
      <c r="H919" s="65"/>
      <c r="J919" s="65"/>
      <c r="K919" s="65"/>
      <c r="L919" s="65"/>
    </row>
    <row r="920" ht="15.75" customHeight="1">
      <c r="C920" s="65"/>
      <c r="D920" s="65"/>
      <c r="E920" s="65"/>
      <c r="F920" s="65"/>
      <c r="H920" s="65"/>
      <c r="J920" s="65"/>
      <c r="K920" s="65"/>
      <c r="L920" s="65"/>
    </row>
    <row r="921" ht="15.75" customHeight="1">
      <c r="C921" s="65"/>
      <c r="D921" s="65"/>
      <c r="E921" s="65"/>
      <c r="F921" s="65"/>
      <c r="H921" s="65"/>
      <c r="J921" s="65"/>
      <c r="K921" s="65"/>
      <c r="L921" s="65"/>
    </row>
    <row r="922" ht="15.75" customHeight="1">
      <c r="C922" s="65"/>
      <c r="D922" s="65"/>
      <c r="E922" s="65"/>
      <c r="F922" s="65"/>
      <c r="H922" s="65"/>
      <c r="J922" s="65"/>
      <c r="K922" s="65"/>
      <c r="L922" s="65"/>
    </row>
    <row r="923" ht="15.75" customHeight="1">
      <c r="C923" s="65"/>
      <c r="D923" s="65"/>
      <c r="E923" s="65"/>
      <c r="F923" s="65"/>
      <c r="H923" s="65"/>
      <c r="J923" s="65"/>
      <c r="K923" s="65"/>
      <c r="L923" s="65"/>
    </row>
    <row r="924" ht="15.75" customHeight="1">
      <c r="C924" s="65"/>
      <c r="D924" s="65"/>
      <c r="E924" s="65"/>
      <c r="F924" s="65"/>
      <c r="H924" s="65"/>
      <c r="J924" s="65"/>
      <c r="K924" s="65"/>
      <c r="L924" s="65"/>
    </row>
    <row r="925" ht="15.75" customHeight="1">
      <c r="C925" s="65"/>
      <c r="D925" s="65"/>
      <c r="E925" s="65"/>
      <c r="F925" s="65"/>
      <c r="H925" s="65"/>
      <c r="J925" s="65"/>
      <c r="K925" s="65"/>
      <c r="L925" s="65"/>
    </row>
    <row r="926" ht="15.75" customHeight="1">
      <c r="C926" s="65"/>
      <c r="D926" s="65"/>
      <c r="E926" s="65"/>
      <c r="F926" s="65"/>
      <c r="H926" s="65"/>
      <c r="J926" s="65"/>
      <c r="K926" s="65"/>
      <c r="L926" s="65"/>
    </row>
    <row r="927" ht="15.75" customHeight="1">
      <c r="C927" s="65"/>
      <c r="D927" s="65"/>
      <c r="E927" s="65"/>
      <c r="F927" s="65"/>
      <c r="H927" s="65"/>
      <c r="J927" s="65"/>
      <c r="K927" s="65"/>
      <c r="L927" s="65"/>
    </row>
    <row r="928" ht="15.75" customHeight="1">
      <c r="C928" s="65"/>
      <c r="D928" s="65"/>
      <c r="E928" s="65"/>
      <c r="F928" s="65"/>
      <c r="H928" s="65"/>
      <c r="J928" s="65"/>
      <c r="K928" s="65"/>
      <c r="L928" s="65"/>
    </row>
    <row r="929" ht="15.75" customHeight="1">
      <c r="C929" s="65"/>
      <c r="D929" s="65"/>
      <c r="E929" s="65"/>
      <c r="F929" s="65"/>
      <c r="H929" s="65"/>
      <c r="J929" s="65"/>
      <c r="K929" s="65"/>
      <c r="L929" s="65"/>
    </row>
    <row r="930" ht="15.75" customHeight="1">
      <c r="C930" s="65"/>
      <c r="D930" s="65"/>
      <c r="E930" s="65"/>
      <c r="F930" s="65"/>
      <c r="H930" s="65"/>
      <c r="J930" s="65"/>
      <c r="K930" s="65"/>
      <c r="L930" s="65"/>
    </row>
    <row r="931" ht="15.75" customHeight="1">
      <c r="C931" s="65"/>
      <c r="D931" s="65"/>
      <c r="E931" s="65"/>
      <c r="F931" s="65"/>
      <c r="H931" s="65"/>
      <c r="J931" s="65"/>
      <c r="K931" s="65"/>
      <c r="L931" s="65"/>
    </row>
    <row r="932" ht="15.75" customHeight="1">
      <c r="C932" s="65"/>
      <c r="D932" s="65"/>
      <c r="E932" s="65"/>
      <c r="F932" s="65"/>
      <c r="H932" s="65"/>
      <c r="J932" s="65"/>
      <c r="K932" s="65"/>
      <c r="L932" s="65"/>
    </row>
    <row r="933" ht="15.75" customHeight="1">
      <c r="C933" s="65"/>
      <c r="D933" s="65"/>
      <c r="E933" s="65"/>
      <c r="F933" s="65"/>
      <c r="H933" s="65"/>
      <c r="J933" s="65"/>
      <c r="K933" s="65"/>
      <c r="L933" s="65"/>
    </row>
    <row r="934" ht="15.75" customHeight="1">
      <c r="C934" s="65"/>
      <c r="D934" s="65"/>
      <c r="E934" s="65"/>
      <c r="F934" s="65"/>
      <c r="H934" s="65"/>
      <c r="J934" s="65"/>
      <c r="K934" s="65"/>
      <c r="L934" s="65"/>
    </row>
    <row r="935" ht="15.75" customHeight="1">
      <c r="C935" s="65"/>
      <c r="D935" s="65"/>
      <c r="E935" s="65"/>
      <c r="F935" s="65"/>
      <c r="H935" s="65"/>
      <c r="J935" s="65"/>
      <c r="K935" s="65"/>
      <c r="L935" s="65"/>
    </row>
    <row r="936" ht="15.75" customHeight="1">
      <c r="C936" s="65"/>
      <c r="D936" s="65"/>
      <c r="E936" s="65"/>
      <c r="F936" s="65"/>
      <c r="H936" s="65"/>
      <c r="J936" s="65"/>
      <c r="K936" s="65"/>
      <c r="L936" s="65"/>
    </row>
    <row r="937" ht="15.75" customHeight="1">
      <c r="C937" s="65"/>
      <c r="D937" s="65"/>
      <c r="E937" s="65"/>
      <c r="F937" s="65"/>
      <c r="H937" s="65"/>
      <c r="J937" s="65"/>
      <c r="K937" s="65"/>
      <c r="L937" s="65"/>
    </row>
    <row r="938" ht="15.75" customHeight="1">
      <c r="C938" s="65"/>
      <c r="D938" s="65"/>
      <c r="E938" s="65"/>
      <c r="F938" s="65"/>
      <c r="H938" s="65"/>
      <c r="J938" s="65"/>
      <c r="K938" s="65"/>
      <c r="L938" s="65"/>
    </row>
    <row r="939" ht="15.75" customHeight="1">
      <c r="C939" s="65"/>
      <c r="D939" s="65"/>
      <c r="E939" s="65"/>
      <c r="F939" s="65"/>
      <c r="H939" s="65"/>
      <c r="J939" s="65"/>
      <c r="K939" s="65"/>
      <c r="L939" s="65"/>
    </row>
    <row r="940" ht="15.75" customHeight="1">
      <c r="C940" s="65"/>
      <c r="D940" s="65"/>
      <c r="E940" s="65"/>
      <c r="F940" s="65"/>
      <c r="H940" s="65"/>
      <c r="J940" s="65"/>
      <c r="K940" s="65"/>
      <c r="L940" s="65"/>
    </row>
    <row r="941" ht="15.75" customHeight="1">
      <c r="C941" s="65"/>
      <c r="D941" s="65"/>
      <c r="E941" s="65"/>
      <c r="F941" s="65"/>
      <c r="H941" s="65"/>
      <c r="J941" s="65"/>
      <c r="K941" s="65"/>
      <c r="L941" s="65"/>
    </row>
    <row r="942" ht="15.75" customHeight="1">
      <c r="C942" s="65"/>
      <c r="D942" s="65"/>
      <c r="E942" s="65"/>
      <c r="F942" s="65"/>
      <c r="H942" s="65"/>
      <c r="J942" s="65"/>
      <c r="K942" s="65"/>
      <c r="L942" s="65"/>
    </row>
    <row r="943" ht="15.75" customHeight="1">
      <c r="C943" s="65"/>
      <c r="D943" s="65"/>
      <c r="E943" s="65"/>
      <c r="F943" s="65"/>
      <c r="H943" s="65"/>
      <c r="J943" s="65"/>
      <c r="K943" s="65"/>
      <c r="L943" s="65"/>
    </row>
    <row r="944" ht="15.75" customHeight="1">
      <c r="C944" s="65"/>
      <c r="D944" s="65"/>
      <c r="E944" s="65"/>
      <c r="F944" s="65"/>
      <c r="H944" s="65"/>
      <c r="J944" s="65"/>
      <c r="K944" s="65"/>
      <c r="L944" s="65"/>
    </row>
    <row r="945" ht="15.75" customHeight="1">
      <c r="C945" s="65"/>
      <c r="D945" s="65"/>
      <c r="E945" s="65"/>
      <c r="F945" s="65"/>
      <c r="H945" s="65"/>
      <c r="J945" s="65"/>
      <c r="K945" s="65"/>
      <c r="L945" s="65"/>
    </row>
    <row r="946" ht="15.75" customHeight="1">
      <c r="C946" s="65"/>
      <c r="D946" s="65"/>
      <c r="E946" s="65"/>
      <c r="F946" s="65"/>
      <c r="H946" s="65"/>
      <c r="J946" s="65"/>
      <c r="K946" s="65"/>
      <c r="L946" s="65"/>
    </row>
    <row r="947" ht="15.75" customHeight="1">
      <c r="C947" s="65"/>
      <c r="D947" s="65"/>
      <c r="E947" s="65"/>
      <c r="F947" s="65"/>
      <c r="H947" s="65"/>
      <c r="J947" s="65"/>
      <c r="K947" s="65"/>
      <c r="L947" s="65"/>
    </row>
    <row r="948" ht="15.75" customHeight="1">
      <c r="C948" s="65"/>
      <c r="D948" s="65"/>
      <c r="E948" s="65"/>
      <c r="F948" s="65"/>
      <c r="H948" s="65"/>
      <c r="J948" s="65"/>
      <c r="K948" s="65"/>
      <c r="L948" s="65"/>
    </row>
    <row r="949" ht="15.75" customHeight="1">
      <c r="C949" s="65"/>
      <c r="D949" s="65"/>
      <c r="E949" s="65"/>
      <c r="F949" s="65"/>
      <c r="H949" s="65"/>
      <c r="J949" s="65"/>
      <c r="K949" s="65"/>
      <c r="L949" s="65"/>
    </row>
    <row r="950" ht="15.75" customHeight="1">
      <c r="C950" s="65"/>
      <c r="D950" s="65"/>
      <c r="E950" s="65"/>
      <c r="F950" s="65"/>
      <c r="H950" s="65"/>
      <c r="J950" s="65"/>
      <c r="K950" s="65"/>
      <c r="L950" s="65"/>
    </row>
    <row r="951" ht="15.75" customHeight="1">
      <c r="C951" s="65"/>
      <c r="D951" s="65"/>
      <c r="E951" s="65"/>
      <c r="F951" s="65"/>
      <c r="H951" s="65"/>
      <c r="J951" s="65"/>
      <c r="K951" s="65"/>
      <c r="L951" s="65"/>
    </row>
    <row r="952" ht="15.75" customHeight="1">
      <c r="C952" s="65"/>
      <c r="D952" s="65"/>
      <c r="E952" s="65"/>
      <c r="F952" s="65"/>
      <c r="H952" s="65"/>
      <c r="J952" s="65"/>
      <c r="K952" s="65"/>
      <c r="L952" s="65"/>
    </row>
    <row r="953" ht="15.75" customHeight="1">
      <c r="C953" s="65"/>
      <c r="D953" s="65"/>
      <c r="E953" s="65"/>
      <c r="F953" s="65"/>
      <c r="H953" s="65"/>
      <c r="J953" s="65"/>
      <c r="K953" s="65"/>
      <c r="L953" s="65"/>
    </row>
    <row r="954" ht="15.75" customHeight="1">
      <c r="C954" s="65"/>
      <c r="D954" s="65"/>
      <c r="E954" s="65"/>
      <c r="F954" s="65"/>
      <c r="H954" s="65"/>
      <c r="J954" s="65"/>
      <c r="K954" s="65"/>
      <c r="L954" s="65"/>
    </row>
    <row r="955" ht="15.75" customHeight="1">
      <c r="C955" s="65"/>
      <c r="D955" s="65"/>
      <c r="E955" s="65"/>
      <c r="F955" s="65"/>
      <c r="H955" s="65"/>
      <c r="J955" s="65"/>
      <c r="K955" s="65"/>
      <c r="L955" s="65"/>
    </row>
    <row r="956" ht="15.75" customHeight="1">
      <c r="C956" s="65"/>
      <c r="D956" s="65"/>
      <c r="E956" s="65"/>
      <c r="F956" s="65"/>
      <c r="H956" s="65"/>
      <c r="J956" s="65"/>
      <c r="K956" s="65"/>
      <c r="L956" s="65"/>
    </row>
    <row r="957" ht="15.75" customHeight="1">
      <c r="C957" s="65"/>
      <c r="D957" s="65"/>
      <c r="E957" s="65"/>
      <c r="F957" s="65"/>
      <c r="H957" s="65"/>
      <c r="J957" s="65"/>
      <c r="K957" s="65"/>
      <c r="L957" s="65"/>
    </row>
    <row r="958" ht="15.75" customHeight="1">
      <c r="C958" s="65"/>
      <c r="D958" s="65"/>
      <c r="E958" s="65"/>
      <c r="F958" s="65"/>
      <c r="H958" s="65"/>
      <c r="J958" s="65"/>
      <c r="K958" s="65"/>
      <c r="L958" s="65"/>
    </row>
    <row r="959" ht="15.75" customHeight="1">
      <c r="C959" s="65"/>
      <c r="D959" s="65"/>
      <c r="E959" s="65"/>
      <c r="F959" s="65"/>
      <c r="H959" s="65"/>
      <c r="J959" s="65"/>
      <c r="K959" s="65"/>
      <c r="L959" s="65"/>
    </row>
    <row r="960" ht="15.75" customHeight="1">
      <c r="C960" s="65"/>
      <c r="D960" s="65"/>
      <c r="E960" s="65"/>
      <c r="F960" s="65"/>
      <c r="H960" s="65"/>
      <c r="J960" s="65"/>
      <c r="K960" s="65"/>
      <c r="L960" s="65"/>
    </row>
    <row r="961" ht="15.75" customHeight="1">
      <c r="C961" s="65"/>
      <c r="D961" s="65"/>
      <c r="E961" s="65"/>
      <c r="F961" s="65"/>
      <c r="H961" s="65"/>
      <c r="J961" s="65"/>
      <c r="K961" s="65"/>
      <c r="L961" s="65"/>
    </row>
    <row r="962" ht="15.75" customHeight="1">
      <c r="C962" s="65"/>
      <c r="D962" s="65"/>
      <c r="E962" s="65"/>
      <c r="F962" s="65"/>
      <c r="H962" s="65"/>
      <c r="J962" s="65"/>
      <c r="K962" s="65"/>
      <c r="L962" s="65"/>
    </row>
    <row r="963" ht="15.75" customHeight="1">
      <c r="C963" s="65"/>
      <c r="D963" s="65"/>
      <c r="E963" s="65"/>
      <c r="F963" s="65"/>
      <c r="H963" s="65"/>
      <c r="J963" s="65"/>
      <c r="K963" s="65"/>
      <c r="L963" s="65"/>
    </row>
    <row r="964" ht="15.75" customHeight="1">
      <c r="C964" s="65"/>
      <c r="D964" s="65"/>
      <c r="E964" s="65"/>
      <c r="F964" s="65"/>
      <c r="H964" s="65"/>
      <c r="J964" s="65"/>
      <c r="K964" s="65"/>
      <c r="L964" s="65"/>
    </row>
    <row r="965" ht="15.75" customHeight="1">
      <c r="C965" s="65"/>
      <c r="D965" s="65"/>
      <c r="E965" s="65"/>
      <c r="F965" s="65"/>
      <c r="H965" s="65"/>
      <c r="J965" s="65"/>
      <c r="K965" s="65"/>
      <c r="L965" s="65"/>
    </row>
    <row r="966" ht="15.75" customHeight="1">
      <c r="C966" s="65"/>
      <c r="D966" s="65"/>
      <c r="E966" s="65"/>
      <c r="F966" s="65"/>
      <c r="H966" s="65"/>
      <c r="J966" s="65"/>
      <c r="K966" s="65"/>
      <c r="L966" s="65"/>
    </row>
    <row r="967" ht="15.75" customHeight="1">
      <c r="C967" s="65"/>
      <c r="D967" s="65"/>
      <c r="E967" s="65"/>
      <c r="F967" s="65"/>
      <c r="H967" s="65"/>
      <c r="J967" s="65"/>
      <c r="K967" s="65"/>
      <c r="L967" s="65"/>
    </row>
    <row r="968" ht="15.75" customHeight="1">
      <c r="C968" s="65"/>
      <c r="D968" s="65"/>
      <c r="E968" s="65"/>
      <c r="F968" s="65"/>
      <c r="H968" s="65"/>
      <c r="J968" s="65"/>
      <c r="K968" s="65"/>
      <c r="L968" s="65"/>
    </row>
    <row r="969" ht="15.75" customHeight="1">
      <c r="C969" s="65"/>
      <c r="D969" s="65"/>
      <c r="E969" s="65"/>
      <c r="F969" s="65"/>
      <c r="H969" s="65"/>
      <c r="J969" s="65"/>
      <c r="K969" s="65"/>
      <c r="L969" s="65"/>
    </row>
    <row r="970" ht="15.75" customHeight="1">
      <c r="C970" s="65"/>
      <c r="D970" s="65"/>
      <c r="E970" s="65"/>
      <c r="F970" s="65"/>
      <c r="H970" s="65"/>
      <c r="J970" s="65"/>
      <c r="K970" s="65"/>
      <c r="L970" s="65"/>
    </row>
    <row r="971" ht="15.75" customHeight="1">
      <c r="C971" s="65"/>
      <c r="D971" s="65"/>
      <c r="E971" s="65"/>
      <c r="F971" s="65"/>
      <c r="H971" s="65"/>
      <c r="J971" s="65"/>
      <c r="K971" s="65"/>
      <c r="L971" s="65"/>
    </row>
    <row r="972" ht="15.75" customHeight="1">
      <c r="C972" s="65"/>
      <c r="D972" s="65"/>
      <c r="E972" s="65"/>
      <c r="F972" s="65"/>
      <c r="H972" s="65"/>
      <c r="J972" s="65"/>
      <c r="K972" s="65"/>
      <c r="L972" s="65"/>
    </row>
    <row r="973" ht="15.75" customHeight="1">
      <c r="C973" s="65"/>
      <c r="D973" s="65"/>
      <c r="E973" s="65"/>
      <c r="F973" s="65"/>
      <c r="H973" s="65"/>
      <c r="J973" s="65"/>
      <c r="K973" s="65"/>
      <c r="L973" s="65"/>
    </row>
    <row r="974" ht="15.75" customHeight="1">
      <c r="C974" s="65"/>
      <c r="D974" s="65"/>
      <c r="E974" s="65"/>
      <c r="F974" s="65"/>
      <c r="H974" s="65"/>
      <c r="J974" s="65"/>
      <c r="K974" s="65"/>
      <c r="L974" s="65"/>
    </row>
    <row r="975" ht="15.75" customHeight="1">
      <c r="C975" s="65"/>
      <c r="D975" s="65"/>
      <c r="E975" s="65"/>
      <c r="F975" s="65"/>
      <c r="H975" s="65"/>
      <c r="J975" s="65"/>
      <c r="K975" s="65"/>
      <c r="L975" s="65"/>
    </row>
    <row r="976" ht="15.75" customHeight="1">
      <c r="C976" s="65"/>
      <c r="D976" s="65"/>
      <c r="E976" s="65"/>
      <c r="F976" s="65"/>
      <c r="H976" s="65"/>
      <c r="J976" s="65"/>
      <c r="K976" s="65"/>
      <c r="L976" s="65"/>
    </row>
    <row r="977" ht="15.75" customHeight="1">
      <c r="C977" s="65"/>
      <c r="D977" s="65"/>
      <c r="E977" s="65"/>
      <c r="F977" s="65"/>
      <c r="H977" s="65"/>
      <c r="J977" s="65"/>
      <c r="K977" s="65"/>
      <c r="L977" s="65"/>
    </row>
    <row r="978" ht="15.75" customHeight="1">
      <c r="C978" s="65"/>
      <c r="D978" s="65"/>
      <c r="E978" s="65"/>
      <c r="F978" s="65"/>
      <c r="H978" s="65"/>
      <c r="J978" s="65"/>
      <c r="K978" s="65"/>
      <c r="L978" s="65"/>
    </row>
    <row r="979" ht="15.75" customHeight="1">
      <c r="C979" s="65"/>
      <c r="D979" s="65"/>
      <c r="E979" s="65"/>
      <c r="F979" s="65"/>
      <c r="H979" s="65"/>
      <c r="J979" s="65"/>
      <c r="K979" s="65"/>
      <c r="L979" s="65"/>
    </row>
    <row r="980" ht="15.75" customHeight="1">
      <c r="C980" s="65"/>
      <c r="D980" s="65"/>
      <c r="E980" s="65"/>
      <c r="F980" s="65"/>
      <c r="H980" s="65"/>
      <c r="J980" s="65"/>
      <c r="K980" s="65"/>
      <c r="L980" s="65"/>
    </row>
    <row r="981" ht="15.75" customHeight="1">
      <c r="C981" s="65"/>
      <c r="D981" s="65"/>
      <c r="E981" s="65"/>
      <c r="F981" s="65"/>
      <c r="H981" s="65"/>
      <c r="J981" s="65"/>
      <c r="K981" s="65"/>
      <c r="L981" s="65"/>
    </row>
    <row r="982" ht="15.75" customHeight="1">
      <c r="C982" s="65"/>
      <c r="D982" s="65"/>
      <c r="E982" s="65"/>
      <c r="F982" s="65"/>
      <c r="H982" s="65"/>
      <c r="J982" s="65"/>
      <c r="K982" s="65"/>
      <c r="L982" s="65"/>
    </row>
    <row r="983" ht="15.75" customHeight="1">
      <c r="C983" s="65"/>
      <c r="D983" s="65"/>
      <c r="E983" s="65"/>
      <c r="F983" s="65"/>
      <c r="H983" s="65"/>
      <c r="J983" s="65"/>
      <c r="K983" s="65"/>
      <c r="L983" s="65"/>
    </row>
    <row r="984" ht="15.75" customHeight="1">
      <c r="C984" s="65"/>
      <c r="D984" s="65"/>
      <c r="E984" s="65"/>
      <c r="F984" s="65"/>
      <c r="H984" s="65"/>
      <c r="J984" s="65"/>
      <c r="K984" s="65"/>
      <c r="L984" s="65"/>
    </row>
    <row r="985" ht="15.75" customHeight="1">
      <c r="C985" s="65"/>
      <c r="D985" s="65"/>
      <c r="E985" s="65"/>
      <c r="F985" s="65"/>
      <c r="H985" s="65"/>
      <c r="J985" s="65"/>
      <c r="K985" s="65"/>
      <c r="L985" s="65"/>
    </row>
    <row r="986" ht="15.75" customHeight="1">
      <c r="C986" s="65"/>
      <c r="D986" s="65"/>
      <c r="E986" s="65"/>
      <c r="F986" s="65"/>
      <c r="H986" s="65"/>
      <c r="J986" s="65"/>
      <c r="K986" s="65"/>
      <c r="L986" s="65"/>
    </row>
    <row r="987" ht="15.75" customHeight="1">
      <c r="C987" s="65"/>
      <c r="D987" s="65"/>
      <c r="E987" s="65"/>
      <c r="F987" s="65"/>
      <c r="H987" s="65"/>
      <c r="J987" s="65"/>
      <c r="K987" s="65"/>
      <c r="L987" s="65"/>
    </row>
    <row r="988" ht="15.75" customHeight="1">
      <c r="C988" s="65"/>
      <c r="D988" s="65"/>
      <c r="E988" s="65"/>
      <c r="F988" s="65"/>
      <c r="H988" s="65"/>
      <c r="J988" s="65"/>
      <c r="K988" s="65"/>
      <c r="L988" s="65"/>
    </row>
    <row r="989" ht="15.75" customHeight="1">
      <c r="C989" s="65"/>
      <c r="D989" s="65"/>
      <c r="E989" s="65"/>
      <c r="F989" s="65"/>
      <c r="H989" s="65"/>
      <c r="J989" s="65"/>
      <c r="K989" s="65"/>
      <c r="L989" s="65"/>
    </row>
    <row r="990" ht="15.75" customHeight="1">
      <c r="C990" s="65"/>
      <c r="D990" s="65"/>
      <c r="E990" s="65"/>
      <c r="F990" s="65"/>
      <c r="H990" s="65"/>
      <c r="J990" s="65"/>
      <c r="K990" s="65"/>
      <c r="L990" s="65"/>
    </row>
    <row r="991" ht="15.75" customHeight="1">
      <c r="C991" s="65"/>
      <c r="D991" s="65"/>
      <c r="E991" s="65"/>
      <c r="F991" s="65"/>
      <c r="H991" s="65"/>
      <c r="J991" s="65"/>
      <c r="K991" s="65"/>
      <c r="L991" s="65"/>
    </row>
    <row r="992" ht="15.75" customHeight="1">
      <c r="C992" s="65"/>
      <c r="D992" s="65"/>
      <c r="E992" s="65"/>
      <c r="F992" s="65"/>
      <c r="H992" s="65"/>
      <c r="J992" s="65"/>
      <c r="K992" s="65"/>
      <c r="L992" s="65"/>
    </row>
    <row r="993" ht="15.75" customHeight="1">
      <c r="C993" s="65"/>
      <c r="D993" s="65"/>
      <c r="E993" s="65"/>
      <c r="F993" s="65"/>
      <c r="H993" s="65"/>
      <c r="J993" s="65"/>
      <c r="K993" s="65"/>
      <c r="L993" s="65"/>
    </row>
    <row r="994" ht="15.75" customHeight="1">
      <c r="C994" s="65"/>
      <c r="D994" s="65"/>
      <c r="E994" s="65"/>
      <c r="F994" s="65"/>
      <c r="H994" s="65"/>
      <c r="J994" s="65"/>
      <c r="K994" s="65"/>
      <c r="L994" s="65"/>
    </row>
    <row r="995" ht="15.75" customHeight="1">
      <c r="C995" s="65"/>
      <c r="D995" s="65"/>
      <c r="E995" s="65"/>
      <c r="F995" s="65"/>
      <c r="H995" s="65"/>
      <c r="J995" s="65"/>
      <c r="K995" s="65"/>
      <c r="L995" s="65"/>
    </row>
    <row r="996" ht="15.75" customHeight="1">
      <c r="C996" s="65"/>
      <c r="D996" s="65"/>
      <c r="E996" s="65"/>
      <c r="F996" s="65"/>
      <c r="H996" s="65"/>
      <c r="J996" s="65"/>
      <c r="K996" s="65"/>
      <c r="L996" s="65"/>
    </row>
    <row r="997" ht="15.75" customHeight="1">
      <c r="C997" s="65"/>
      <c r="D997" s="65"/>
      <c r="E997" s="65"/>
      <c r="F997" s="65"/>
      <c r="H997" s="65"/>
      <c r="J997" s="65"/>
      <c r="K997" s="65"/>
      <c r="L997" s="65"/>
    </row>
    <row r="998" ht="15.75" customHeight="1">
      <c r="C998" s="65"/>
      <c r="D998" s="65"/>
      <c r="E998" s="65"/>
      <c r="F998" s="65"/>
      <c r="H998" s="65"/>
      <c r="J998" s="65"/>
      <c r="K998" s="65"/>
      <c r="L998" s="65"/>
    </row>
    <row r="999" ht="15.75" customHeight="1">
      <c r="C999" s="65"/>
      <c r="D999" s="65"/>
      <c r="E999" s="65"/>
      <c r="F999" s="65"/>
      <c r="H999" s="65"/>
      <c r="J999" s="65"/>
      <c r="K999" s="65"/>
      <c r="L999" s="65"/>
    </row>
    <row r="1000" ht="15.75" customHeight="1">
      <c r="C1000" s="65"/>
      <c r="D1000" s="65"/>
      <c r="E1000" s="65"/>
      <c r="F1000" s="65"/>
      <c r="H1000" s="65"/>
      <c r="J1000" s="65"/>
      <c r="K1000" s="65"/>
      <c r="L1000" s="65"/>
    </row>
    <row r="1001" ht="15.75" customHeight="1">
      <c r="C1001" s="65"/>
      <c r="D1001" s="65"/>
      <c r="E1001" s="65"/>
      <c r="F1001" s="65"/>
      <c r="H1001" s="65"/>
      <c r="J1001" s="65"/>
      <c r="K1001" s="65"/>
      <c r="L1001" s="65"/>
    </row>
  </sheetData>
  <autoFilter ref="$A$1:$M$85"/>
  <dataValidations>
    <dataValidation type="list" allowBlank="1" sqref="L2:L1001">
      <formula1>'_Lists'!$A$2:$A$43</formula1>
    </dataValidation>
    <dataValidation type="date" operator="greaterThanOrEqual" allowBlank="1" showInputMessage="1" prompt="Due Date - Enter a date (YYYY-MM-DD)" sqref="H2:H1001">
      <formula1>2020-1-1</formula1>
    </dataValidation>
    <dataValidation type="list" allowBlank="1" sqref="F2:F1001">
      <formula1>"Amy Tripp,Napadech,Nattapat Suwansipaisan,Nutgritta Prasomthongsuk,Thiraphat Panthong"</formula1>
    </dataValidation>
    <dataValidation type="list" allowBlank="1" sqref="D2:D1001">
      <formula1>"To Do,In Progress,Done,Closed,Resolved"</formula1>
    </dataValidation>
    <dataValidation type="list" allowBlank="1" sqref="E2:E1001">
      <formula1>"Highest,High,Medium,Low,Lowest"</formula1>
    </dataValidation>
    <dataValidation type="list" allowBlank="1" sqref="J2:J1001">
      <formula1>"SCRUM Sprint 1,SCRUM Sprint 2,SCRUM Sprint 3,SCRUM Sprint 4"</formula1>
    </dataValidation>
    <dataValidation type="list" allowBlank="1" sqref="K2:K1001">
      <formula1>"SCRUM-49,SCRUM-181,SCRUM-186,SCRUM-185,SCRUM-184,SCRUM-183,SCRUM-51,SCRUM-81,SCRUM-92,SCRUM-87,SCRUM-84,SCRUM-88,SCRUM-94,SCRUM-250,SCRUM-86,SCRUM-85,SCRUM-95,SCRUM-96,SCRUM-300,SCRUM-299,SCRUM-298,SCRUM-293,SCRUM-346,SCRUM-297,SCRUM-296,SCRUM-82,SCRUM-75"&amp;",SCRUM-347,SCRUM-50,SCRUM-74,SCRUM-155,SCRUM-168,SCRUM-165,SCRUM-164,SCRUM-163,SCRUM-162,SCRUM-169,SCRUM-175,SCRUM-174,SCRUM-172,SCRUM-171,SCRUM-170,SCRUM-179,SCRUM-178,SCRUM-177,SCRUM-176,SCRUM-167,SCRUM-166,SCRUM-160,SCRUM-159"</formula1>
    </dataValidation>
    <dataValidation type="list" allowBlank="1" sqref="C2:C1001">
      <formula1>"Epic,Task,Test,Subtask"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2.0"/>
    <col customWidth="1" min="2" max="2" width="45.0"/>
    <col customWidth="1" min="3" max="3" width="13.0"/>
    <col customWidth="1" min="4" max="4" width="12.29"/>
    <col customWidth="1" min="5" max="5" width="11.0"/>
    <col customWidth="1" min="6" max="6" width="25.0"/>
    <col customWidth="1" min="7" max="7" width="21.0"/>
    <col customWidth="1" min="8" max="8" width="15.86"/>
    <col customWidth="1" min="9" max="9" width="13.0"/>
    <col customWidth="1" min="10" max="10" width="16.43"/>
    <col customWidth="1" min="11" max="11" width="17.0"/>
    <col customWidth="1" min="12" max="12" width="15.14"/>
    <col customWidth="1" min="13" max="13" width="22.0"/>
  </cols>
  <sheetData>
    <row r="1" ht="30.0" customHeight="1">
      <c r="A1" s="17" t="s">
        <v>52</v>
      </c>
      <c r="B1" s="17" t="s">
        <v>53</v>
      </c>
      <c r="C1" s="17" t="s">
        <v>54</v>
      </c>
      <c r="D1" s="17" t="s">
        <v>38</v>
      </c>
      <c r="E1" s="17" t="s">
        <v>55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37</v>
      </c>
      <c r="K1" s="17" t="s">
        <v>60</v>
      </c>
      <c r="L1" s="17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4" t="s">
        <v>16</v>
      </c>
      <c r="B2" s="44" t="s">
        <v>17</v>
      </c>
      <c r="C2" s="45" t="s">
        <v>62</v>
      </c>
      <c r="D2" s="19" t="s">
        <v>14</v>
      </c>
      <c r="E2" s="46" t="s">
        <v>63</v>
      </c>
      <c r="F2" s="47"/>
      <c r="G2" s="47" t="s">
        <v>64</v>
      </c>
      <c r="H2" s="48" t="s">
        <v>291</v>
      </c>
      <c r="I2" s="47"/>
      <c r="J2" s="47"/>
      <c r="K2" s="47"/>
      <c r="L2" s="4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 outlineLevel="1">
      <c r="A3" s="49" t="s">
        <v>359</v>
      </c>
      <c r="B3" s="49" t="s">
        <v>360</v>
      </c>
      <c r="C3" s="50" t="s">
        <v>68</v>
      </c>
      <c r="D3" s="19" t="s">
        <v>14</v>
      </c>
      <c r="E3" s="46" t="s">
        <v>63</v>
      </c>
      <c r="F3" s="52" t="s">
        <v>87</v>
      </c>
      <c r="G3" s="52" t="s">
        <v>157</v>
      </c>
      <c r="H3" s="53" t="s">
        <v>361</v>
      </c>
      <c r="I3" s="52"/>
      <c r="J3" s="52" t="s">
        <v>39</v>
      </c>
      <c r="K3" s="52" t="s">
        <v>16</v>
      </c>
      <c r="L3" s="52" t="s">
        <v>17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customHeight="1" outlineLevel="1">
      <c r="A4" s="49" t="s">
        <v>362</v>
      </c>
      <c r="B4" s="49" t="s">
        <v>363</v>
      </c>
      <c r="C4" s="50" t="s">
        <v>68</v>
      </c>
      <c r="D4" s="19" t="s">
        <v>14</v>
      </c>
      <c r="E4" s="46" t="s">
        <v>63</v>
      </c>
      <c r="F4" s="52" t="s">
        <v>87</v>
      </c>
      <c r="G4" s="52" t="s">
        <v>64</v>
      </c>
      <c r="H4" s="53" t="s">
        <v>242</v>
      </c>
      <c r="I4" s="52"/>
      <c r="J4" s="52" t="s">
        <v>39</v>
      </c>
      <c r="K4" s="52" t="s">
        <v>16</v>
      </c>
      <c r="L4" s="52" t="s">
        <v>17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 outlineLevel="2">
      <c r="A5" s="57" t="s">
        <v>364</v>
      </c>
      <c r="B5" s="57" t="s">
        <v>365</v>
      </c>
      <c r="C5" s="55" t="s">
        <v>75</v>
      </c>
      <c r="D5" s="19" t="s">
        <v>14</v>
      </c>
      <c r="E5" s="51" t="s">
        <v>69</v>
      </c>
      <c r="F5" s="58" t="s">
        <v>87</v>
      </c>
      <c r="G5" s="58" t="s">
        <v>166</v>
      </c>
      <c r="H5" s="60" t="s">
        <v>242</v>
      </c>
      <c r="I5" s="58"/>
      <c r="J5" s="58" t="s">
        <v>39</v>
      </c>
      <c r="K5" s="58" t="s">
        <v>362</v>
      </c>
      <c r="L5" s="58" t="s">
        <v>363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customHeight="1" outlineLevel="2">
      <c r="A6" s="54" t="s">
        <v>366</v>
      </c>
      <c r="B6" s="54" t="s">
        <v>367</v>
      </c>
      <c r="C6" s="55" t="s">
        <v>75</v>
      </c>
      <c r="D6" s="19" t="s">
        <v>14</v>
      </c>
      <c r="E6" s="51" t="s">
        <v>69</v>
      </c>
      <c r="F6" s="56" t="s">
        <v>87</v>
      </c>
      <c r="G6" s="56" t="s">
        <v>166</v>
      </c>
      <c r="H6" s="59" t="s">
        <v>242</v>
      </c>
      <c r="I6" s="56"/>
      <c r="J6" s="56" t="s">
        <v>39</v>
      </c>
      <c r="K6" s="56" t="s">
        <v>362</v>
      </c>
      <c r="L6" s="56" t="s">
        <v>363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9.5" customHeight="1" outlineLevel="2">
      <c r="A7" s="57" t="s">
        <v>368</v>
      </c>
      <c r="B7" s="57" t="s">
        <v>369</v>
      </c>
      <c r="C7" s="55" t="s">
        <v>75</v>
      </c>
      <c r="D7" s="19" t="s">
        <v>14</v>
      </c>
      <c r="E7" s="46" t="s">
        <v>63</v>
      </c>
      <c r="F7" s="58" t="s">
        <v>87</v>
      </c>
      <c r="G7" s="58" t="s">
        <v>166</v>
      </c>
      <c r="H7" s="60" t="s">
        <v>242</v>
      </c>
      <c r="I7" s="58"/>
      <c r="J7" s="58" t="s">
        <v>39</v>
      </c>
      <c r="K7" s="58" t="s">
        <v>362</v>
      </c>
      <c r="L7" s="58" t="s">
        <v>363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customHeight="1" outlineLevel="2">
      <c r="A8" s="54" t="s">
        <v>370</v>
      </c>
      <c r="B8" s="54" t="s">
        <v>371</v>
      </c>
      <c r="C8" s="55" t="s">
        <v>75</v>
      </c>
      <c r="D8" s="19" t="s">
        <v>14</v>
      </c>
      <c r="E8" s="46" t="s">
        <v>63</v>
      </c>
      <c r="F8" s="56" t="s">
        <v>87</v>
      </c>
      <c r="G8" s="56" t="s">
        <v>166</v>
      </c>
      <c r="H8" s="59" t="s">
        <v>242</v>
      </c>
      <c r="I8" s="56"/>
      <c r="J8" s="56" t="s">
        <v>39</v>
      </c>
      <c r="K8" s="56" t="s">
        <v>362</v>
      </c>
      <c r="L8" s="56" t="s">
        <v>363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9.5" customHeight="1" outlineLevel="2">
      <c r="A9" s="57" t="s">
        <v>372</v>
      </c>
      <c r="B9" s="57" t="s">
        <v>373</v>
      </c>
      <c r="C9" s="55" t="s">
        <v>75</v>
      </c>
      <c r="D9" s="19" t="s">
        <v>14</v>
      </c>
      <c r="E9" s="46" t="s">
        <v>63</v>
      </c>
      <c r="F9" s="58" t="s">
        <v>87</v>
      </c>
      <c r="G9" s="58" t="s">
        <v>166</v>
      </c>
      <c r="H9" s="60" t="s">
        <v>242</v>
      </c>
      <c r="I9" s="58"/>
      <c r="J9" s="58" t="s">
        <v>39</v>
      </c>
      <c r="K9" s="58" t="s">
        <v>362</v>
      </c>
      <c r="L9" s="58" t="s">
        <v>363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9.5" customHeight="1" outlineLevel="2">
      <c r="A10" s="54" t="s">
        <v>374</v>
      </c>
      <c r="B10" s="54" t="s">
        <v>375</v>
      </c>
      <c r="C10" s="55" t="s">
        <v>75</v>
      </c>
      <c r="D10" s="19" t="s">
        <v>14</v>
      </c>
      <c r="E10" s="46" t="s">
        <v>63</v>
      </c>
      <c r="F10" s="56" t="s">
        <v>87</v>
      </c>
      <c r="G10" s="56" t="s">
        <v>166</v>
      </c>
      <c r="H10" s="59" t="s">
        <v>242</v>
      </c>
      <c r="I10" s="56"/>
      <c r="J10" s="56" t="s">
        <v>39</v>
      </c>
      <c r="K10" s="56" t="s">
        <v>362</v>
      </c>
      <c r="L10" s="56" t="s">
        <v>363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.5" customHeight="1" outlineLevel="1">
      <c r="A11" s="49" t="s">
        <v>376</v>
      </c>
      <c r="B11" s="49" t="s">
        <v>377</v>
      </c>
      <c r="C11" s="50" t="s">
        <v>68</v>
      </c>
      <c r="D11" s="19" t="s">
        <v>14</v>
      </c>
      <c r="E11" s="46" t="s">
        <v>63</v>
      </c>
      <c r="F11" s="52" t="s">
        <v>87</v>
      </c>
      <c r="G11" s="52" t="s">
        <v>64</v>
      </c>
      <c r="H11" s="53" t="s">
        <v>378</v>
      </c>
      <c r="I11" s="52"/>
      <c r="J11" s="52" t="s">
        <v>39</v>
      </c>
      <c r="K11" s="52" t="s">
        <v>16</v>
      </c>
      <c r="L11" s="52" t="s">
        <v>17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9.5" customHeight="1" outlineLevel="2">
      <c r="A12" s="54" t="s">
        <v>379</v>
      </c>
      <c r="B12" s="54" t="s">
        <v>380</v>
      </c>
      <c r="C12" s="55" t="s">
        <v>75</v>
      </c>
      <c r="D12" s="19" t="s">
        <v>14</v>
      </c>
      <c r="E12" s="46" t="s">
        <v>63</v>
      </c>
      <c r="F12" s="56" t="s">
        <v>87</v>
      </c>
      <c r="G12" s="56" t="s">
        <v>166</v>
      </c>
      <c r="H12" s="59" t="s">
        <v>256</v>
      </c>
      <c r="I12" s="56"/>
      <c r="J12" s="56" t="s">
        <v>39</v>
      </c>
      <c r="K12" s="56" t="s">
        <v>376</v>
      </c>
      <c r="L12" s="56" t="s">
        <v>377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.5" customHeight="1" outlineLevel="2">
      <c r="A13" s="57" t="s">
        <v>381</v>
      </c>
      <c r="B13" s="57" t="s">
        <v>382</v>
      </c>
      <c r="C13" s="55" t="s">
        <v>75</v>
      </c>
      <c r="D13" s="19" t="s">
        <v>14</v>
      </c>
      <c r="E13" s="46" t="s">
        <v>63</v>
      </c>
      <c r="F13" s="58" t="s">
        <v>87</v>
      </c>
      <c r="G13" s="58" t="s">
        <v>166</v>
      </c>
      <c r="H13" s="60" t="s">
        <v>256</v>
      </c>
      <c r="I13" s="58"/>
      <c r="J13" s="58" t="s">
        <v>39</v>
      </c>
      <c r="K13" s="58" t="s">
        <v>376</v>
      </c>
      <c r="L13" s="58" t="s">
        <v>377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9.5" customHeight="1" outlineLevel="2">
      <c r="A14" s="54" t="s">
        <v>383</v>
      </c>
      <c r="B14" s="54" t="s">
        <v>384</v>
      </c>
      <c r="C14" s="55" t="s">
        <v>75</v>
      </c>
      <c r="D14" s="19" t="s">
        <v>14</v>
      </c>
      <c r="E14" s="66" t="s">
        <v>186</v>
      </c>
      <c r="F14" s="56" t="s">
        <v>87</v>
      </c>
      <c r="G14" s="56" t="s">
        <v>166</v>
      </c>
      <c r="H14" s="59" t="s">
        <v>256</v>
      </c>
      <c r="I14" s="56"/>
      <c r="J14" s="56" t="s">
        <v>39</v>
      </c>
      <c r="K14" s="56" t="s">
        <v>376</v>
      </c>
      <c r="L14" s="56" t="s">
        <v>377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9.5" customHeight="1" outlineLevel="2">
      <c r="A15" s="57" t="s">
        <v>385</v>
      </c>
      <c r="B15" s="57" t="s">
        <v>386</v>
      </c>
      <c r="C15" s="55" t="s">
        <v>75</v>
      </c>
      <c r="D15" s="19" t="s">
        <v>14</v>
      </c>
      <c r="E15" s="51" t="s">
        <v>69</v>
      </c>
      <c r="F15" s="58" t="s">
        <v>87</v>
      </c>
      <c r="G15" s="58" t="s">
        <v>166</v>
      </c>
      <c r="H15" s="60" t="s">
        <v>256</v>
      </c>
      <c r="I15" s="58"/>
      <c r="J15" s="58" t="s">
        <v>39</v>
      </c>
      <c r="K15" s="58" t="s">
        <v>376</v>
      </c>
      <c r="L15" s="58" t="s">
        <v>377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9.5" customHeight="1" outlineLevel="2">
      <c r="A16" s="54" t="s">
        <v>387</v>
      </c>
      <c r="B16" s="54" t="s">
        <v>388</v>
      </c>
      <c r="C16" s="55" t="s">
        <v>75</v>
      </c>
      <c r="D16" s="19" t="s">
        <v>14</v>
      </c>
      <c r="E16" s="51" t="s">
        <v>69</v>
      </c>
      <c r="F16" s="56" t="s">
        <v>87</v>
      </c>
      <c r="G16" s="56" t="s">
        <v>166</v>
      </c>
      <c r="H16" s="59" t="s">
        <v>256</v>
      </c>
      <c r="I16" s="56"/>
      <c r="J16" s="56" t="s">
        <v>39</v>
      </c>
      <c r="K16" s="56" t="s">
        <v>376</v>
      </c>
      <c r="L16" s="56" t="s">
        <v>377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9.5" customHeight="1" outlineLevel="2">
      <c r="A17" s="57" t="s">
        <v>389</v>
      </c>
      <c r="B17" s="57" t="s">
        <v>390</v>
      </c>
      <c r="C17" s="55" t="s">
        <v>75</v>
      </c>
      <c r="D17" s="19" t="s">
        <v>14</v>
      </c>
      <c r="E17" s="51" t="s">
        <v>69</v>
      </c>
      <c r="F17" s="58" t="s">
        <v>87</v>
      </c>
      <c r="G17" s="58" t="s">
        <v>166</v>
      </c>
      <c r="H17" s="60" t="s">
        <v>202</v>
      </c>
      <c r="I17" s="58"/>
      <c r="J17" s="58" t="s">
        <v>39</v>
      </c>
      <c r="K17" s="58" t="s">
        <v>376</v>
      </c>
      <c r="L17" s="58" t="s">
        <v>377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9.5" customHeight="1" outlineLevel="2">
      <c r="A18" s="54" t="s">
        <v>391</v>
      </c>
      <c r="B18" s="54" t="s">
        <v>392</v>
      </c>
      <c r="C18" s="55" t="s">
        <v>75</v>
      </c>
      <c r="D18" s="19" t="s">
        <v>14</v>
      </c>
      <c r="E18" s="51" t="s">
        <v>69</v>
      </c>
      <c r="F18" s="56" t="s">
        <v>87</v>
      </c>
      <c r="G18" s="56" t="s">
        <v>166</v>
      </c>
      <c r="H18" s="59" t="s">
        <v>202</v>
      </c>
      <c r="I18" s="56"/>
      <c r="J18" s="56" t="s">
        <v>39</v>
      </c>
      <c r="K18" s="56" t="s">
        <v>376</v>
      </c>
      <c r="L18" s="56" t="s">
        <v>377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9.5" customHeight="1" outlineLevel="1">
      <c r="A19" s="49" t="s">
        <v>393</v>
      </c>
      <c r="B19" s="49" t="s">
        <v>394</v>
      </c>
      <c r="C19" s="50" t="s">
        <v>68</v>
      </c>
      <c r="D19" s="19" t="s">
        <v>14</v>
      </c>
      <c r="E19" s="51" t="s">
        <v>69</v>
      </c>
      <c r="F19" s="52" t="s">
        <v>87</v>
      </c>
      <c r="G19" s="52" t="s">
        <v>395</v>
      </c>
      <c r="H19" s="53" t="s">
        <v>396</v>
      </c>
      <c r="I19" s="52"/>
      <c r="J19" s="52" t="s">
        <v>41</v>
      </c>
      <c r="K19" s="52" t="s">
        <v>16</v>
      </c>
      <c r="L19" s="52" t="s">
        <v>17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9.5" customHeight="1" outlineLevel="2">
      <c r="A20" s="76" t="s">
        <v>397</v>
      </c>
      <c r="B20" s="76" t="s">
        <v>398</v>
      </c>
      <c r="C20" s="55" t="s">
        <v>75</v>
      </c>
      <c r="D20" s="19" t="s">
        <v>14</v>
      </c>
      <c r="E20" s="51" t="s">
        <v>69</v>
      </c>
      <c r="F20" s="56" t="s">
        <v>87</v>
      </c>
      <c r="G20" s="77">
        <v>46085.0</v>
      </c>
      <c r="H20" s="78">
        <v>46090.0</v>
      </c>
      <c r="I20" s="56"/>
      <c r="J20" s="62" t="s">
        <v>42</v>
      </c>
      <c r="K20" s="62" t="s">
        <v>393</v>
      </c>
      <c r="L20" s="62" t="s">
        <v>394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9.5" customHeight="1" outlineLevel="1">
      <c r="A21" s="49" t="s">
        <v>399</v>
      </c>
      <c r="B21" s="49" t="s">
        <v>400</v>
      </c>
      <c r="C21" s="50" t="s">
        <v>68</v>
      </c>
      <c r="D21" s="19" t="s">
        <v>14</v>
      </c>
      <c r="E21" s="68" t="s">
        <v>205</v>
      </c>
      <c r="F21" s="52" t="s">
        <v>87</v>
      </c>
      <c r="G21" s="52" t="s">
        <v>401</v>
      </c>
      <c r="H21" s="53" t="s">
        <v>129</v>
      </c>
      <c r="I21" s="52"/>
      <c r="J21" s="52" t="s">
        <v>41</v>
      </c>
      <c r="K21" s="52" t="s">
        <v>16</v>
      </c>
      <c r="L21" s="52" t="s">
        <v>17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9.5" customHeight="1" outlineLevel="1">
      <c r="A22" s="79" t="s">
        <v>402</v>
      </c>
      <c r="B22" s="79" t="s">
        <v>403</v>
      </c>
      <c r="C22" s="80" t="s">
        <v>68</v>
      </c>
      <c r="D22" s="81" t="s">
        <v>44</v>
      </c>
      <c r="E22" s="82" t="s">
        <v>205</v>
      </c>
      <c r="F22" s="69" t="s">
        <v>87</v>
      </c>
      <c r="G22" s="83">
        <v>46085.0</v>
      </c>
      <c r="H22" s="84">
        <v>46090.0</v>
      </c>
      <c r="I22" s="52"/>
      <c r="J22" s="69" t="s">
        <v>42</v>
      </c>
      <c r="K22" s="69" t="s">
        <v>16</v>
      </c>
      <c r="L22" s="69" t="s">
        <v>17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9.5" customHeight="1" outlineLevel="1">
      <c r="A23" s="49" t="s">
        <v>404</v>
      </c>
      <c r="B23" s="49" t="s">
        <v>405</v>
      </c>
      <c r="C23" s="50" t="s">
        <v>68</v>
      </c>
      <c r="D23" s="19" t="s">
        <v>14</v>
      </c>
      <c r="E23" s="68" t="s">
        <v>205</v>
      </c>
      <c r="F23" s="52" t="s">
        <v>87</v>
      </c>
      <c r="G23" s="52" t="s">
        <v>64</v>
      </c>
      <c r="H23" s="53" t="s">
        <v>291</v>
      </c>
      <c r="I23" s="52"/>
      <c r="J23" s="52" t="s">
        <v>41</v>
      </c>
      <c r="K23" s="52" t="s">
        <v>16</v>
      </c>
      <c r="L23" s="52" t="s">
        <v>17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C224" s="65"/>
      <c r="D224" s="65"/>
      <c r="E224" s="65"/>
      <c r="F224" s="65"/>
      <c r="H224" s="65"/>
      <c r="J224" s="65"/>
      <c r="K224" s="65"/>
      <c r="L224" s="65"/>
    </row>
    <row r="225" ht="15.75" customHeight="1">
      <c r="C225" s="65"/>
      <c r="D225" s="65"/>
      <c r="E225" s="65"/>
      <c r="F225" s="65"/>
      <c r="H225" s="65"/>
      <c r="J225" s="65"/>
      <c r="K225" s="65"/>
      <c r="L225" s="65"/>
    </row>
    <row r="226" ht="15.75" customHeight="1">
      <c r="C226" s="65"/>
      <c r="D226" s="65"/>
      <c r="E226" s="65"/>
      <c r="F226" s="65"/>
      <c r="H226" s="65"/>
      <c r="J226" s="65"/>
      <c r="K226" s="65"/>
      <c r="L226" s="65"/>
    </row>
    <row r="227" ht="15.75" customHeight="1">
      <c r="C227" s="65"/>
      <c r="D227" s="65"/>
      <c r="E227" s="65"/>
      <c r="F227" s="65"/>
      <c r="H227" s="65"/>
      <c r="J227" s="65"/>
      <c r="K227" s="65"/>
      <c r="L227" s="65"/>
    </row>
    <row r="228" ht="15.75" customHeight="1">
      <c r="C228" s="65"/>
      <c r="D228" s="65"/>
      <c r="E228" s="65"/>
      <c r="F228" s="65"/>
      <c r="H228" s="65"/>
      <c r="J228" s="65"/>
      <c r="K228" s="65"/>
      <c r="L228" s="65"/>
    </row>
    <row r="229" ht="15.75" customHeight="1">
      <c r="C229" s="65"/>
      <c r="D229" s="65"/>
      <c r="E229" s="65"/>
      <c r="F229" s="65"/>
      <c r="H229" s="65"/>
      <c r="J229" s="65"/>
      <c r="K229" s="65"/>
      <c r="L229" s="65"/>
    </row>
    <row r="230" ht="15.75" customHeight="1">
      <c r="C230" s="65"/>
      <c r="D230" s="65"/>
      <c r="E230" s="65"/>
      <c r="F230" s="65"/>
      <c r="H230" s="65"/>
      <c r="J230" s="65"/>
      <c r="K230" s="65"/>
      <c r="L230" s="65"/>
    </row>
    <row r="231" ht="15.75" customHeight="1">
      <c r="C231" s="65"/>
      <c r="D231" s="65"/>
      <c r="E231" s="65"/>
      <c r="F231" s="65"/>
      <c r="H231" s="65"/>
      <c r="J231" s="65"/>
      <c r="K231" s="65"/>
      <c r="L231" s="65"/>
    </row>
    <row r="232" ht="15.75" customHeight="1">
      <c r="C232" s="65"/>
      <c r="D232" s="65"/>
      <c r="E232" s="65"/>
      <c r="F232" s="65"/>
      <c r="H232" s="65"/>
      <c r="J232" s="65"/>
      <c r="K232" s="65"/>
      <c r="L232" s="65"/>
    </row>
    <row r="233" ht="15.75" customHeight="1">
      <c r="C233" s="65"/>
      <c r="D233" s="65"/>
      <c r="E233" s="65"/>
      <c r="F233" s="65"/>
      <c r="H233" s="65"/>
      <c r="J233" s="65"/>
      <c r="K233" s="65"/>
      <c r="L233" s="65"/>
    </row>
    <row r="234" ht="15.75" customHeight="1">
      <c r="C234" s="65"/>
      <c r="D234" s="65"/>
      <c r="E234" s="65"/>
      <c r="F234" s="65"/>
      <c r="H234" s="65"/>
      <c r="J234" s="65"/>
      <c r="K234" s="65"/>
      <c r="L234" s="65"/>
    </row>
    <row r="235" ht="15.75" customHeight="1">
      <c r="C235" s="65"/>
      <c r="D235" s="65"/>
      <c r="E235" s="65"/>
      <c r="F235" s="65"/>
      <c r="H235" s="65"/>
      <c r="J235" s="65"/>
      <c r="K235" s="65"/>
      <c r="L235" s="65"/>
    </row>
    <row r="236" ht="15.75" customHeight="1">
      <c r="C236" s="65"/>
      <c r="D236" s="65"/>
      <c r="E236" s="65"/>
      <c r="F236" s="65"/>
      <c r="H236" s="65"/>
      <c r="J236" s="65"/>
      <c r="K236" s="65"/>
      <c r="L236" s="65"/>
    </row>
    <row r="237" ht="15.75" customHeight="1">
      <c r="C237" s="65"/>
      <c r="D237" s="65"/>
      <c r="E237" s="65"/>
      <c r="F237" s="65"/>
      <c r="H237" s="65"/>
      <c r="J237" s="65"/>
      <c r="K237" s="65"/>
      <c r="L237" s="65"/>
    </row>
    <row r="238" ht="15.75" customHeight="1">
      <c r="C238" s="65"/>
      <c r="D238" s="65"/>
      <c r="E238" s="65"/>
      <c r="F238" s="65"/>
      <c r="H238" s="65"/>
      <c r="J238" s="65"/>
      <c r="K238" s="65"/>
      <c r="L238" s="65"/>
    </row>
    <row r="239" ht="15.75" customHeight="1">
      <c r="C239" s="65"/>
      <c r="D239" s="65"/>
      <c r="E239" s="65"/>
      <c r="F239" s="65"/>
      <c r="H239" s="65"/>
      <c r="J239" s="65"/>
      <c r="K239" s="65"/>
      <c r="L239" s="65"/>
    </row>
    <row r="240" ht="15.75" customHeight="1">
      <c r="C240" s="65"/>
      <c r="D240" s="65"/>
      <c r="E240" s="65"/>
      <c r="F240" s="65"/>
      <c r="H240" s="65"/>
      <c r="J240" s="65"/>
      <c r="K240" s="65"/>
      <c r="L240" s="65"/>
    </row>
    <row r="241" ht="15.75" customHeight="1">
      <c r="C241" s="65"/>
      <c r="D241" s="65"/>
      <c r="E241" s="65"/>
      <c r="F241" s="65"/>
      <c r="H241" s="65"/>
      <c r="J241" s="65"/>
      <c r="K241" s="65"/>
      <c r="L241" s="65"/>
    </row>
    <row r="242" ht="15.75" customHeight="1">
      <c r="C242" s="65"/>
      <c r="D242" s="65"/>
      <c r="E242" s="65"/>
      <c r="F242" s="65"/>
      <c r="H242" s="65"/>
      <c r="J242" s="65"/>
      <c r="K242" s="65"/>
      <c r="L242" s="65"/>
    </row>
    <row r="243" ht="15.75" customHeight="1">
      <c r="C243" s="65"/>
      <c r="D243" s="65"/>
      <c r="E243" s="65"/>
      <c r="F243" s="65"/>
      <c r="H243" s="65"/>
      <c r="J243" s="65"/>
      <c r="K243" s="65"/>
      <c r="L243" s="65"/>
    </row>
    <row r="244" ht="15.75" customHeight="1">
      <c r="C244" s="65"/>
      <c r="D244" s="65"/>
      <c r="E244" s="65"/>
      <c r="F244" s="65"/>
      <c r="H244" s="65"/>
      <c r="J244" s="65"/>
      <c r="K244" s="65"/>
      <c r="L244" s="65"/>
    </row>
    <row r="245" ht="15.75" customHeight="1">
      <c r="C245" s="65"/>
      <c r="D245" s="65"/>
      <c r="E245" s="65"/>
      <c r="F245" s="65"/>
      <c r="H245" s="65"/>
      <c r="J245" s="65"/>
      <c r="K245" s="65"/>
      <c r="L245" s="65"/>
    </row>
    <row r="246" ht="15.75" customHeight="1">
      <c r="C246" s="65"/>
      <c r="D246" s="65"/>
      <c r="E246" s="65"/>
      <c r="F246" s="65"/>
      <c r="H246" s="65"/>
      <c r="J246" s="65"/>
      <c r="K246" s="65"/>
      <c r="L246" s="65"/>
    </row>
    <row r="247" ht="15.75" customHeight="1">
      <c r="C247" s="65"/>
      <c r="D247" s="65"/>
      <c r="E247" s="65"/>
      <c r="F247" s="65"/>
      <c r="H247" s="65"/>
      <c r="J247" s="65"/>
      <c r="K247" s="65"/>
      <c r="L247" s="65"/>
    </row>
    <row r="248" ht="15.75" customHeight="1">
      <c r="C248" s="65"/>
      <c r="D248" s="65"/>
      <c r="E248" s="65"/>
      <c r="F248" s="65"/>
      <c r="H248" s="65"/>
      <c r="J248" s="65"/>
      <c r="K248" s="65"/>
      <c r="L248" s="65"/>
    </row>
    <row r="249" ht="15.75" customHeight="1">
      <c r="C249" s="65"/>
      <c r="D249" s="65"/>
      <c r="E249" s="65"/>
      <c r="F249" s="65"/>
      <c r="H249" s="65"/>
      <c r="J249" s="65"/>
      <c r="K249" s="65"/>
      <c r="L249" s="65"/>
    </row>
    <row r="250" ht="15.75" customHeight="1">
      <c r="C250" s="65"/>
      <c r="D250" s="65"/>
      <c r="E250" s="65"/>
      <c r="F250" s="65"/>
      <c r="H250" s="65"/>
      <c r="J250" s="65"/>
      <c r="K250" s="65"/>
      <c r="L250" s="65"/>
    </row>
    <row r="251" ht="15.75" customHeight="1">
      <c r="C251" s="65"/>
      <c r="D251" s="65"/>
      <c r="E251" s="65"/>
      <c r="F251" s="65"/>
      <c r="H251" s="65"/>
      <c r="J251" s="65"/>
      <c r="K251" s="65"/>
      <c r="L251" s="65"/>
    </row>
    <row r="252" ht="15.75" customHeight="1">
      <c r="C252" s="65"/>
      <c r="D252" s="65"/>
      <c r="E252" s="65"/>
      <c r="F252" s="65"/>
      <c r="H252" s="65"/>
      <c r="J252" s="65"/>
      <c r="K252" s="65"/>
      <c r="L252" s="65"/>
    </row>
    <row r="253" ht="15.75" customHeight="1">
      <c r="C253" s="65"/>
      <c r="D253" s="65"/>
      <c r="E253" s="65"/>
      <c r="F253" s="65"/>
      <c r="H253" s="65"/>
      <c r="J253" s="65"/>
      <c r="K253" s="65"/>
      <c r="L253" s="65"/>
    </row>
    <row r="254" ht="15.75" customHeight="1">
      <c r="C254" s="65"/>
      <c r="D254" s="65"/>
      <c r="E254" s="65"/>
      <c r="F254" s="65"/>
      <c r="H254" s="65"/>
      <c r="J254" s="65"/>
      <c r="K254" s="65"/>
      <c r="L254" s="65"/>
    </row>
    <row r="255" ht="15.75" customHeight="1">
      <c r="C255" s="65"/>
      <c r="D255" s="65"/>
      <c r="E255" s="65"/>
      <c r="F255" s="65"/>
      <c r="H255" s="65"/>
      <c r="J255" s="65"/>
      <c r="K255" s="65"/>
      <c r="L255" s="65"/>
    </row>
    <row r="256" ht="15.75" customHeight="1">
      <c r="C256" s="65"/>
      <c r="D256" s="65"/>
      <c r="E256" s="65"/>
      <c r="F256" s="65"/>
      <c r="H256" s="65"/>
      <c r="J256" s="65"/>
      <c r="K256" s="65"/>
      <c r="L256" s="65"/>
    </row>
    <row r="257" ht="15.75" customHeight="1">
      <c r="C257" s="65"/>
      <c r="D257" s="65"/>
      <c r="E257" s="65"/>
      <c r="F257" s="65"/>
      <c r="H257" s="65"/>
      <c r="J257" s="65"/>
      <c r="K257" s="65"/>
      <c r="L257" s="65"/>
    </row>
    <row r="258" ht="15.75" customHeight="1">
      <c r="C258" s="65"/>
      <c r="D258" s="65"/>
      <c r="E258" s="65"/>
      <c r="F258" s="65"/>
      <c r="H258" s="65"/>
      <c r="J258" s="65"/>
      <c r="K258" s="65"/>
      <c r="L258" s="65"/>
    </row>
    <row r="259" ht="15.75" customHeight="1">
      <c r="C259" s="65"/>
      <c r="D259" s="65"/>
      <c r="E259" s="65"/>
      <c r="F259" s="65"/>
      <c r="H259" s="65"/>
      <c r="J259" s="65"/>
      <c r="K259" s="65"/>
      <c r="L259" s="65"/>
    </row>
    <row r="260" ht="15.75" customHeight="1">
      <c r="C260" s="65"/>
      <c r="D260" s="65"/>
      <c r="E260" s="65"/>
      <c r="F260" s="65"/>
      <c r="H260" s="65"/>
      <c r="J260" s="65"/>
      <c r="K260" s="65"/>
      <c r="L260" s="65"/>
    </row>
    <row r="261" ht="15.75" customHeight="1">
      <c r="C261" s="65"/>
      <c r="D261" s="65"/>
      <c r="E261" s="65"/>
      <c r="F261" s="65"/>
      <c r="H261" s="65"/>
      <c r="J261" s="65"/>
      <c r="K261" s="65"/>
      <c r="L261" s="65"/>
    </row>
    <row r="262" ht="15.75" customHeight="1">
      <c r="C262" s="65"/>
      <c r="D262" s="65"/>
      <c r="E262" s="65"/>
      <c r="F262" s="65"/>
      <c r="H262" s="65"/>
      <c r="J262" s="65"/>
      <c r="K262" s="65"/>
      <c r="L262" s="65"/>
    </row>
    <row r="263" ht="15.75" customHeight="1">
      <c r="C263" s="65"/>
      <c r="D263" s="65"/>
      <c r="E263" s="65"/>
      <c r="F263" s="65"/>
      <c r="H263" s="65"/>
      <c r="J263" s="65"/>
      <c r="K263" s="65"/>
      <c r="L263" s="65"/>
    </row>
    <row r="264" ht="15.75" customHeight="1">
      <c r="C264" s="65"/>
      <c r="D264" s="65"/>
      <c r="E264" s="65"/>
      <c r="F264" s="65"/>
      <c r="H264" s="65"/>
      <c r="J264" s="65"/>
      <c r="K264" s="65"/>
      <c r="L264" s="65"/>
    </row>
    <row r="265" ht="15.75" customHeight="1">
      <c r="C265" s="65"/>
      <c r="D265" s="65"/>
      <c r="E265" s="65"/>
      <c r="F265" s="65"/>
      <c r="H265" s="65"/>
      <c r="J265" s="65"/>
      <c r="K265" s="65"/>
      <c r="L265" s="65"/>
    </row>
    <row r="266" ht="15.75" customHeight="1">
      <c r="C266" s="65"/>
      <c r="D266" s="65"/>
      <c r="E266" s="65"/>
      <c r="F266" s="65"/>
      <c r="H266" s="65"/>
      <c r="J266" s="65"/>
      <c r="K266" s="65"/>
      <c r="L266" s="65"/>
    </row>
    <row r="267" ht="15.75" customHeight="1">
      <c r="C267" s="65"/>
      <c r="D267" s="65"/>
      <c r="E267" s="65"/>
      <c r="F267" s="65"/>
      <c r="H267" s="65"/>
      <c r="J267" s="65"/>
      <c r="K267" s="65"/>
      <c r="L267" s="65"/>
    </row>
    <row r="268" ht="15.75" customHeight="1">
      <c r="C268" s="65"/>
      <c r="D268" s="65"/>
      <c r="E268" s="65"/>
      <c r="F268" s="65"/>
      <c r="H268" s="65"/>
      <c r="J268" s="65"/>
      <c r="K268" s="65"/>
      <c r="L268" s="65"/>
    </row>
    <row r="269" ht="15.75" customHeight="1">
      <c r="C269" s="65"/>
      <c r="D269" s="65"/>
      <c r="E269" s="65"/>
      <c r="F269" s="65"/>
      <c r="H269" s="65"/>
      <c r="J269" s="65"/>
      <c r="K269" s="65"/>
      <c r="L269" s="65"/>
    </row>
    <row r="270" ht="15.75" customHeight="1">
      <c r="C270" s="65"/>
      <c r="D270" s="65"/>
      <c r="E270" s="65"/>
      <c r="F270" s="65"/>
      <c r="H270" s="65"/>
      <c r="J270" s="65"/>
      <c r="K270" s="65"/>
      <c r="L270" s="65"/>
    </row>
    <row r="271" ht="15.75" customHeight="1">
      <c r="C271" s="65"/>
      <c r="D271" s="65"/>
      <c r="E271" s="65"/>
      <c r="F271" s="65"/>
      <c r="H271" s="65"/>
      <c r="J271" s="65"/>
      <c r="K271" s="65"/>
      <c r="L271" s="65"/>
    </row>
    <row r="272" ht="15.75" customHeight="1">
      <c r="C272" s="65"/>
      <c r="D272" s="65"/>
      <c r="E272" s="65"/>
      <c r="F272" s="65"/>
      <c r="H272" s="65"/>
      <c r="J272" s="65"/>
      <c r="K272" s="65"/>
      <c r="L272" s="65"/>
    </row>
    <row r="273" ht="15.75" customHeight="1">
      <c r="C273" s="65"/>
      <c r="D273" s="65"/>
      <c r="E273" s="65"/>
      <c r="F273" s="65"/>
      <c r="H273" s="65"/>
      <c r="J273" s="65"/>
      <c r="K273" s="65"/>
      <c r="L273" s="65"/>
    </row>
    <row r="274" ht="15.75" customHeight="1">
      <c r="C274" s="65"/>
      <c r="D274" s="65"/>
      <c r="E274" s="65"/>
      <c r="F274" s="65"/>
      <c r="H274" s="65"/>
      <c r="J274" s="65"/>
      <c r="K274" s="65"/>
      <c r="L274" s="65"/>
    </row>
    <row r="275" ht="15.75" customHeight="1">
      <c r="C275" s="65"/>
      <c r="D275" s="65"/>
      <c r="E275" s="65"/>
      <c r="F275" s="65"/>
      <c r="H275" s="65"/>
      <c r="J275" s="65"/>
      <c r="K275" s="65"/>
      <c r="L275" s="65"/>
    </row>
    <row r="276" ht="15.75" customHeight="1">
      <c r="C276" s="65"/>
      <c r="D276" s="65"/>
      <c r="E276" s="65"/>
      <c r="F276" s="65"/>
      <c r="H276" s="65"/>
      <c r="J276" s="65"/>
      <c r="K276" s="65"/>
      <c r="L276" s="65"/>
    </row>
    <row r="277" ht="15.75" customHeight="1">
      <c r="C277" s="65"/>
      <c r="D277" s="65"/>
      <c r="E277" s="65"/>
      <c r="F277" s="65"/>
      <c r="H277" s="65"/>
      <c r="J277" s="65"/>
      <c r="K277" s="65"/>
      <c r="L277" s="65"/>
    </row>
    <row r="278" ht="15.75" customHeight="1">
      <c r="C278" s="65"/>
      <c r="D278" s="65"/>
      <c r="E278" s="65"/>
      <c r="F278" s="65"/>
      <c r="H278" s="65"/>
      <c r="J278" s="65"/>
      <c r="K278" s="65"/>
      <c r="L278" s="65"/>
    </row>
    <row r="279" ht="15.75" customHeight="1">
      <c r="C279" s="65"/>
      <c r="D279" s="65"/>
      <c r="E279" s="65"/>
      <c r="F279" s="65"/>
      <c r="H279" s="65"/>
      <c r="J279" s="65"/>
      <c r="K279" s="65"/>
      <c r="L279" s="65"/>
    </row>
    <row r="280" ht="15.75" customHeight="1">
      <c r="C280" s="65"/>
      <c r="D280" s="65"/>
      <c r="E280" s="65"/>
      <c r="F280" s="65"/>
      <c r="H280" s="65"/>
      <c r="J280" s="65"/>
      <c r="K280" s="65"/>
      <c r="L280" s="65"/>
    </row>
    <row r="281" ht="15.75" customHeight="1">
      <c r="C281" s="65"/>
      <c r="D281" s="65"/>
      <c r="E281" s="65"/>
      <c r="F281" s="65"/>
      <c r="H281" s="65"/>
      <c r="J281" s="65"/>
      <c r="K281" s="65"/>
      <c r="L281" s="65"/>
    </row>
    <row r="282" ht="15.75" customHeight="1">
      <c r="C282" s="65"/>
      <c r="D282" s="65"/>
      <c r="E282" s="65"/>
      <c r="F282" s="65"/>
      <c r="H282" s="65"/>
      <c r="J282" s="65"/>
      <c r="K282" s="65"/>
      <c r="L282" s="65"/>
    </row>
    <row r="283" ht="15.75" customHeight="1">
      <c r="C283" s="65"/>
      <c r="D283" s="65"/>
      <c r="E283" s="65"/>
      <c r="F283" s="65"/>
      <c r="H283" s="65"/>
      <c r="J283" s="65"/>
      <c r="K283" s="65"/>
      <c r="L283" s="65"/>
    </row>
    <row r="284" ht="15.75" customHeight="1">
      <c r="C284" s="65"/>
      <c r="D284" s="65"/>
      <c r="E284" s="65"/>
      <c r="F284" s="65"/>
      <c r="H284" s="65"/>
      <c r="J284" s="65"/>
      <c r="K284" s="65"/>
      <c r="L284" s="65"/>
    </row>
    <row r="285" ht="15.75" customHeight="1">
      <c r="C285" s="65"/>
      <c r="D285" s="65"/>
      <c r="E285" s="65"/>
      <c r="F285" s="65"/>
      <c r="H285" s="65"/>
      <c r="J285" s="65"/>
      <c r="K285" s="65"/>
      <c r="L285" s="65"/>
    </row>
    <row r="286" ht="15.75" customHeight="1">
      <c r="C286" s="65"/>
      <c r="D286" s="65"/>
      <c r="E286" s="65"/>
      <c r="F286" s="65"/>
      <c r="H286" s="65"/>
      <c r="J286" s="65"/>
      <c r="K286" s="65"/>
      <c r="L286" s="65"/>
    </row>
    <row r="287" ht="15.75" customHeight="1">
      <c r="C287" s="65"/>
      <c r="D287" s="65"/>
      <c r="E287" s="65"/>
      <c r="F287" s="65"/>
      <c r="H287" s="65"/>
      <c r="J287" s="65"/>
      <c r="K287" s="65"/>
      <c r="L287" s="65"/>
    </row>
    <row r="288" ht="15.75" customHeight="1">
      <c r="C288" s="65"/>
      <c r="D288" s="65"/>
      <c r="E288" s="65"/>
      <c r="F288" s="65"/>
      <c r="H288" s="65"/>
      <c r="J288" s="65"/>
      <c r="K288" s="65"/>
      <c r="L288" s="65"/>
    </row>
    <row r="289" ht="15.75" customHeight="1">
      <c r="C289" s="65"/>
      <c r="D289" s="65"/>
      <c r="E289" s="65"/>
      <c r="F289" s="65"/>
      <c r="H289" s="65"/>
      <c r="J289" s="65"/>
      <c r="K289" s="65"/>
      <c r="L289" s="65"/>
    </row>
    <row r="290" ht="15.75" customHeight="1">
      <c r="C290" s="65"/>
      <c r="D290" s="65"/>
      <c r="E290" s="65"/>
      <c r="F290" s="65"/>
      <c r="H290" s="65"/>
      <c r="J290" s="65"/>
      <c r="K290" s="65"/>
      <c r="L290" s="65"/>
    </row>
    <row r="291" ht="15.75" customHeight="1">
      <c r="C291" s="65"/>
      <c r="D291" s="65"/>
      <c r="E291" s="65"/>
      <c r="F291" s="65"/>
      <c r="H291" s="65"/>
      <c r="J291" s="65"/>
      <c r="K291" s="65"/>
      <c r="L291" s="65"/>
    </row>
    <row r="292" ht="15.75" customHeight="1">
      <c r="C292" s="65"/>
      <c r="D292" s="65"/>
      <c r="E292" s="65"/>
      <c r="F292" s="65"/>
      <c r="H292" s="65"/>
      <c r="J292" s="65"/>
      <c r="K292" s="65"/>
      <c r="L292" s="65"/>
    </row>
    <row r="293" ht="15.75" customHeight="1">
      <c r="C293" s="65"/>
      <c r="D293" s="65"/>
      <c r="E293" s="65"/>
      <c r="F293" s="65"/>
      <c r="H293" s="65"/>
      <c r="J293" s="65"/>
      <c r="K293" s="65"/>
      <c r="L293" s="65"/>
    </row>
    <row r="294" ht="15.75" customHeight="1">
      <c r="C294" s="65"/>
      <c r="D294" s="65"/>
      <c r="E294" s="65"/>
      <c r="F294" s="65"/>
      <c r="H294" s="65"/>
      <c r="J294" s="65"/>
      <c r="K294" s="65"/>
      <c r="L294" s="65"/>
    </row>
    <row r="295" ht="15.75" customHeight="1">
      <c r="C295" s="65"/>
      <c r="D295" s="65"/>
      <c r="E295" s="65"/>
      <c r="F295" s="65"/>
      <c r="H295" s="65"/>
      <c r="J295" s="65"/>
      <c r="K295" s="65"/>
      <c r="L295" s="65"/>
    </row>
    <row r="296" ht="15.75" customHeight="1">
      <c r="C296" s="65"/>
      <c r="D296" s="65"/>
      <c r="E296" s="65"/>
      <c r="F296" s="65"/>
      <c r="H296" s="65"/>
      <c r="J296" s="65"/>
      <c r="K296" s="65"/>
      <c r="L296" s="65"/>
    </row>
    <row r="297" ht="15.75" customHeight="1">
      <c r="C297" s="65"/>
      <c r="D297" s="65"/>
      <c r="E297" s="65"/>
      <c r="F297" s="65"/>
      <c r="H297" s="65"/>
      <c r="J297" s="65"/>
      <c r="K297" s="65"/>
      <c r="L297" s="65"/>
    </row>
    <row r="298" ht="15.75" customHeight="1">
      <c r="C298" s="65"/>
      <c r="D298" s="65"/>
      <c r="E298" s="65"/>
      <c r="F298" s="65"/>
      <c r="H298" s="65"/>
      <c r="J298" s="65"/>
      <c r="K298" s="65"/>
      <c r="L298" s="65"/>
    </row>
    <row r="299" ht="15.75" customHeight="1">
      <c r="C299" s="65"/>
      <c r="D299" s="65"/>
      <c r="E299" s="65"/>
      <c r="F299" s="65"/>
      <c r="H299" s="65"/>
      <c r="J299" s="65"/>
      <c r="K299" s="65"/>
      <c r="L299" s="65"/>
    </row>
    <row r="300" ht="15.75" customHeight="1">
      <c r="C300" s="65"/>
      <c r="D300" s="65"/>
      <c r="E300" s="65"/>
      <c r="F300" s="65"/>
      <c r="H300" s="65"/>
      <c r="J300" s="65"/>
      <c r="K300" s="65"/>
      <c r="L300" s="65"/>
    </row>
    <row r="301" ht="15.75" customHeight="1">
      <c r="C301" s="65"/>
      <c r="D301" s="65"/>
      <c r="E301" s="65"/>
      <c r="F301" s="65"/>
      <c r="H301" s="65"/>
      <c r="J301" s="65"/>
      <c r="K301" s="65"/>
      <c r="L301" s="65"/>
    </row>
    <row r="302" ht="15.75" customHeight="1">
      <c r="C302" s="65"/>
      <c r="D302" s="65"/>
      <c r="E302" s="65"/>
      <c r="F302" s="65"/>
      <c r="H302" s="65"/>
      <c r="J302" s="65"/>
      <c r="K302" s="65"/>
      <c r="L302" s="65"/>
    </row>
    <row r="303" ht="15.75" customHeight="1">
      <c r="C303" s="65"/>
      <c r="D303" s="65"/>
      <c r="E303" s="65"/>
      <c r="F303" s="65"/>
      <c r="H303" s="65"/>
      <c r="J303" s="65"/>
      <c r="K303" s="65"/>
      <c r="L303" s="65"/>
    </row>
    <row r="304" ht="15.75" customHeight="1">
      <c r="C304" s="65"/>
      <c r="D304" s="65"/>
      <c r="E304" s="65"/>
      <c r="F304" s="65"/>
      <c r="H304" s="65"/>
      <c r="J304" s="65"/>
      <c r="K304" s="65"/>
      <c r="L304" s="65"/>
    </row>
    <row r="305" ht="15.75" customHeight="1">
      <c r="C305" s="65"/>
      <c r="D305" s="65"/>
      <c r="E305" s="65"/>
      <c r="F305" s="65"/>
      <c r="H305" s="65"/>
      <c r="J305" s="65"/>
      <c r="K305" s="65"/>
      <c r="L305" s="65"/>
    </row>
    <row r="306" ht="15.75" customHeight="1">
      <c r="C306" s="65"/>
      <c r="D306" s="65"/>
      <c r="E306" s="65"/>
      <c r="F306" s="65"/>
      <c r="H306" s="65"/>
      <c r="J306" s="65"/>
      <c r="K306" s="65"/>
      <c r="L306" s="65"/>
    </row>
    <row r="307" ht="15.75" customHeight="1">
      <c r="C307" s="65"/>
      <c r="D307" s="65"/>
      <c r="E307" s="65"/>
      <c r="F307" s="65"/>
      <c r="H307" s="65"/>
      <c r="J307" s="65"/>
      <c r="K307" s="65"/>
      <c r="L307" s="65"/>
    </row>
    <row r="308" ht="15.75" customHeight="1">
      <c r="C308" s="65"/>
      <c r="D308" s="65"/>
      <c r="E308" s="65"/>
      <c r="F308" s="65"/>
      <c r="H308" s="65"/>
      <c r="J308" s="65"/>
      <c r="K308" s="65"/>
      <c r="L308" s="65"/>
    </row>
    <row r="309" ht="15.75" customHeight="1">
      <c r="C309" s="65"/>
      <c r="D309" s="65"/>
      <c r="E309" s="65"/>
      <c r="F309" s="65"/>
      <c r="H309" s="65"/>
      <c r="J309" s="65"/>
      <c r="K309" s="65"/>
      <c r="L309" s="65"/>
    </row>
    <row r="310" ht="15.75" customHeight="1">
      <c r="C310" s="65"/>
      <c r="D310" s="65"/>
      <c r="E310" s="65"/>
      <c r="F310" s="65"/>
      <c r="H310" s="65"/>
      <c r="J310" s="65"/>
      <c r="K310" s="65"/>
      <c r="L310" s="65"/>
    </row>
    <row r="311" ht="15.75" customHeight="1">
      <c r="C311" s="65"/>
      <c r="D311" s="65"/>
      <c r="E311" s="65"/>
      <c r="F311" s="65"/>
      <c r="H311" s="65"/>
      <c r="J311" s="65"/>
      <c r="K311" s="65"/>
      <c r="L311" s="65"/>
    </row>
    <row r="312" ht="15.75" customHeight="1">
      <c r="C312" s="65"/>
      <c r="D312" s="65"/>
      <c r="E312" s="65"/>
      <c r="F312" s="65"/>
      <c r="H312" s="65"/>
      <c r="J312" s="65"/>
      <c r="K312" s="65"/>
      <c r="L312" s="65"/>
    </row>
    <row r="313" ht="15.75" customHeight="1">
      <c r="C313" s="65"/>
      <c r="D313" s="65"/>
      <c r="E313" s="65"/>
      <c r="F313" s="65"/>
      <c r="H313" s="65"/>
      <c r="J313" s="65"/>
      <c r="K313" s="65"/>
      <c r="L313" s="65"/>
    </row>
    <row r="314" ht="15.75" customHeight="1">
      <c r="C314" s="65"/>
      <c r="D314" s="65"/>
      <c r="E314" s="65"/>
      <c r="F314" s="65"/>
      <c r="H314" s="65"/>
      <c r="J314" s="65"/>
      <c r="K314" s="65"/>
      <c r="L314" s="65"/>
    </row>
    <row r="315" ht="15.75" customHeight="1">
      <c r="C315" s="65"/>
      <c r="D315" s="65"/>
      <c r="E315" s="65"/>
      <c r="F315" s="65"/>
      <c r="H315" s="65"/>
      <c r="J315" s="65"/>
      <c r="K315" s="65"/>
      <c r="L315" s="65"/>
    </row>
    <row r="316" ht="15.75" customHeight="1">
      <c r="C316" s="65"/>
      <c r="D316" s="65"/>
      <c r="E316" s="65"/>
      <c r="F316" s="65"/>
      <c r="H316" s="65"/>
      <c r="J316" s="65"/>
      <c r="K316" s="65"/>
      <c r="L316" s="65"/>
    </row>
    <row r="317" ht="15.75" customHeight="1">
      <c r="C317" s="65"/>
      <c r="D317" s="65"/>
      <c r="E317" s="65"/>
      <c r="F317" s="65"/>
      <c r="H317" s="65"/>
      <c r="J317" s="65"/>
      <c r="K317" s="65"/>
      <c r="L317" s="65"/>
    </row>
    <row r="318" ht="15.75" customHeight="1">
      <c r="C318" s="65"/>
      <c r="D318" s="65"/>
      <c r="E318" s="65"/>
      <c r="F318" s="65"/>
      <c r="H318" s="65"/>
      <c r="J318" s="65"/>
      <c r="K318" s="65"/>
      <c r="L318" s="65"/>
    </row>
    <row r="319" ht="15.75" customHeight="1">
      <c r="C319" s="65"/>
      <c r="D319" s="65"/>
      <c r="E319" s="65"/>
      <c r="F319" s="65"/>
      <c r="H319" s="65"/>
      <c r="J319" s="65"/>
      <c r="K319" s="65"/>
      <c r="L319" s="65"/>
    </row>
    <row r="320" ht="15.75" customHeight="1">
      <c r="C320" s="65"/>
      <c r="D320" s="65"/>
      <c r="E320" s="65"/>
      <c r="F320" s="65"/>
      <c r="H320" s="65"/>
      <c r="J320" s="65"/>
      <c r="K320" s="65"/>
      <c r="L320" s="65"/>
    </row>
    <row r="321" ht="15.75" customHeight="1">
      <c r="C321" s="65"/>
      <c r="D321" s="65"/>
      <c r="E321" s="65"/>
      <c r="F321" s="65"/>
      <c r="H321" s="65"/>
      <c r="J321" s="65"/>
      <c r="K321" s="65"/>
      <c r="L321" s="65"/>
    </row>
    <row r="322" ht="15.75" customHeight="1">
      <c r="C322" s="65"/>
      <c r="D322" s="65"/>
      <c r="E322" s="65"/>
      <c r="F322" s="65"/>
      <c r="H322" s="65"/>
      <c r="J322" s="65"/>
      <c r="K322" s="65"/>
      <c r="L322" s="65"/>
    </row>
    <row r="323" ht="15.75" customHeight="1">
      <c r="C323" s="65"/>
      <c r="D323" s="65"/>
      <c r="E323" s="65"/>
      <c r="F323" s="65"/>
      <c r="H323" s="65"/>
      <c r="J323" s="65"/>
      <c r="K323" s="65"/>
      <c r="L323" s="65"/>
    </row>
    <row r="324" ht="15.75" customHeight="1">
      <c r="C324" s="65"/>
      <c r="D324" s="65"/>
      <c r="E324" s="65"/>
      <c r="F324" s="65"/>
      <c r="H324" s="65"/>
      <c r="J324" s="65"/>
      <c r="K324" s="65"/>
      <c r="L324" s="65"/>
    </row>
    <row r="325" ht="15.75" customHeight="1">
      <c r="C325" s="65"/>
      <c r="D325" s="65"/>
      <c r="E325" s="65"/>
      <c r="F325" s="65"/>
      <c r="H325" s="65"/>
      <c r="J325" s="65"/>
      <c r="K325" s="65"/>
      <c r="L325" s="65"/>
    </row>
    <row r="326" ht="15.75" customHeight="1">
      <c r="C326" s="65"/>
      <c r="D326" s="65"/>
      <c r="E326" s="65"/>
      <c r="F326" s="65"/>
      <c r="H326" s="65"/>
      <c r="J326" s="65"/>
      <c r="K326" s="65"/>
      <c r="L326" s="65"/>
    </row>
    <row r="327" ht="15.75" customHeight="1">
      <c r="C327" s="65"/>
      <c r="D327" s="65"/>
      <c r="E327" s="65"/>
      <c r="F327" s="65"/>
      <c r="H327" s="65"/>
      <c r="J327" s="65"/>
      <c r="K327" s="65"/>
      <c r="L327" s="65"/>
    </row>
    <row r="328" ht="15.75" customHeight="1">
      <c r="C328" s="65"/>
      <c r="D328" s="65"/>
      <c r="E328" s="65"/>
      <c r="F328" s="65"/>
      <c r="H328" s="65"/>
      <c r="J328" s="65"/>
      <c r="K328" s="65"/>
      <c r="L328" s="65"/>
    </row>
    <row r="329" ht="15.75" customHeight="1">
      <c r="C329" s="65"/>
      <c r="D329" s="65"/>
      <c r="E329" s="65"/>
      <c r="F329" s="65"/>
      <c r="H329" s="65"/>
      <c r="J329" s="65"/>
      <c r="K329" s="65"/>
      <c r="L329" s="65"/>
    </row>
    <row r="330" ht="15.75" customHeight="1">
      <c r="C330" s="65"/>
      <c r="D330" s="65"/>
      <c r="E330" s="65"/>
      <c r="F330" s="65"/>
      <c r="H330" s="65"/>
      <c r="J330" s="65"/>
      <c r="K330" s="65"/>
      <c r="L330" s="65"/>
    </row>
    <row r="331" ht="15.75" customHeight="1">
      <c r="C331" s="65"/>
      <c r="D331" s="65"/>
      <c r="E331" s="65"/>
      <c r="F331" s="65"/>
      <c r="H331" s="65"/>
      <c r="J331" s="65"/>
      <c r="K331" s="65"/>
      <c r="L331" s="65"/>
    </row>
    <row r="332" ht="15.75" customHeight="1">
      <c r="C332" s="65"/>
      <c r="D332" s="65"/>
      <c r="E332" s="65"/>
      <c r="F332" s="65"/>
      <c r="H332" s="65"/>
      <c r="J332" s="65"/>
      <c r="K332" s="65"/>
      <c r="L332" s="65"/>
    </row>
    <row r="333" ht="15.75" customHeight="1">
      <c r="C333" s="65"/>
      <c r="D333" s="65"/>
      <c r="E333" s="65"/>
      <c r="F333" s="65"/>
      <c r="H333" s="65"/>
      <c r="J333" s="65"/>
      <c r="K333" s="65"/>
      <c r="L333" s="65"/>
    </row>
    <row r="334" ht="15.75" customHeight="1">
      <c r="C334" s="65"/>
      <c r="D334" s="65"/>
      <c r="E334" s="65"/>
      <c r="F334" s="65"/>
      <c r="H334" s="65"/>
      <c r="J334" s="65"/>
      <c r="K334" s="65"/>
      <c r="L334" s="65"/>
    </row>
    <row r="335" ht="15.75" customHeight="1">
      <c r="C335" s="65"/>
      <c r="D335" s="65"/>
      <c r="E335" s="65"/>
      <c r="F335" s="65"/>
      <c r="H335" s="65"/>
      <c r="J335" s="65"/>
      <c r="K335" s="65"/>
      <c r="L335" s="65"/>
    </row>
    <row r="336" ht="15.75" customHeight="1">
      <c r="C336" s="65"/>
      <c r="D336" s="65"/>
      <c r="E336" s="65"/>
      <c r="F336" s="65"/>
      <c r="H336" s="65"/>
      <c r="J336" s="65"/>
      <c r="K336" s="65"/>
      <c r="L336" s="65"/>
    </row>
    <row r="337" ht="15.75" customHeight="1">
      <c r="C337" s="65"/>
      <c r="D337" s="65"/>
      <c r="E337" s="65"/>
      <c r="F337" s="65"/>
      <c r="H337" s="65"/>
      <c r="J337" s="65"/>
      <c r="K337" s="65"/>
      <c r="L337" s="65"/>
    </row>
    <row r="338" ht="15.75" customHeight="1">
      <c r="C338" s="65"/>
      <c r="D338" s="65"/>
      <c r="E338" s="65"/>
      <c r="F338" s="65"/>
      <c r="H338" s="65"/>
      <c r="J338" s="65"/>
      <c r="K338" s="65"/>
      <c r="L338" s="65"/>
    </row>
    <row r="339" ht="15.75" customHeight="1">
      <c r="C339" s="65"/>
      <c r="D339" s="65"/>
      <c r="E339" s="65"/>
      <c r="F339" s="65"/>
      <c r="H339" s="65"/>
      <c r="J339" s="65"/>
      <c r="K339" s="65"/>
      <c r="L339" s="65"/>
    </row>
    <row r="340" ht="15.75" customHeight="1">
      <c r="C340" s="65"/>
      <c r="D340" s="65"/>
      <c r="E340" s="65"/>
      <c r="F340" s="65"/>
      <c r="H340" s="65"/>
      <c r="J340" s="65"/>
      <c r="K340" s="65"/>
      <c r="L340" s="65"/>
    </row>
    <row r="341" ht="15.75" customHeight="1">
      <c r="C341" s="65"/>
      <c r="D341" s="65"/>
      <c r="E341" s="65"/>
      <c r="F341" s="65"/>
      <c r="H341" s="65"/>
      <c r="J341" s="65"/>
      <c r="K341" s="65"/>
      <c r="L341" s="65"/>
    </row>
    <row r="342" ht="15.75" customHeight="1">
      <c r="C342" s="65"/>
      <c r="D342" s="65"/>
      <c r="E342" s="65"/>
      <c r="F342" s="65"/>
      <c r="H342" s="65"/>
      <c r="J342" s="65"/>
      <c r="K342" s="65"/>
      <c r="L342" s="65"/>
    </row>
    <row r="343" ht="15.75" customHeight="1">
      <c r="C343" s="65"/>
      <c r="D343" s="65"/>
      <c r="E343" s="65"/>
      <c r="F343" s="65"/>
      <c r="H343" s="65"/>
      <c r="J343" s="65"/>
      <c r="K343" s="65"/>
      <c r="L343" s="65"/>
    </row>
    <row r="344" ht="15.75" customHeight="1">
      <c r="C344" s="65"/>
      <c r="D344" s="65"/>
      <c r="E344" s="65"/>
      <c r="F344" s="65"/>
      <c r="H344" s="65"/>
      <c r="J344" s="65"/>
      <c r="K344" s="65"/>
      <c r="L344" s="65"/>
    </row>
    <row r="345" ht="15.75" customHeight="1">
      <c r="C345" s="65"/>
      <c r="D345" s="65"/>
      <c r="E345" s="65"/>
      <c r="F345" s="65"/>
      <c r="H345" s="65"/>
      <c r="J345" s="65"/>
      <c r="K345" s="65"/>
      <c r="L345" s="65"/>
    </row>
    <row r="346" ht="15.75" customHeight="1">
      <c r="C346" s="65"/>
      <c r="D346" s="65"/>
      <c r="E346" s="65"/>
      <c r="F346" s="65"/>
      <c r="H346" s="65"/>
      <c r="J346" s="65"/>
      <c r="K346" s="65"/>
      <c r="L346" s="65"/>
    </row>
    <row r="347" ht="15.75" customHeight="1">
      <c r="C347" s="65"/>
      <c r="D347" s="65"/>
      <c r="E347" s="65"/>
      <c r="F347" s="65"/>
      <c r="H347" s="65"/>
      <c r="J347" s="65"/>
      <c r="K347" s="65"/>
      <c r="L347" s="65"/>
    </row>
    <row r="348" ht="15.75" customHeight="1">
      <c r="C348" s="65"/>
      <c r="D348" s="65"/>
      <c r="E348" s="65"/>
      <c r="F348" s="65"/>
      <c r="H348" s="65"/>
      <c r="J348" s="65"/>
      <c r="K348" s="65"/>
      <c r="L348" s="65"/>
    </row>
    <row r="349" ht="15.75" customHeight="1">
      <c r="C349" s="65"/>
      <c r="D349" s="65"/>
      <c r="E349" s="65"/>
      <c r="F349" s="65"/>
      <c r="H349" s="65"/>
      <c r="J349" s="65"/>
      <c r="K349" s="65"/>
      <c r="L349" s="65"/>
    </row>
    <row r="350" ht="15.75" customHeight="1">
      <c r="C350" s="65"/>
      <c r="D350" s="65"/>
      <c r="E350" s="65"/>
      <c r="F350" s="65"/>
      <c r="H350" s="65"/>
      <c r="J350" s="65"/>
      <c r="K350" s="65"/>
      <c r="L350" s="65"/>
    </row>
    <row r="351" ht="15.75" customHeight="1">
      <c r="C351" s="65"/>
      <c r="D351" s="65"/>
      <c r="E351" s="65"/>
      <c r="F351" s="65"/>
      <c r="H351" s="65"/>
      <c r="J351" s="65"/>
      <c r="K351" s="65"/>
      <c r="L351" s="65"/>
    </row>
    <row r="352" ht="15.75" customHeight="1">
      <c r="C352" s="65"/>
      <c r="D352" s="65"/>
      <c r="E352" s="65"/>
      <c r="F352" s="65"/>
      <c r="H352" s="65"/>
      <c r="J352" s="65"/>
      <c r="K352" s="65"/>
      <c r="L352" s="65"/>
    </row>
    <row r="353" ht="15.75" customHeight="1">
      <c r="C353" s="65"/>
      <c r="D353" s="65"/>
      <c r="E353" s="65"/>
      <c r="F353" s="65"/>
      <c r="H353" s="65"/>
      <c r="J353" s="65"/>
      <c r="K353" s="65"/>
      <c r="L353" s="65"/>
    </row>
    <row r="354" ht="15.75" customHeight="1">
      <c r="C354" s="65"/>
      <c r="D354" s="65"/>
      <c r="E354" s="65"/>
      <c r="F354" s="65"/>
      <c r="H354" s="65"/>
      <c r="J354" s="65"/>
      <c r="K354" s="65"/>
      <c r="L354" s="65"/>
    </row>
    <row r="355" ht="15.75" customHeight="1">
      <c r="C355" s="65"/>
      <c r="D355" s="65"/>
      <c r="E355" s="65"/>
      <c r="F355" s="65"/>
      <c r="H355" s="65"/>
      <c r="J355" s="65"/>
      <c r="K355" s="65"/>
      <c r="L355" s="65"/>
    </row>
    <row r="356" ht="15.75" customHeight="1">
      <c r="C356" s="65"/>
      <c r="D356" s="65"/>
      <c r="E356" s="65"/>
      <c r="F356" s="65"/>
      <c r="H356" s="65"/>
      <c r="J356" s="65"/>
      <c r="K356" s="65"/>
      <c r="L356" s="65"/>
    </row>
    <row r="357" ht="15.75" customHeight="1">
      <c r="C357" s="65"/>
      <c r="D357" s="65"/>
      <c r="E357" s="65"/>
      <c r="F357" s="65"/>
      <c r="H357" s="65"/>
      <c r="J357" s="65"/>
      <c r="K357" s="65"/>
      <c r="L357" s="65"/>
    </row>
    <row r="358" ht="15.75" customHeight="1">
      <c r="C358" s="65"/>
      <c r="D358" s="65"/>
      <c r="E358" s="65"/>
      <c r="F358" s="65"/>
      <c r="H358" s="65"/>
      <c r="J358" s="65"/>
      <c r="K358" s="65"/>
      <c r="L358" s="65"/>
    </row>
    <row r="359" ht="15.75" customHeight="1">
      <c r="C359" s="65"/>
      <c r="D359" s="65"/>
      <c r="E359" s="65"/>
      <c r="F359" s="65"/>
      <c r="H359" s="65"/>
      <c r="J359" s="65"/>
      <c r="K359" s="65"/>
      <c r="L359" s="65"/>
    </row>
    <row r="360" ht="15.75" customHeight="1">
      <c r="C360" s="65"/>
      <c r="D360" s="65"/>
      <c r="E360" s="65"/>
      <c r="F360" s="65"/>
      <c r="H360" s="65"/>
      <c r="J360" s="65"/>
      <c r="K360" s="65"/>
      <c r="L360" s="65"/>
    </row>
    <row r="361" ht="15.75" customHeight="1">
      <c r="C361" s="65"/>
      <c r="D361" s="65"/>
      <c r="E361" s="65"/>
      <c r="F361" s="65"/>
      <c r="H361" s="65"/>
      <c r="J361" s="65"/>
      <c r="K361" s="65"/>
      <c r="L361" s="65"/>
    </row>
    <row r="362" ht="15.75" customHeight="1">
      <c r="C362" s="65"/>
      <c r="D362" s="65"/>
      <c r="E362" s="65"/>
      <c r="F362" s="65"/>
      <c r="H362" s="65"/>
      <c r="J362" s="65"/>
      <c r="K362" s="65"/>
      <c r="L362" s="65"/>
    </row>
    <row r="363" ht="15.75" customHeight="1">
      <c r="C363" s="65"/>
      <c r="D363" s="65"/>
      <c r="E363" s="65"/>
      <c r="F363" s="65"/>
      <c r="H363" s="65"/>
      <c r="J363" s="65"/>
      <c r="K363" s="65"/>
      <c r="L363" s="65"/>
    </row>
    <row r="364" ht="15.75" customHeight="1">
      <c r="C364" s="65"/>
      <c r="D364" s="65"/>
      <c r="E364" s="65"/>
      <c r="F364" s="65"/>
      <c r="H364" s="65"/>
      <c r="J364" s="65"/>
      <c r="K364" s="65"/>
      <c r="L364" s="65"/>
    </row>
    <row r="365" ht="15.75" customHeight="1">
      <c r="C365" s="65"/>
      <c r="D365" s="65"/>
      <c r="E365" s="65"/>
      <c r="F365" s="65"/>
      <c r="H365" s="65"/>
      <c r="J365" s="65"/>
      <c r="K365" s="65"/>
      <c r="L365" s="65"/>
    </row>
    <row r="366" ht="15.75" customHeight="1">
      <c r="C366" s="65"/>
      <c r="D366" s="65"/>
      <c r="E366" s="65"/>
      <c r="F366" s="65"/>
      <c r="H366" s="65"/>
      <c r="J366" s="65"/>
      <c r="K366" s="65"/>
      <c r="L366" s="65"/>
    </row>
    <row r="367" ht="15.75" customHeight="1">
      <c r="C367" s="65"/>
      <c r="D367" s="65"/>
      <c r="E367" s="65"/>
      <c r="F367" s="65"/>
      <c r="H367" s="65"/>
      <c r="J367" s="65"/>
      <c r="K367" s="65"/>
      <c r="L367" s="65"/>
    </row>
    <row r="368" ht="15.75" customHeight="1">
      <c r="C368" s="65"/>
      <c r="D368" s="65"/>
      <c r="E368" s="65"/>
      <c r="F368" s="65"/>
      <c r="H368" s="65"/>
      <c r="J368" s="65"/>
      <c r="K368" s="65"/>
      <c r="L368" s="65"/>
    </row>
    <row r="369" ht="15.75" customHeight="1">
      <c r="C369" s="65"/>
      <c r="D369" s="65"/>
      <c r="E369" s="65"/>
      <c r="F369" s="65"/>
      <c r="H369" s="65"/>
      <c r="J369" s="65"/>
      <c r="K369" s="65"/>
      <c r="L369" s="65"/>
    </row>
    <row r="370" ht="15.75" customHeight="1">
      <c r="C370" s="65"/>
      <c r="D370" s="65"/>
      <c r="E370" s="65"/>
      <c r="F370" s="65"/>
      <c r="H370" s="65"/>
      <c r="J370" s="65"/>
      <c r="K370" s="65"/>
      <c r="L370" s="65"/>
    </row>
    <row r="371" ht="15.75" customHeight="1">
      <c r="C371" s="65"/>
      <c r="D371" s="65"/>
      <c r="E371" s="65"/>
      <c r="F371" s="65"/>
      <c r="H371" s="65"/>
      <c r="J371" s="65"/>
      <c r="K371" s="65"/>
      <c r="L371" s="65"/>
    </row>
    <row r="372" ht="15.75" customHeight="1">
      <c r="C372" s="65"/>
      <c r="D372" s="65"/>
      <c r="E372" s="65"/>
      <c r="F372" s="65"/>
      <c r="H372" s="65"/>
      <c r="J372" s="65"/>
      <c r="K372" s="65"/>
      <c r="L372" s="65"/>
    </row>
    <row r="373" ht="15.75" customHeight="1">
      <c r="C373" s="65"/>
      <c r="D373" s="65"/>
      <c r="E373" s="65"/>
      <c r="F373" s="65"/>
      <c r="H373" s="65"/>
      <c r="J373" s="65"/>
      <c r="K373" s="65"/>
      <c r="L373" s="65"/>
    </row>
    <row r="374" ht="15.75" customHeight="1">
      <c r="C374" s="65"/>
      <c r="D374" s="65"/>
      <c r="E374" s="65"/>
      <c r="F374" s="65"/>
      <c r="H374" s="65"/>
      <c r="J374" s="65"/>
      <c r="K374" s="65"/>
      <c r="L374" s="65"/>
    </row>
    <row r="375" ht="15.75" customHeight="1">
      <c r="C375" s="65"/>
      <c r="D375" s="65"/>
      <c r="E375" s="65"/>
      <c r="F375" s="65"/>
      <c r="H375" s="65"/>
      <c r="J375" s="65"/>
      <c r="K375" s="65"/>
      <c r="L375" s="65"/>
    </row>
    <row r="376" ht="15.75" customHeight="1">
      <c r="C376" s="65"/>
      <c r="D376" s="65"/>
      <c r="E376" s="65"/>
      <c r="F376" s="65"/>
      <c r="H376" s="65"/>
      <c r="J376" s="65"/>
      <c r="K376" s="65"/>
      <c r="L376" s="65"/>
    </row>
    <row r="377" ht="15.75" customHeight="1">
      <c r="C377" s="65"/>
      <c r="D377" s="65"/>
      <c r="E377" s="65"/>
      <c r="F377" s="65"/>
      <c r="H377" s="65"/>
      <c r="J377" s="65"/>
      <c r="K377" s="65"/>
      <c r="L377" s="65"/>
    </row>
    <row r="378" ht="15.75" customHeight="1">
      <c r="C378" s="65"/>
      <c r="D378" s="65"/>
      <c r="E378" s="65"/>
      <c r="F378" s="65"/>
      <c r="H378" s="65"/>
      <c r="J378" s="65"/>
      <c r="K378" s="65"/>
      <c r="L378" s="65"/>
    </row>
    <row r="379" ht="15.75" customHeight="1">
      <c r="C379" s="65"/>
      <c r="D379" s="65"/>
      <c r="E379" s="65"/>
      <c r="F379" s="65"/>
      <c r="H379" s="65"/>
      <c r="J379" s="65"/>
      <c r="K379" s="65"/>
      <c r="L379" s="65"/>
    </row>
    <row r="380" ht="15.75" customHeight="1">
      <c r="C380" s="65"/>
      <c r="D380" s="65"/>
      <c r="E380" s="65"/>
      <c r="F380" s="65"/>
      <c r="H380" s="65"/>
      <c r="J380" s="65"/>
      <c r="K380" s="65"/>
      <c r="L380" s="65"/>
    </row>
    <row r="381" ht="15.75" customHeight="1">
      <c r="C381" s="65"/>
      <c r="D381" s="65"/>
      <c r="E381" s="65"/>
      <c r="F381" s="65"/>
      <c r="H381" s="65"/>
      <c r="J381" s="65"/>
      <c r="K381" s="65"/>
      <c r="L381" s="65"/>
    </row>
    <row r="382" ht="15.75" customHeight="1">
      <c r="C382" s="65"/>
      <c r="D382" s="65"/>
      <c r="E382" s="65"/>
      <c r="F382" s="65"/>
      <c r="H382" s="65"/>
      <c r="J382" s="65"/>
      <c r="K382" s="65"/>
      <c r="L382" s="65"/>
    </row>
    <row r="383" ht="15.75" customHeight="1">
      <c r="C383" s="65"/>
      <c r="D383" s="65"/>
      <c r="E383" s="65"/>
      <c r="F383" s="65"/>
      <c r="H383" s="65"/>
      <c r="J383" s="65"/>
      <c r="K383" s="65"/>
      <c r="L383" s="65"/>
    </row>
    <row r="384" ht="15.75" customHeight="1">
      <c r="C384" s="65"/>
      <c r="D384" s="65"/>
      <c r="E384" s="65"/>
      <c r="F384" s="65"/>
      <c r="H384" s="65"/>
      <c r="J384" s="65"/>
      <c r="K384" s="65"/>
      <c r="L384" s="65"/>
    </row>
    <row r="385" ht="15.75" customHeight="1">
      <c r="C385" s="65"/>
      <c r="D385" s="65"/>
      <c r="E385" s="65"/>
      <c r="F385" s="65"/>
      <c r="H385" s="65"/>
      <c r="J385" s="65"/>
      <c r="K385" s="65"/>
      <c r="L385" s="65"/>
    </row>
    <row r="386" ht="15.75" customHeight="1">
      <c r="C386" s="65"/>
      <c r="D386" s="65"/>
      <c r="E386" s="65"/>
      <c r="F386" s="65"/>
      <c r="H386" s="65"/>
      <c r="J386" s="65"/>
      <c r="K386" s="65"/>
      <c r="L386" s="65"/>
    </row>
    <row r="387" ht="15.75" customHeight="1">
      <c r="C387" s="65"/>
      <c r="D387" s="65"/>
      <c r="E387" s="65"/>
      <c r="F387" s="65"/>
      <c r="H387" s="65"/>
      <c r="J387" s="65"/>
      <c r="K387" s="65"/>
      <c r="L387" s="65"/>
    </row>
    <row r="388" ht="15.75" customHeight="1">
      <c r="C388" s="65"/>
      <c r="D388" s="65"/>
      <c r="E388" s="65"/>
      <c r="F388" s="65"/>
      <c r="H388" s="65"/>
      <c r="J388" s="65"/>
      <c r="K388" s="65"/>
      <c r="L388" s="65"/>
    </row>
    <row r="389" ht="15.75" customHeight="1">
      <c r="C389" s="65"/>
      <c r="D389" s="65"/>
      <c r="E389" s="65"/>
      <c r="F389" s="65"/>
      <c r="H389" s="65"/>
      <c r="J389" s="65"/>
      <c r="K389" s="65"/>
      <c r="L389" s="65"/>
    </row>
    <row r="390" ht="15.75" customHeight="1">
      <c r="C390" s="65"/>
      <c r="D390" s="65"/>
      <c r="E390" s="65"/>
      <c r="F390" s="65"/>
      <c r="H390" s="65"/>
      <c r="J390" s="65"/>
      <c r="K390" s="65"/>
      <c r="L390" s="65"/>
    </row>
    <row r="391" ht="15.75" customHeight="1">
      <c r="C391" s="65"/>
      <c r="D391" s="65"/>
      <c r="E391" s="65"/>
      <c r="F391" s="65"/>
      <c r="H391" s="65"/>
      <c r="J391" s="65"/>
      <c r="K391" s="65"/>
      <c r="L391" s="65"/>
    </row>
    <row r="392" ht="15.75" customHeight="1">
      <c r="C392" s="65"/>
      <c r="D392" s="65"/>
      <c r="E392" s="65"/>
      <c r="F392" s="65"/>
      <c r="H392" s="65"/>
      <c r="J392" s="65"/>
      <c r="K392" s="65"/>
      <c r="L392" s="65"/>
    </row>
    <row r="393" ht="15.75" customHeight="1">
      <c r="C393" s="65"/>
      <c r="D393" s="65"/>
      <c r="E393" s="65"/>
      <c r="F393" s="65"/>
      <c r="H393" s="65"/>
      <c r="J393" s="65"/>
      <c r="K393" s="65"/>
      <c r="L393" s="65"/>
    </row>
    <row r="394" ht="15.75" customHeight="1">
      <c r="C394" s="65"/>
      <c r="D394" s="65"/>
      <c r="E394" s="65"/>
      <c r="F394" s="65"/>
      <c r="H394" s="65"/>
      <c r="J394" s="65"/>
      <c r="K394" s="65"/>
      <c r="L394" s="65"/>
    </row>
    <row r="395" ht="15.75" customHeight="1">
      <c r="C395" s="65"/>
      <c r="D395" s="65"/>
      <c r="E395" s="65"/>
      <c r="F395" s="65"/>
      <c r="H395" s="65"/>
      <c r="J395" s="65"/>
      <c r="K395" s="65"/>
      <c r="L395" s="65"/>
    </row>
    <row r="396" ht="15.75" customHeight="1">
      <c r="C396" s="65"/>
      <c r="D396" s="65"/>
      <c r="E396" s="65"/>
      <c r="F396" s="65"/>
      <c r="H396" s="65"/>
      <c r="J396" s="65"/>
      <c r="K396" s="65"/>
      <c r="L396" s="65"/>
    </row>
    <row r="397" ht="15.75" customHeight="1">
      <c r="C397" s="65"/>
      <c r="D397" s="65"/>
      <c r="E397" s="65"/>
      <c r="F397" s="65"/>
      <c r="H397" s="65"/>
      <c r="J397" s="65"/>
      <c r="K397" s="65"/>
      <c r="L397" s="65"/>
    </row>
    <row r="398" ht="15.75" customHeight="1">
      <c r="C398" s="65"/>
      <c r="D398" s="65"/>
      <c r="E398" s="65"/>
      <c r="F398" s="65"/>
      <c r="H398" s="65"/>
      <c r="J398" s="65"/>
      <c r="K398" s="65"/>
      <c r="L398" s="65"/>
    </row>
    <row r="399" ht="15.75" customHeight="1">
      <c r="C399" s="65"/>
      <c r="D399" s="65"/>
      <c r="E399" s="65"/>
      <c r="F399" s="65"/>
      <c r="H399" s="65"/>
      <c r="J399" s="65"/>
      <c r="K399" s="65"/>
      <c r="L399" s="65"/>
    </row>
    <row r="400" ht="15.75" customHeight="1">
      <c r="C400" s="65"/>
      <c r="D400" s="65"/>
      <c r="E400" s="65"/>
      <c r="F400" s="65"/>
      <c r="H400" s="65"/>
      <c r="J400" s="65"/>
      <c r="K400" s="65"/>
      <c r="L400" s="65"/>
    </row>
    <row r="401" ht="15.75" customHeight="1">
      <c r="C401" s="65"/>
      <c r="D401" s="65"/>
      <c r="E401" s="65"/>
      <c r="F401" s="65"/>
      <c r="H401" s="65"/>
      <c r="J401" s="65"/>
      <c r="K401" s="65"/>
      <c r="L401" s="65"/>
    </row>
    <row r="402" ht="15.75" customHeight="1">
      <c r="C402" s="65"/>
      <c r="D402" s="65"/>
      <c r="E402" s="65"/>
      <c r="F402" s="65"/>
      <c r="H402" s="65"/>
      <c r="J402" s="65"/>
      <c r="K402" s="65"/>
      <c r="L402" s="65"/>
    </row>
    <row r="403" ht="15.75" customHeight="1">
      <c r="C403" s="65"/>
      <c r="D403" s="65"/>
      <c r="E403" s="65"/>
      <c r="F403" s="65"/>
      <c r="H403" s="65"/>
      <c r="J403" s="65"/>
      <c r="K403" s="65"/>
      <c r="L403" s="65"/>
    </row>
    <row r="404" ht="15.75" customHeight="1">
      <c r="C404" s="65"/>
      <c r="D404" s="65"/>
      <c r="E404" s="65"/>
      <c r="F404" s="65"/>
      <c r="H404" s="65"/>
      <c r="J404" s="65"/>
      <c r="K404" s="65"/>
      <c r="L404" s="65"/>
    </row>
    <row r="405" ht="15.75" customHeight="1">
      <c r="C405" s="65"/>
      <c r="D405" s="65"/>
      <c r="E405" s="65"/>
      <c r="F405" s="65"/>
      <c r="H405" s="65"/>
      <c r="J405" s="65"/>
      <c r="K405" s="65"/>
      <c r="L405" s="65"/>
    </row>
    <row r="406" ht="15.75" customHeight="1">
      <c r="C406" s="65"/>
      <c r="D406" s="65"/>
      <c r="E406" s="65"/>
      <c r="F406" s="65"/>
      <c r="H406" s="65"/>
      <c r="J406" s="65"/>
      <c r="K406" s="65"/>
      <c r="L406" s="65"/>
    </row>
    <row r="407" ht="15.75" customHeight="1">
      <c r="C407" s="65"/>
      <c r="D407" s="65"/>
      <c r="E407" s="65"/>
      <c r="F407" s="65"/>
      <c r="H407" s="65"/>
      <c r="J407" s="65"/>
      <c r="K407" s="65"/>
      <c r="L407" s="65"/>
    </row>
    <row r="408" ht="15.75" customHeight="1">
      <c r="C408" s="65"/>
      <c r="D408" s="65"/>
      <c r="E408" s="65"/>
      <c r="F408" s="65"/>
      <c r="H408" s="65"/>
      <c r="J408" s="65"/>
      <c r="K408" s="65"/>
      <c r="L408" s="65"/>
    </row>
    <row r="409" ht="15.75" customHeight="1">
      <c r="C409" s="65"/>
      <c r="D409" s="65"/>
      <c r="E409" s="65"/>
      <c r="F409" s="65"/>
      <c r="H409" s="65"/>
      <c r="J409" s="65"/>
      <c r="K409" s="65"/>
      <c r="L409" s="65"/>
    </row>
    <row r="410" ht="15.75" customHeight="1">
      <c r="C410" s="65"/>
      <c r="D410" s="65"/>
      <c r="E410" s="65"/>
      <c r="F410" s="65"/>
      <c r="H410" s="65"/>
      <c r="J410" s="65"/>
      <c r="K410" s="65"/>
      <c r="L410" s="65"/>
    </row>
    <row r="411" ht="15.75" customHeight="1">
      <c r="C411" s="65"/>
      <c r="D411" s="65"/>
      <c r="E411" s="65"/>
      <c r="F411" s="65"/>
      <c r="H411" s="65"/>
      <c r="J411" s="65"/>
      <c r="K411" s="65"/>
      <c r="L411" s="65"/>
    </row>
    <row r="412" ht="15.75" customHeight="1">
      <c r="C412" s="65"/>
      <c r="D412" s="65"/>
      <c r="E412" s="65"/>
      <c r="F412" s="65"/>
      <c r="H412" s="65"/>
      <c r="J412" s="65"/>
      <c r="K412" s="65"/>
      <c r="L412" s="65"/>
    </row>
    <row r="413" ht="15.75" customHeight="1">
      <c r="C413" s="65"/>
      <c r="D413" s="65"/>
      <c r="E413" s="65"/>
      <c r="F413" s="65"/>
      <c r="H413" s="65"/>
      <c r="J413" s="65"/>
      <c r="K413" s="65"/>
      <c r="L413" s="65"/>
    </row>
    <row r="414" ht="15.75" customHeight="1">
      <c r="C414" s="65"/>
      <c r="D414" s="65"/>
      <c r="E414" s="65"/>
      <c r="F414" s="65"/>
      <c r="H414" s="65"/>
      <c r="J414" s="65"/>
      <c r="K414" s="65"/>
      <c r="L414" s="65"/>
    </row>
    <row r="415" ht="15.75" customHeight="1">
      <c r="C415" s="65"/>
      <c r="D415" s="65"/>
      <c r="E415" s="65"/>
      <c r="F415" s="65"/>
      <c r="H415" s="65"/>
      <c r="J415" s="65"/>
      <c r="K415" s="65"/>
      <c r="L415" s="65"/>
    </row>
    <row r="416" ht="15.75" customHeight="1">
      <c r="C416" s="65"/>
      <c r="D416" s="65"/>
      <c r="E416" s="65"/>
      <c r="F416" s="65"/>
      <c r="H416" s="65"/>
      <c r="J416" s="65"/>
      <c r="K416" s="65"/>
      <c r="L416" s="65"/>
    </row>
    <row r="417" ht="15.75" customHeight="1">
      <c r="C417" s="65"/>
      <c r="D417" s="65"/>
      <c r="E417" s="65"/>
      <c r="F417" s="65"/>
      <c r="H417" s="65"/>
      <c r="J417" s="65"/>
      <c r="K417" s="65"/>
      <c r="L417" s="65"/>
    </row>
    <row r="418" ht="15.75" customHeight="1">
      <c r="C418" s="65"/>
      <c r="D418" s="65"/>
      <c r="E418" s="65"/>
      <c r="F418" s="65"/>
      <c r="H418" s="65"/>
      <c r="J418" s="65"/>
      <c r="K418" s="65"/>
      <c r="L418" s="65"/>
    </row>
    <row r="419" ht="15.75" customHeight="1">
      <c r="C419" s="65"/>
      <c r="D419" s="65"/>
      <c r="E419" s="65"/>
      <c r="F419" s="65"/>
      <c r="H419" s="65"/>
      <c r="J419" s="65"/>
      <c r="K419" s="65"/>
      <c r="L419" s="65"/>
    </row>
    <row r="420" ht="15.75" customHeight="1">
      <c r="C420" s="65"/>
      <c r="D420" s="65"/>
      <c r="E420" s="65"/>
      <c r="F420" s="65"/>
      <c r="H420" s="65"/>
      <c r="J420" s="65"/>
      <c r="K420" s="65"/>
      <c r="L420" s="65"/>
    </row>
    <row r="421" ht="15.75" customHeight="1">
      <c r="C421" s="65"/>
      <c r="D421" s="65"/>
      <c r="E421" s="65"/>
      <c r="F421" s="65"/>
      <c r="H421" s="65"/>
      <c r="J421" s="65"/>
      <c r="K421" s="65"/>
      <c r="L421" s="65"/>
    </row>
    <row r="422" ht="15.75" customHeight="1">
      <c r="C422" s="65"/>
      <c r="D422" s="65"/>
      <c r="E422" s="65"/>
      <c r="F422" s="65"/>
      <c r="H422" s="65"/>
      <c r="J422" s="65"/>
      <c r="K422" s="65"/>
      <c r="L422" s="65"/>
    </row>
    <row r="423" ht="15.75" customHeight="1">
      <c r="C423" s="65"/>
      <c r="D423" s="65"/>
      <c r="E423" s="65"/>
      <c r="F423" s="65"/>
      <c r="H423" s="65"/>
      <c r="J423" s="65"/>
      <c r="K423" s="65"/>
      <c r="L423" s="65"/>
    </row>
    <row r="424" ht="15.75" customHeight="1">
      <c r="C424" s="65"/>
      <c r="D424" s="65"/>
      <c r="E424" s="65"/>
      <c r="F424" s="65"/>
      <c r="H424" s="65"/>
      <c r="J424" s="65"/>
      <c r="K424" s="65"/>
      <c r="L424" s="65"/>
    </row>
    <row r="425" ht="15.75" customHeight="1">
      <c r="C425" s="65"/>
      <c r="D425" s="65"/>
      <c r="E425" s="65"/>
      <c r="F425" s="65"/>
      <c r="H425" s="65"/>
      <c r="J425" s="65"/>
      <c r="K425" s="65"/>
      <c r="L425" s="65"/>
    </row>
    <row r="426" ht="15.75" customHeight="1">
      <c r="C426" s="65"/>
      <c r="D426" s="65"/>
      <c r="E426" s="65"/>
      <c r="F426" s="65"/>
      <c r="H426" s="65"/>
      <c r="J426" s="65"/>
      <c r="K426" s="65"/>
      <c r="L426" s="65"/>
    </row>
    <row r="427" ht="15.75" customHeight="1">
      <c r="C427" s="65"/>
      <c r="D427" s="65"/>
      <c r="E427" s="65"/>
      <c r="F427" s="65"/>
      <c r="H427" s="65"/>
      <c r="J427" s="65"/>
      <c r="K427" s="65"/>
      <c r="L427" s="65"/>
    </row>
    <row r="428" ht="15.75" customHeight="1">
      <c r="C428" s="65"/>
      <c r="D428" s="65"/>
      <c r="E428" s="65"/>
      <c r="F428" s="65"/>
      <c r="H428" s="65"/>
      <c r="J428" s="65"/>
      <c r="K428" s="65"/>
      <c r="L428" s="65"/>
    </row>
    <row r="429" ht="15.75" customHeight="1">
      <c r="C429" s="65"/>
      <c r="D429" s="65"/>
      <c r="E429" s="65"/>
      <c r="F429" s="65"/>
      <c r="H429" s="65"/>
      <c r="J429" s="65"/>
      <c r="K429" s="65"/>
      <c r="L429" s="65"/>
    </row>
    <row r="430" ht="15.75" customHeight="1">
      <c r="C430" s="65"/>
      <c r="D430" s="65"/>
      <c r="E430" s="65"/>
      <c r="F430" s="65"/>
      <c r="H430" s="65"/>
      <c r="J430" s="65"/>
      <c r="K430" s="65"/>
      <c r="L430" s="65"/>
    </row>
    <row r="431" ht="15.75" customHeight="1">
      <c r="C431" s="65"/>
      <c r="D431" s="65"/>
      <c r="E431" s="65"/>
      <c r="F431" s="65"/>
      <c r="H431" s="65"/>
      <c r="J431" s="65"/>
      <c r="K431" s="65"/>
      <c r="L431" s="65"/>
    </row>
    <row r="432" ht="15.75" customHeight="1">
      <c r="C432" s="65"/>
      <c r="D432" s="65"/>
      <c r="E432" s="65"/>
      <c r="F432" s="65"/>
      <c r="H432" s="65"/>
      <c r="J432" s="65"/>
      <c r="K432" s="65"/>
      <c r="L432" s="65"/>
    </row>
    <row r="433" ht="15.75" customHeight="1">
      <c r="C433" s="65"/>
      <c r="D433" s="65"/>
      <c r="E433" s="65"/>
      <c r="F433" s="65"/>
      <c r="H433" s="65"/>
      <c r="J433" s="65"/>
      <c r="K433" s="65"/>
      <c r="L433" s="65"/>
    </row>
    <row r="434" ht="15.75" customHeight="1">
      <c r="C434" s="65"/>
      <c r="D434" s="65"/>
      <c r="E434" s="65"/>
      <c r="F434" s="65"/>
      <c r="H434" s="65"/>
      <c r="J434" s="65"/>
      <c r="K434" s="65"/>
      <c r="L434" s="65"/>
    </row>
    <row r="435" ht="15.75" customHeight="1">
      <c r="C435" s="65"/>
      <c r="D435" s="65"/>
      <c r="E435" s="65"/>
      <c r="F435" s="65"/>
      <c r="H435" s="65"/>
      <c r="J435" s="65"/>
      <c r="K435" s="65"/>
      <c r="L435" s="65"/>
    </row>
    <row r="436" ht="15.75" customHeight="1">
      <c r="C436" s="65"/>
      <c r="D436" s="65"/>
      <c r="E436" s="65"/>
      <c r="F436" s="65"/>
      <c r="H436" s="65"/>
      <c r="J436" s="65"/>
      <c r="K436" s="65"/>
      <c r="L436" s="65"/>
    </row>
    <row r="437" ht="15.75" customHeight="1">
      <c r="C437" s="65"/>
      <c r="D437" s="65"/>
      <c r="E437" s="65"/>
      <c r="F437" s="65"/>
      <c r="H437" s="65"/>
      <c r="J437" s="65"/>
      <c r="K437" s="65"/>
      <c r="L437" s="65"/>
    </row>
    <row r="438" ht="15.75" customHeight="1">
      <c r="C438" s="65"/>
      <c r="D438" s="65"/>
      <c r="E438" s="65"/>
      <c r="F438" s="65"/>
      <c r="H438" s="65"/>
      <c r="J438" s="65"/>
      <c r="K438" s="65"/>
      <c r="L438" s="65"/>
    </row>
    <row r="439" ht="15.75" customHeight="1">
      <c r="C439" s="65"/>
      <c r="D439" s="65"/>
      <c r="E439" s="65"/>
      <c r="F439" s="65"/>
      <c r="H439" s="65"/>
      <c r="J439" s="65"/>
      <c r="K439" s="65"/>
      <c r="L439" s="65"/>
    </row>
    <row r="440" ht="15.75" customHeight="1">
      <c r="C440" s="65"/>
      <c r="D440" s="65"/>
      <c r="E440" s="65"/>
      <c r="F440" s="65"/>
      <c r="H440" s="65"/>
      <c r="J440" s="65"/>
      <c r="K440" s="65"/>
      <c r="L440" s="65"/>
    </row>
    <row r="441" ht="15.75" customHeight="1">
      <c r="C441" s="65"/>
      <c r="D441" s="65"/>
      <c r="E441" s="65"/>
      <c r="F441" s="65"/>
      <c r="H441" s="65"/>
      <c r="J441" s="65"/>
      <c r="K441" s="65"/>
      <c r="L441" s="65"/>
    </row>
    <row r="442" ht="15.75" customHeight="1">
      <c r="C442" s="65"/>
      <c r="D442" s="65"/>
      <c r="E442" s="65"/>
      <c r="F442" s="65"/>
      <c r="H442" s="65"/>
      <c r="J442" s="65"/>
      <c r="K442" s="65"/>
      <c r="L442" s="65"/>
    </row>
    <row r="443" ht="15.75" customHeight="1">
      <c r="C443" s="65"/>
      <c r="D443" s="65"/>
      <c r="E443" s="65"/>
      <c r="F443" s="65"/>
      <c r="H443" s="65"/>
      <c r="J443" s="65"/>
      <c r="K443" s="65"/>
      <c r="L443" s="65"/>
    </row>
    <row r="444" ht="15.75" customHeight="1">
      <c r="C444" s="65"/>
      <c r="D444" s="65"/>
      <c r="E444" s="65"/>
      <c r="F444" s="65"/>
      <c r="H444" s="65"/>
      <c r="J444" s="65"/>
      <c r="K444" s="65"/>
      <c r="L444" s="65"/>
    </row>
    <row r="445" ht="15.75" customHeight="1">
      <c r="C445" s="65"/>
      <c r="D445" s="65"/>
      <c r="E445" s="65"/>
      <c r="F445" s="65"/>
      <c r="H445" s="65"/>
      <c r="J445" s="65"/>
      <c r="K445" s="65"/>
      <c r="L445" s="65"/>
    </row>
    <row r="446" ht="15.75" customHeight="1">
      <c r="C446" s="65"/>
      <c r="D446" s="65"/>
      <c r="E446" s="65"/>
      <c r="F446" s="65"/>
      <c r="H446" s="65"/>
      <c r="J446" s="65"/>
      <c r="K446" s="65"/>
      <c r="L446" s="65"/>
    </row>
    <row r="447" ht="15.75" customHeight="1">
      <c r="C447" s="65"/>
      <c r="D447" s="65"/>
      <c r="E447" s="65"/>
      <c r="F447" s="65"/>
      <c r="H447" s="65"/>
      <c r="J447" s="65"/>
      <c r="K447" s="65"/>
      <c r="L447" s="65"/>
    </row>
    <row r="448" ht="15.75" customHeight="1">
      <c r="C448" s="65"/>
      <c r="D448" s="65"/>
      <c r="E448" s="65"/>
      <c r="F448" s="65"/>
      <c r="H448" s="65"/>
      <c r="J448" s="65"/>
      <c r="K448" s="65"/>
      <c r="L448" s="65"/>
    </row>
    <row r="449" ht="15.75" customHeight="1">
      <c r="C449" s="65"/>
      <c r="D449" s="65"/>
      <c r="E449" s="65"/>
      <c r="F449" s="65"/>
      <c r="H449" s="65"/>
      <c r="J449" s="65"/>
      <c r="K449" s="65"/>
      <c r="L449" s="65"/>
    </row>
    <row r="450" ht="15.75" customHeight="1">
      <c r="C450" s="65"/>
      <c r="D450" s="65"/>
      <c r="E450" s="65"/>
      <c r="F450" s="65"/>
      <c r="H450" s="65"/>
      <c r="J450" s="65"/>
      <c r="K450" s="65"/>
      <c r="L450" s="65"/>
    </row>
    <row r="451" ht="15.75" customHeight="1">
      <c r="C451" s="65"/>
      <c r="D451" s="65"/>
      <c r="E451" s="65"/>
      <c r="F451" s="65"/>
      <c r="H451" s="65"/>
      <c r="J451" s="65"/>
      <c r="K451" s="65"/>
      <c r="L451" s="65"/>
    </row>
    <row r="452" ht="15.75" customHeight="1">
      <c r="C452" s="65"/>
      <c r="D452" s="65"/>
      <c r="E452" s="65"/>
      <c r="F452" s="65"/>
      <c r="H452" s="65"/>
      <c r="J452" s="65"/>
      <c r="K452" s="65"/>
      <c r="L452" s="65"/>
    </row>
    <row r="453" ht="15.75" customHeight="1">
      <c r="C453" s="65"/>
      <c r="D453" s="65"/>
      <c r="E453" s="65"/>
      <c r="F453" s="65"/>
      <c r="H453" s="65"/>
      <c r="J453" s="65"/>
      <c r="K453" s="65"/>
      <c r="L453" s="65"/>
    </row>
    <row r="454" ht="15.75" customHeight="1">
      <c r="C454" s="65"/>
      <c r="D454" s="65"/>
      <c r="E454" s="65"/>
      <c r="F454" s="65"/>
      <c r="H454" s="65"/>
      <c r="J454" s="65"/>
      <c r="K454" s="65"/>
      <c r="L454" s="65"/>
    </row>
    <row r="455" ht="15.75" customHeight="1">
      <c r="C455" s="65"/>
      <c r="D455" s="65"/>
      <c r="E455" s="65"/>
      <c r="F455" s="65"/>
      <c r="H455" s="65"/>
      <c r="J455" s="65"/>
      <c r="K455" s="65"/>
      <c r="L455" s="65"/>
    </row>
    <row r="456" ht="15.75" customHeight="1">
      <c r="C456" s="65"/>
      <c r="D456" s="65"/>
      <c r="E456" s="65"/>
      <c r="F456" s="65"/>
      <c r="H456" s="65"/>
      <c r="J456" s="65"/>
      <c r="K456" s="65"/>
      <c r="L456" s="65"/>
    </row>
    <row r="457" ht="15.75" customHeight="1">
      <c r="C457" s="65"/>
      <c r="D457" s="65"/>
      <c r="E457" s="65"/>
      <c r="F457" s="65"/>
      <c r="H457" s="65"/>
      <c r="J457" s="65"/>
      <c r="K457" s="65"/>
      <c r="L457" s="65"/>
    </row>
    <row r="458" ht="15.75" customHeight="1">
      <c r="C458" s="65"/>
      <c r="D458" s="65"/>
      <c r="E458" s="65"/>
      <c r="F458" s="65"/>
      <c r="H458" s="65"/>
      <c r="J458" s="65"/>
      <c r="K458" s="65"/>
      <c r="L458" s="65"/>
    </row>
    <row r="459" ht="15.75" customHeight="1">
      <c r="C459" s="65"/>
      <c r="D459" s="65"/>
      <c r="E459" s="65"/>
      <c r="F459" s="65"/>
      <c r="H459" s="65"/>
      <c r="J459" s="65"/>
      <c r="K459" s="65"/>
      <c r="L459" s="65"/>
    </row>
    <row r="460" ht="15.75" customHeight="1">
      <c r="C460" s="65"/>
      <c r="D460" s="65"/>
      <c r="E460" s="65"/>
      <c r="F460" s="65"/>
      <c r="H460" s="65"/>
      <c r="J460" s="65"/>
      <c r="K460" s="65"/>
      <c r="L460" s="65"/>
    </row>
    <row r="461" ht="15.75" customHeight="1">
      <c r="C461" s="65"/>
      <c r="D461" s="65"/>
      <c r="E461" s="65"/>
      <c r="F461" s="65"/>
      <c r="H461" s="65"/>
      <c r="J461" s="65"/>
      <c r="K461" s="65"/>
      <c r="L461" s="65"/>
    </row>
    <row r="462" ht="15.75" customHeight="1">
      <c r="C462" s="65"/>
      <c r="D462" s="65"/>
      <c r="E462" s="65"/>
      <c r="F462" s="65"/>
      <c r="H462" s="65"/>
      <c r="J462" s="65"/>
      <c r="K462" s="65"/>
      <c r="L462" s="65"/>
    </row>
    <row r="463" ht="15.75" customHeight="1">
      <c r="C463" s="65"/>
      <c r="D463" s="65"/>
      <c r="E463" s="65"/>
      <c r="F463" s="65"/>
      <c r="H463" s="65"/>
      <c r="J463" s="65"/>
      <c r="K463" s="65"/>
      <c r="L463" s="65"/>
    </row>
    <row r="464" ht="15.75" customHeight="1">
      <c r="C464" s="65"/>
      <c r="D464" s="65"/>
      <c r="E464" s="65"/>
      <c r="F464" s="65"/>
      <c r="H464" s="65"/>
      <c r="J464" s="65"/>
      <c r="K464" s="65"/>
      <c r="L464" s="65"/>
    </row>
    <row r="465" ht="15.75" customHeight="1">
      <c r="C465" s="65"/>
      <c r="D465" s="65"/>
      <c r="E465" s="65"/>
      <c r="F465" s="65"/>
      <c r="H465" s="65"/>
      <c r="J465" s="65"/>
      <c r="K465" s="65"/>
      <c r="L465" s="65"/>
    </row>
    <row r="466" ht="15.75" customHeight="1">
      <c r="C466" s="65"/>
      <c r="D466" s="65"/>
      <c r="E466" s="65"/>
      <c r="F466" s="65"/>
      <c r="H466" s="65"/>
      <c r="J466" s="65"/>
      <c r="K466" s="65"/>
      <c r="L466" s="65"/>
    </row>
    <row r="467" ht="15.75" customHeight="1">
      <c r="C467" s="65"/>
      <c r="D467" s="65"/>
      <c r="E467" s="65"/>
      <c r="F467" s="65"/>
      <c r="H467" s="65"/>
      <c r="J467" s="65"/>
      <c r="K467" s="65"/>
      <c r="L467" s="65"/>
    </row>
    <row r="468" ht="15.75" customHeight="1">
      <c r="C468" s="65"/>
      <c r="D468" s="65"/>
      <c r="E468" s="65"/>
      <c r="F468" s="65"/>
      <c r="H468" s="65"/>
      <c r="J468" s="65"/>
      <c r="K468" s="65"/>
      <c r="L468" s="65"/>
    </row>
    <row r="469" ht="15.75" customHeight="1">
      <c r="C469" s="65"/>
      <c r="D469" s="65"/>
      <c r="E469" s="65"/>
      <c r="F469" s="65"/>
      <c r="H469" s="65"/>
      <c r="J469" s="65"/>
      <c r="K469" s="65"/>
      <c r="L469" s="65"/>
    </row>
    <row r="470" ht="15.75" customHeight="1">
      <c r="C470" s="65"/>
      <c r="D470" s="65"/>
      <c r="E470" s="65"/>
      <c r="F470" s="65"/>
      <c r="H470" s="65"/>
      <c r="J470" s="65"/>
      <c r="K470" s="65"/>
      <c r="L470" s="65"/>
    </row>
    <row r="471" ht="15.75" customHeight="1">
      <c r="C471" s="65"/>
      <c r="D471" s="65"/>
      <c r="E471" s="65"/>
      <c r="F471" s="65"/>
      <c r="H471" s="65"/>
      <c r="J471" s="65"/>
      <c r="K471" s="65"/>
      <c r="L471" s="65"/>
    </row>
    <row r="472" ht="15.75" customHeight="1">
      <c r="C472" s="65"/>
      <c r="D472" s="65"/>
      <c r="E472" s="65"/>
      <c r="F472" s="65"/>
      <c r="H472" s="65"/>
      <c r="J472" s="65"/>
      <c r="K472" s="65"/>
      <c r="L472" s="65"/>
    </row>
    <row r="473" ht="15.75" customHeight="1">
      <c r="C473" s="65"/>
      <c r="D473" s="65"/>
      <c r="E473" s="65"/>
      <c r="F473" s="65"/>
      <c r="H473" s="65"/>
      <c r="J473" s="65"/>
      <c r="K473" s="65"/>
      <c r="L473" s="65"/>
    </row>
    <row r="474" ht="15.75" customHeight="1">
      <c r="C474" s="65"/>
      <c r="D474" s="65"/>
      <c r="E474" s="65"/>
      <c r="F474" s="65"/>
      <c r="H474" s="65"/>
      <c r="J474" s="65"/>
      <c r="K474" s="65"/>
      <c r="L474" s="65"/>
    </row>
    <row r="475" ht="15.75" customHeight="1">
      <c r="C475" s="65"/>
      <c r="D475" s="65"/>
      <c r="E475" s="65"/>
      <c r="F475" s="65"/>
      <c r="H475" s="65"/>
      <c r="J475" s="65"/>
      <c r="K475" s="65"/>
      <c r="L475" s="65"/>
    </row>
    <row r="476" ht="15.75" customHeight="1">
      <c r="C476" s="65"/>
      <c r="D476" s="65"/>
      <c r="E476" s="65"/>
      <c r="F476" s="65"/>
      <c r="H476" s="65"/>
      <c r="J476" s="65"/>
      <c r="K476" s="65"/>
      <c r="L476" s="65"/>
    </row>
    <row r="477" ht="15.75" customHeight="1">
      <c r="C477" s="65"/>
      <c r="D477" s="65"/>
      <c r="E477" s="65"/>
      <c r="F477" s="65"/>
      <c r="H477" s="65"/>
      <c r="J477" s="65"/>
      <c r="K477" s="65"/>
      <c r="L477" s="65"/>
    </row>
    <row r="478" ht="15.75" customHeight="1">
      <c r="C478" s="65"/>
      <c r="D478" s="65"/>
      <c r="E478" s="65"/>
      <c r="F478" s="65"/>
      <c r="H478" s="65"/>
      <c r="J478" s="65"/>
      <c r="K478" s="65"/>
      <c r="L478" s="65"/>
    </row>
    <row r="479" ht="15.75" customHeight="1">
      <c r="C479" s="65"/>
      <c r="D479" s="65"/>
      <c r="E479" s="65"/>
      <c r="F479" s="65"/>
      <c r="H479" s="65"/>
      <c r="J479" s="65"/>
      <c r="K479" s="65"/>
      <c r="L479" s="65"/>
    </row>
    <row r="480" ht="15.75" customHeight="1">
      <c r="C480" s="65"/>
      <c r="D480" s="65"/>
      <c r="E480" s="65"/>
      <c r="F480" s="65"/>
      <c r="H480" s="65"/>
      <c r="J480" s="65"/>
      <c r="K480" s="65"/>
      <c r="L480" s="65"/>
    </row>
    <row r="481" ht="15.75" customHeight="1">
      <c r="C481" s="65"/>
      <c r="D481" s="65"/>
      <c r="E481" s="65"/>
      <c r="F481" s="65"/>
      <c r="H481" s="65"/>
      <c r="J481" s="65"/>
      <c r="K481" s="65"/>
      <c r="L481" s="65"/>
    </row>
    <row r="482" ht="15.75" customHeight="1">
      <c r="C482" s="65"/>
      <c r="D482" s="65"/>
      <c r="E482" s="65"/>
      <c r="F482" s="65"/>
      <c r="H482" s="65"/>
      <c r="J482" s="65"/>
      <c r="K482" s="65"/>
      <c r="L482" s="65"/>
    </row>
    <row r="483" ht="15.75" customHeight="1">
      <c r="C483" s="65"/>
      <c r="D483" s="65"/>
      <c r="E483" s="65"/>
      <c r="F483" s="65"/>
      <c r="H483" s="65"/>
      <c r="J483" s="65"/>
      <c r="K483" s="65"/>
      <c r="L483" s="65"/>
    </row>
    <row r="484" ht="15.75" customHeight="1">
      <c r="C484" s="65"/>
      <c r="D484" s="65"/>
      <c r="E484" s="65"/>
      <c r="F484" s="65"/>
      <c r="H484" s="65"/>
      <c r="J484" s="65"/>
      <c r="K484" s="65"/>
      <c r="L484" s="65"/>
    </row>
    <row r="485" ht="15.75" customHeight="1">
      <c r="C485" s="65"/>
      <c r="D485" s="65"/>
      <c r="E485" s="65"/>
      <c r="F485" s="65"/>
      <c r="H485" s="65"/>
      <c r="J485" s="65"/>
      <c r="K485" s="65"/>
      <c r="L485" s="65"/>
    </row>
    <row r="486" ht="15.75" customHeight="1">
      <c r="C486" s="65"/>
      <c r="D486" s="65"/>
      <c r="E486" s="65"/>
      <c r="F486" s="65"/>
      <c r="H486" s="65"/>
      <c r="J486" s="65"/>
      <c r="K486" s="65"/>
      <c r="L486" s="65"/>
    </row>
    <row r="487" ht="15.75" customHeight="1">
      <c r="C487" s="65"/>
      <c r="D487" s="65"/>
      <c r="E487" s="65"/>
      <c r="F487" s="65"/>
      <c r="H487" s="65"/>
      <c r="J487" s="65"/>
      <c r="K487" s="65"/>
      <c r="L487" s="65"/>
    </row>
    <row r="488" ht="15.75" customHeight="1">
      <c r="C488" s="65"/>
      <c r="D488" s="65"/>
      <c r="E488" s="65"/>
      <c r="F488" s="65"/>
      <c r="H488" s="65"/>
      <c r="J488" s="65"/>
      <c r="K488" s="65"/>
      <c r="L488" s="65"/>
    </row>
    <row r="489" ht="15.75" customHeight="1">
      <c r="C489" s="65"/>
      <c r="D489" s="65"/>
      <c r="E489" s="65"/>
      <c r="F489" s="65"/>
      <c r="H489" s="65"/>
      <c r="J489" s="65"/>
      <c r="K489" s="65"/>
      <c r="L489" s="65"/>
    </row>
    <row r="490" ht="15.75" customHeight="1">
      <c r="C490" s="65"/>
      <c r="D490" s="65"/>
      <c r="E490" s="65"/>
      <c r="F490" s="65"/>
      <c r="H490" s="65"/>
      <c r="J490" s="65"/>
      <c r="K490" s="65"/>
      <c r="L490" s="65"/>
    </row>
    <row r="491" ht="15.75" customHeight="1">
      <c r="C491" s="65"/>
      <c r="D491" s="65"/>
      <c r="E491" s="65"/>
      <c r="F491" s="65"/>
      <c r="H491" s="65"/>
      <c r="J491" s="65"/>
      <c r="K491" s="65"/>
      <c r="L491" s="65"/>
    </row>
    <row r="492" ht="15.75" customHeight="1">
      <c r="C492" s="65"/>
      <c r="D492" s="65"/>
      <c r="E492" s="65"/>
      <c r="F492" s="65"/>
      <c r="H492" s="65"/>
      <c r="J492" s="65"/>
      <c r="K492" s="65"/>
      <c r="L492" s="65"/>
    </row>
    <row r="493" ht="15.75" customHeight="1">
      <c r="C493" s="65"/>
      <c r="D493" s="65"/>
      <c r="E493" s="65"/>
      <c r="F493" s="65"/>
      <c r="H493" s="65"/>
      <c r="J493" s="65"/>
      <c r="K493" s="65"/>
      <c r="L493" s="65"/>
    </row>
    <row r="494" ht="15.75" customHeight="1">
      <c r="C494" s="65"/>
      <c r="D494" s="65"/>
      <c r="E494" s="65"/>
      <c r="F494" s="65"/>
      <c r="H494" s="65"/>
      <c r="J494" s="65"/>
      <c r="K494" s="65"/>
      <c r="L494" s="65"/>
    </row>
    <row r="495" ht="15.75" customHeight="1">
      <c r="C495" s="65"/>
      <c r="D495" s="65"/>
      <c r="E495" s="65"/>
      <c r="F495" s="65"/>
      <c r="H495" s="65"/>
      <c r="J495" s="65"/>
      <c r="K495" s="65"/>
      <c r="L495" s="65"/>
    </row>
    <row r="496" ht="15.75" customHeight="1">
      <c r="C496" s="65"/>
      <c r="D496" s="65"/>
      <c r="E496" s="65"/>
      <c r="F496" s="65"/>
      <c r="H496" s="65"/>
      <c r="J496" s="65"/>
      <c r="K496" s="65"/>
      <c r="L496" s="65"/>
    </row>
    <row r="497" ht="15.75" customHeight="1">
      <c r="C497" s="65"/>
      <c r="D497" s="65"/>
      <c r="E497" s="65"/>
      <c r="F497" s="65"/>
      <c r="H497" s="65"/>
      <c r="J497" s="65"/>
      <c r="K497" s="65"/>
      <c r="L497" s="65"/>
    </row>
    <row r="498" ht="15.75" customHeight="1">
      <c r="C498" s="65"/>
      <c r="D498" s="65"/>
      <c r="E498" s="65"/>
      <c r="F498" s="65"/>
      <c r="H498" s="65"/>
      <c r="J498" s="65"/>
      <c r="K498" s="65"/>
      <c r="L498" s="65"/>
    </row>
    <row r="499" ht="15.75" customHeight="1">
      <c r="C499" s="65"/>
      <c r="D499" s="65"/>
      <c r="E499" s="65"/>
      <c r="F499" s="65"/>
      <c r="H499" s="65"/>
      <c r="J499" s="65"/>
      <c r="K499" s="65"/>
      <c r="L499" s="65"/>
    </row>
    <row r="500" ht="15.75" customHeight="1">
      <c r="C500" s="65"/>
      <c r="D500" s="65"/>
      <c r="E500" s="65"/>
      <c r="F500" s="65"/>
      <c r="H500" s="65"/>
      <c r="J500" s="65"/>
      <c r="K500" s="65"/>
      <c r="L500" s="65"/>
    </row>
    <row r="501" ht="15.75" customHeight="1">
      <c r="C501" s="65"/>
      <c r="D501" s="65"/>
      <c r="E501" s="65"/>
      <c r="F501" s="65"/>
      <c r="H501" s="65"/>
      <c r="J501" s="65"/>
      <c r="K501" s="65"/>
      <c r="L501" s="65"/>
    </row>
    <row r="502" ht="15.75" customHeight="1">
      <c r="C502" s="65"/>
      <c r="D502" s="65"/>
      <c r="E502" s="65"/>
      <c r="F502" s="65"/>
      <c r="H502" s="65"/>
      <c r="J502" s="65"/>
      <c r="K502" s="65"/>
      <c r="L502" s="65"/>
    </row>
    <row r="503" ht="15.75" customHeight="1">
      <c r="C503" s="65"/>
      <c r="D503" s="65"/>
      <c r="E503" s="65"/>
      <c r="F503" s="65"/>
      <c r="H503" s="65"/>
      <c r="J503" s="65"/>
      <c r="K503" s="65"/>
      <c r="L503" s="65"/>
    </row>
    <row r="504" ht="15.75" customHeight="1">
      <c r="C504" s="65"/>
      <c r="D504" s="65"/>
      <c r="E504" s="65"/>
      <c r="F504" s="65"/>
      <c r="H504" s="65"/>
      <c r="J504" s="65"/>
      <c r="K504" s="65"/>
      <c r="L504" s="65"/>
    </row>
    <row r="505" ht="15.75" customHeight="1">
      <c r="C505" s="65"/>
      <c r="D505" s="65"/>
      <c r="E505" s="65"/>
      <c r="F505" s="65"/>
      <c r="H505" s="65"/>
      <c r="J505" s="65"/>
      <c r="K505" s="65"/>
      <c r="L505" s="65"/>
    </row>
    <row r="506" ht="15.75" customHeight="1">
      <c r="C506" s="65"/>
      <c r="D506" s="65"/>
      <c r="E506" s="65"/>
      <c r="F506" s="65"/>
      <c r="H506" s="65"/>
      <c r="J506" s="65"/>
      <c r="K506" s="65"/>
      <c r="L506" s="65"/>
    </row>
    <row r="507" ht="15.75" customHeight="1">
      <c r="C507" s="65"/>
      <c r="D507" s="65"/>
      <c r="E507" s="65"/>
      <c r="F507" s="65"/>
      <c r="H507" s="65"/>
      <c r="J507" s="65"/>
      <c r="K507" s="65"/>
      <c r="L507" s="65"/>
    </row>
    <row r="508" ht="15.75" customHeight="1">
      <c r="C508" s="65"/>
      <c r="D508" s="65"/>
      <c r="E508" s="65"/>
      <c r="F508" s="65"/>
      <c r="H508" s="65"/>
      <c r="J508" s="65"/>
      <c r="K508" s="65"/>
      <c r="L508" s="65"/>
    </row>
    <row r="509" ht="15.75" customHeight="1">
      <c r="C509" s="65"/>
      <c r="D509" s="65"/>
      <c r="E509" s="65"/>
      <c r="F509" s="65"/>
      <c r="H509" s="65"/>
      <c r="J509" s="65"/>
      <c r="K509" s="65"/>
      <c r="L509" s="65"/>
    </row>
    <row r="510" ht="15.75" customHeight="1">
      <c r="C510" s="65"/>
      <c r="D510" s="65"/>
      <c r="E510" s="65"/>
      <c r="F510" s="65"/>
      <c r="H510" s="65"/>
      <c r="J510" s="65"/>
      <c r="K510" s="65"/>
      <c r="L510" s="65"/>
    </row>
    <row r="511" ht="15.75" customHeight="1">
      <c r="C511" s="65"/>
      <c r="D511" s="65"/>
      <c r="E511" s="65"/>
      <c r="F511" s="65"/>
      <c r="H511" s="65"/>
      <c r="J511" s="65"/>
      <c r="K511" s="65"/>
      <c r="L511" s="65"/>
    </row>
    <row r="512" ht="15.75" customHeight="1">
      <c r="C512" s="65"/>
      <c r="D512" s="65"/>
      <c r="E512" s="65"/>
      <c r="F512" s="65"/>
      <c r="H512" s="65"/>
      <c r="J512" s="65"/>
      <c r="K512" s="65"/>
      <c r="L512" s="65"/>
    </row>
    <row r="513" ht="15.75" customHeight="1">
      <c r="C513" s="65"/>
      <c r="D513" s="65"/>
      <c r="E513" s="65"/>
      <c r="F513" s="65"/>
      <c r="H513" s="65"/>
      <c r="J513" s="65"/>
      <c r="K513" s="65"/>
      <c r="L513" s="65"/>
    </row>
    <row r="514" ht="15.75" customHeight="1">
      <c r="C514" s="65"/>
      <c r="D514" s="65"/>
      <c r="E514" s="65"/>
      <c r="F514" s="65"/>
      <c r="H514" s="65"/>
      <c r="J514" s="65"/>
      <c r="K514" s="65"/>
      <c r="L514" s="65"/>
    </row>
    <row r="515" ht="15.75" customHeight="1">
      <c r="C515" s="65"/>
      <c r="D515" s="65"/>
      <c r="E515" s="65"/>
      <c r="F515" s="65"/>
      <c r="H515" s="65"/>
      <c r="J515" s="65"/>
      <c r="K515" s="65"/>
      <c r="L515" s="65"/>
    </row>
    <row r="516" ht="15.75" customHeight="1">
      <c r="C516" s="65"/>
      <c r="D516" s="65"/>
      <c r="E516" s="65"/>
      <c r="F516" s="65"/>
      <c r="H516" s="65"/>
      <c r="J516" s="65"/>
      <c r="K516" s="65"/>
      <c r="L516" s="65"/>
    </row>
    <row r="517" ht="15.75" customHeight="1">
      <c r="C517" s="65"/>
      <c r="D517" s="65"/>
      <c r="E517" s="65"/>
      <c r="F517" s="65"/>
      <c r="H517" s="65"/>
      <c r="J517" s="65"/>
      <c r="K517" s="65"/>
      <c r="L517" s="65"/>
    </row>
    <row r="518" ht="15.75" customHeight="1">
      <c r="C518" s="65"/>
      <c r="D518" s="65"/>
      <c r="E518" s="65"/>
      <c r="F518" s="65"/>
      <c r="H518" s="65"/>
      <c r="J518" s="65"/>
      <c r="K518" s="65"/>
      <c r="L518" s="65"/>
    </row>
    <row r="519" ht="15.75" customHeight="1">
      <c r="C519" s="65"/>
      <c r="D519" s="65"/>
      <c r="E519" s="65"/>
      <c r="F519" s="65"/>
      <c r="H519" s="65"/>
      <c r="J519" s="65"/>
      <c r="K519" s="65"/>
      <c r="L519" s="65"/>
    </row>
    <row r="520" ht="15.75" customHeight="1">
      <c r="C520" s="65"/>
      <c r="D520" s="65"/>
      <c r="E520" s="65"/>
      <c r="F520" s="65"/>
      <c r="H520" s="65"/>
      <c r="J520" s="65"/>
      <c r="K520" s="65"/>
      <c r="L520" s="65"/>
    </row>
    <row r="521" ht="15.75" customHeight="1">
      <c r="C521" s="65"/>
      <c r="D521" s="65"/>
      <c r="E521" s="65"/>
      <c r="F521" s="65"/>
      <c r="H521" s="65"/>
      <c r="J521" s="65"/>
      <c r="K521" s="65"/>
      <c r="L521" s="65"/>
    </row>
    <row r="522" ht="15.75" customHeight="1">
      <c r="C522" s="65"/>
      <c r="D522" s="65"/>
      <c r="E522" s="65"/>
      <c r="F522" s="65"/>
      <c r="H522" s="65"/>
      <c r="J522" s="65"/>
      <c r="K522" s="65"/>
      <c r="L522" s="65"/>
    </row>
    <row r="523" ht="15.75" customHeight="1">
      <c r="C523" s="65"/>
      <c r="D523" s="65"/>
      <c r="E523" s="65"/>
      <c r="F523" s="65"/>
      <c r="H523" s="65"/>
      <c r="J523" s="65"/>
      <c r="K523" s="65"/>
      <c r="L523" s="65"/>
    </row>
    <row r="524" ht="15.75" customHeight="1">
      <c r="C524" s="65"/>
      <c r="D524" s="65"/>
      <c r="E524" s="65"/>
      <c r="F524" s="65"/>
      <c r="H524" s="65"/>
      <c r="J524" s="65"/>
      <c r="K524" s="65"/>
      <c r="L524" s="65"/>
    </row>
    <row r="525" ht="15.75" customHeight="1">
      <c r="C525" s="65"/>
      <c r="D525" s="65"/>
      <c r="E525" s="65"/>
      <c r="F525" s="65"/>
      <c r="H525" s="65"/>
      <c r="J525" s="65"/>
      <c r="K525" s="65"/>
      <c r="L525" s="65"/>
    </row>
    <row r="526" ht="15.75" customHeight="1">
      <c r="C526" s="65"/>
      <c r="D526" s="65"/>
      <c r="E526" s="65"/>
      <c r="F526" s="65"/>
      <c r="H526" s="65"/>
      <c r="J526" s="65"/>
      <c r="K526" s="65"/>
      <c r="L526" s="65"/>
    </row>
    <row r="527" ht="15.75" customHeight="1">
      <c r="C527" s="65"/>
      <c r="D527" s="65"/>
      <c r="E527" s="65"/>
      <c r="F527" s="65"/>
      <c r="H527" s="65"/>
      <c r="J527" s="65"/>
      <c r="K527" s="65"/>
      <c r="L527" s="65"/>
    </row>
    <row r="528" ht="15.75" customHeight="1">
      <c r="C528" s="65"/>
      <c r="D528" s="65"/>
      <c r="E528" s="65"/>
      <c r="F528" s="65"/>
      <c r="H528" s="65"/>
      <c r="J528" s="65"/>
      <c r="K528" s="65"/>
      <c r="L528" s="65"/>
    </row>
    <row r="529" ht="15.75" customHeight="1">
      <c r="C529" s="65"/>
      <c r="D529" s="65"/>
      <c r="E529" s="65"/>
      <c r="F529" s="65"/>
      <c r="H529" s="65"/>
      <c r="J529" s="65"/>
      <c r="K529" s="65"/>
      <c r="L529" s="65"/>
    </row>
    <row r="530" ht="15.75" customHeight="1">
      <c r="C530" s="65"/>
      <c r="D530" s="65"/>
      <c r="E530" s="65"/>
      <c r="F530" s="65"/>
      <c r="H530" s="65"/>
      <c r="J530" s="65"/>
      <c r="K530" s="65"/>
      <c r="L530" s="65"/>
    </row>
    <row r="531" ht="15.75" customHeight="1">
      <c r="C531" s="65"/>
      <c r="D531" s="65"/>
      <c r="E531" s="65"/>
      <c r="F531" s="65"/>
      <c r="H531" s="65"/>
      <c r="J531" s="65"/>
      <c r="K531" s="65"/>
      <c r="L531" s="65"/>
    </row>
    <row r="532" ht="15.75" customHeight="1">
      <c r="C532" s="65"/>
      <c r="D532" s="65"/>
      <c r="E532" s="65"/>
      <c r="F532" s="65"/>
      <c r="H532" s="65"/>
      <c r="J532" s="65"/>
      <c r="K532" s="65"/>
      <c r="L532" s="65"/>
    </row>
    <row r="533" ht="15.75" customHeight="1">
      <c r="C533" s="65"/>
      <c r="D533" s="65"/>
      <c r="E533" s="65"/>
      <c r="F533" s="65"/>
      <c r="H533" s="65"/>
      <c r="J533" s="65"/>
      <c r="K533" s="65"/>
      <c r="L533" s="65"/>
    </row>
    <row r="534" ht="15.75" customHeight="1">
      <c r="C534" s="65"/>
      <c r="D534" s="65"/>
      <c r="E534" s="65"/>
      <c r="F534" s="65"/>
      <c r="H534" s="65"/>
      <c r="J534" s="65"/>
      <c r="K534" s="65"/>
      <c r="L534" s="65"/>
    </row>
    <row r="535" ht="15.75" customHeight="1">
      <c r="C535" s="65"/>
      <c r="D535" s="65"/>
      <c r="E535" s="65"/>
      <c r="F535" s="65"/>
      <c r="H535" s="65"/>
      <c r="J535" s="65"/>
      <c r="K535" s="65"/>
      <c r="L535" s="65"/>
    </row>
    <row r="536" ht="15.75" customHeight="1">
      <c r="C536" s="65"/>
      <c r="D536" s="65"/>
      <c r="E536" s="65"/>
      <c r="F536" s="65"/>
      <c r="H536" s="65"/>
      <c r="J536" s="65"/>
      <c r="K536" s="65"/>
      <c r="L536" s="65"/>
    </row>
    <row r="537" ht="15.75" customHeight="1">
      <c r="C537" s="65"/>
      <c r="D537" s="65"/>
      <c r="E537" s="65"/>
      <c r="F537" s="65"/>
      <c r="H537" s="65"/>
      <c r="J537" s="65"/>
      <c r="K537" s="65"/>
      <c r="L537" s="65"/>
    </row>
    <row r="538" ht="15.75" customHeight="1">
      <c r="C538" s="65"/>
      <c r="D538" s="65"/>
      <c r="E538" s="65"/>
      <c r="F538" s="65"/>
      <c r="H538" s="65"/>
      <c r="J538" s="65"/>
      <c r="K538" s="65"/>
      <c r="L538" s="65"/>
    </row>
    <row r="539" ht="15.75" customHeight="1">
      <c r="C539" s="65"/>
      <c r="D539" s="65"/>
      <c r="E539" s="65"/>
      <c r="F539" s="65"/>
      <c r="H539" s="65"/>
      <c r="J539" s="65"/>
      <c r="K539" s="65"/>
      <c r="L539" s="65"/>
    </row>
    <row r="540" ht="15.75" customHeight="1">
      <c r="C540" s="65"/>
      <c r="D540" s="65"/>
      <c r="E540" s="65"/>
      <c r="F540" s="65"/>
      <c r="H540" s="65"/>
      <c r="J540" s="65"/>
      <c r="K540" s="65"/>
      <c r="L540" s="65"/>
    </row>
    <row r="541" ht="15.75" customHeight="1">
      <c r="C541" s="65"/>
      <c r="D541" s="65"/>
      <c r="E541" s="65"/>
      <c r="F541" s="65"/>
      <c r="H541" s="65"/>
      <c r="J541" s="65"/>
      <c r="K541" s="65"/>
      <c r="L541" s="65"/>
    </row>
    <row r="542" ht="15.75" customHeight="1">
      <c r="C542" s="65"/>
      <c r="D542" s="65"/>
      <c r="E542" s="65"/>
      <c r="F542" s="65"/>
      <c r="H542" s="65"/>
      <c r="J542" s="65"/>
      <c r="K542" s="65"/>
      <c r="L542" s="65"/>
    </row>
    <row r="543" ht="15.75" customHeight="1">
      <c r="C543" s="65"/>
      <c r="D543" s="65"/>
      <c r="E543" s="65"/>
      <c r="F543" s="65"/>
      <c r="H543" s="65"/>
      <c r="J543" s="65"/>
      <c r="K543" s="65"/>
      <c r="L543" s="65"/>
    </row>
    <row r="544" ht="15.75" customHeight="1">
      <c r="C544" s="65"/>
      <c r="D544" s="65"/>
      <c r="E544" s="65"/>
      <c r="F544" s="65"/>
      <c r="H544" s="65"/>
      <c r="J544" s="65"/>
      <c r="K544" s="65"/>
      <c r="L544" s="65"/>
    </row>
    <row r="545" ht="15.75" customHeight="1">
      <c r="C545" s="65"/>
      <c r="D545" s="65"/>
      <c r="E545" s="65"/>
      <c r="F545" s="65"/>
      <c r="H545" s="65"/>
      <c r="J545" s="65"/>
      <c r="K545" s="65"/>
      <c r="L545" s="65"/>
    </row>
    <row r="546" ht="15.75" customHeight="1">
      <c r="C546" s="65"/>
      <c r="D546" s="65"/>
      <c r="E546" s="65"/>
      <c r="F546" s="65"/>
      <c r="H546" s="65"/>
      <c r="J546" s="65"/>
      <c r="K546" s="65"/>
      <c r="L546" s="65"/>
    </row>
    <row r="547" ht="15.75" customHeight="1">
      <c r="C547" s="65"/>
      <c r="D547" s="65"/>
      <c r="E547" s="65"/>
      <c r="F547" s="65"/>
      <c r="H547" s="65"/>
      <c r="J547" s="65"/>
      <c r="K547" s="65"/>
      <c r="L547" s="65"/>
    </row>
    <row r="548" ht="15.75" customHeight="1">
      <c r="C548" s="65"/>
      <c r="D548" s="65"/>
      <c r="E548" s="65"/>
      <c r="F548" s="65"/>
      <c r="H548" s="65"/>
      <c r="J548" s="65"/>
      <c r="K548" s="65"/>
      <c r="L548" s="65"/>
    </row>
    <row r="549" ht="15.75" customHeight="1">
      <c r="C549" s="65"/>
      <c r="D549" s="65"/>
      <c r="E549" s="65"/>
      <c r="F549" s="65"/>
      <c r="H549" s="65"/>
      <c r="J549" s="65"/>
      <c r="K549" s="65"/>
      <c r="L549" s="65"/>
    </row>
    <row r="550" ht="15.75" customHeight="1">
      <c r="C550" s="65"/>
      <c r="D550" s="65"/>
      <c r="E550" s="65"/>
      <c r="F550" s="65"/>
      <c r="H550" s="65"/>
      <c r="J550" s="65"/>
      <c r="K550" s="65"/>
      <c r="L550" s="65"/>
    </row>
    <row r="551" ht="15.75" customHeight="1">
      <c r="C551" s="65"/>
      <c r="D551" s="65"/>
      <c r="E551" s="65"/>
      <c r="F551" s="65"/>
      <c r="H551" s="65"/>
      <c r="J551" s="65"/>
      <c r="K551" s="65"/>
      <c r="L551" s="65"/>
    </row>
    <row r="552" ht="15.75" customHeight="1">
      <c r="C552" s="65"/>
      <c r="D552" s="65"/>
      <c r="E552" s="65"/>
      <c r="F552" s="65"/>
      <c r="H552" s="65"/>
      <c r="J552" s="65"/>
      <c r="K552" s="65"/>
      <c r="L552" s="65"/>
    </row>
    <row r="553" ht="15.75" customHeight="1">
      <c r="C553" s="65"/>
      <c r="D553" s="65"/>
      <c r="E553" s="65"/>
      <c r="F553" s="65"/>
      <c r="H553" s="65"/>
      <c r="J553" s="65"/>
      <c r="K553" s="65"/>
      <c r="L553" s="65"/>
    </row>
    <row r="554" ht="15.75" customHeight="1">
      <c r="C554" s="65"/>
      <c r="D554" s="65"/>
      <c r="E554" s="65"/>
      <c r="F554" s="65"/>
      <c r="H554" s="65"/>
      <c r="J554" s="65"/>
      <c r="K554" s="65"/>
      <c r="L554" s="65"/>
    </row>
    <row r="555" ht="15.75" customHeight="1">
      <c r="C555" s="65"/>
      <c r="D555" s="65"/>
      <c r="E555" s="65"/>
      <c r="F555" s="65"/>
      <c r="H555" s="65"/>
      <c r="J555" s="65"/>
      <c r="K555" s="65"/>
      <c r="L555" s="65"/>
    </row>
    <row r="556" ht="15.75" customHeight="1">
      <c r="C556" s="65"/>
      <c r="D556" s="65"/>
      <c r="E556" s="65"/>
      <c r="F556" s="65"/>
      <c r="H556" s="65"/>
      <c r="J556" s="65"/>
      <c r="K556" s="65"/>
      <c r="L556" s="65"/>
    </row>
    <row r="557" ht="15.75" customHeight="1">
      <c r="C557" s="65"/>
      <c r="D557" s="65"/>
      <c r="E557" s="65"/>
      <c r="F557" s="65"/>
      <c r="H557" s="65"/>
      <c r="J557" s="65"/>
      <c r="K557" s="65"/>
      <c r="L557" s="65"/>
    </row>
    <row r="558" ht="15.75" customHeight="1">
      <c r="C558" s="65"/>
      <c r="D558" s="65"/>
      <c r="E558" s="65"/>
      <c r="F558" s="65"/>
      <c r="H558" s="65"/>
      <c r="J558" s="65"/>
      <c r="K558" s="65"/>
      <c r="L558" s="65"/>
    </row>
    <row r="559" ht="15.75" customHeight="1">
      <c r="C559" s="65"/>
      <c r="D559" s="65"/>
      <c r="E559" s="65"/>
      <c r="F559" s="65"/>
      <c r="H559" s="65"/>
      <c r="J559" s="65"/>
      <c r="K559" s="65"/>
      <c r="L559" s="65"/>
    </row>
    <row r="560" ht="15.75" customHeight="1">
      <c r="C560" s="65"/>
      <c r="D560" s="65"/>
      <c r="E560" s="65"/>
      <c r="F560" s="65"/>
      <c r="H560" s="65"/>
      <c r="J560" s="65"/>
      <c r="K560" s="65"/>
      <c r="L560" s="65"/>
    </row>
    <row r="561" ht="15.75" customHeight="1">
      <c r="C561" s="65"/>
      <c r="D561" s="65"/>
      <c r="E561" s="65"/>
      <c r="F561" s="65"/>
      <c r="H561" s="65"/>
      <c r="J561" s="65"/>
      <c r="K561" s="65"/>
      <c r="L561" s="65"/>
    </row>
    <row r="562" ht="15.75" customHeight="1">
      <c r="C562" s="65"/>
      <c r="D562" s="65"/>
      <c r="E562" s="65"/>
      <c r="F562" s="65"/>
      <c r="H562" s="65"/>
      <c r="J562" s="65"/>
      <c r="K562" s="65"/>
      <c r="L562" s="65"/>
    </row>
    <row r="563" ht="15.75" customHeight="1">
      <c r="C563" s="65"/>
      <c r="D563" s="65"/>
      <c r="E563" s="65"/>
      <c r="F563" s="65"/>
      <c r="H563" s="65"/>
      <c r="J563" s="65"/>
      <c r="K563" s="65"/>
      <c r="L563" s="65"/>
    </row>
    <row r="564" ht="15.75" customHeight="1">
      <c r="C564" s="65"/>
      <c r="D564" s="65"/>
      <c r="E564" s="65"/>
      <c r="F564" s="65"/>
      <c r="H564" s="65"/>
      <c r="J564" s="65"/>
      <c r="K564" s="65"/>
      <c r="L564" s="65"/>
    </row>
    <row r="565" ht="15.75" customHeight="1">
      <c r="C565" s="65"/>
      <c r="D565" s="65"/>
      <c r="E565" s="65"/>
      <c r="F565" s="65"/>
      <c r="H565" s="65"/>
      <c r="J565" s="65"/>
      <c r="K565" s="65"/>
      <c r="L565" s="65"/>
    </row>
    <row r="566" ht="15.75" customHeight="1">
      <c r="C566" s="65"/>
      <c r="D566" s="65"/>
      <c r="E566" s="65"/>
      <c r="F566" s="65"/>
      <c r="H566" s="65"/>
      <c r="J566" s="65"/>
      <c r="K566" s="65"/>
      <c r="L566" s="65"/>
    </row>
    <row r="567" ht="15.75" customHeight="1">
      <c r="C567" s="65"/>
      <c r="D567" s="65"/>
      <c r="E567" s="65"/>
      <c r="F567" s="65"/>
      <c r="H567" s="65"/>
      <c r="J567" s="65"/>
      <c r="K567" s="65"/>
      <c r="L567" s="65"/>
    </row>
    <row r="568" ht="15.75" customHeight="1">
      <c r="C568" s="65"/>
      <c r="D568" s="65"/>
      <c r="E568" s="65"/>
      <c r="F568" s="65"/>
      <c r="H568" s="65"/>
      <c r="J568" s="65"/>
      <c r="K568" s="65"/>
      <c r="L568" s="65"/>
    </row>
    <row r="569" ht="15.75" customHeight="1">
      <c r="C569" s="65"/>
      <c r="D569" s="65"/>
      <c r="E569" s="65"/>
      <c r="F569" s="65"/>
      <c r="H569" s="65"/>
      <c r="J569" s="65"/>
      <c r="K569" s="65"/>
      <c r="L569" s="65"/>
    </row>
    <row r="570" ht="15.75" customHeight="1">
      <c r="C570" s="65"/>
      <c r="D570" s="65"/>
      <c r="E570" s="65"/>
      <c r="F570" s="65"/>
      <c r="H570" s="65"/>
      <c r="J570" s="65"/>
      <c r="K570" s="65"/>
      <c r="L570" s="65"/>
    </row>
    <row r="571" ht="15.75" customHeight="1">
      <c r="C571" s="65"/>
      <c r="D571" s="65"/>
      <c r="E571" s="65"/>
      <c r="F571" s="65"/>
      <c r="H571" s="65"/>
      <c r="J571" s="65"/>
      <c r="K571" s="65"/>
      <c r="L571" s="65"/>
    </row>
    <row r="572" ht="15.75" customHeight="1">
      <c r="C572" s="65"/>
      <c r="D572" s="65"/>
      <c r="E572" s="65"/>
      <c r="F572" s="65"/>
      <c r="H572" s="65"/>
      <c r="J572" s="65"/>
      <c r="K572" s="65"/>
      <c r="L572" s="65"/>
    </row>
    <row r="573" ht="15.75" customHeight="1">
      <c r="C573" s="65"/>
      <c r="D573" s="65"/>
      <c r="E573" s="65"/>
      <c r="F573" s="65"/>
      <c r="H573" s="65"/>
      <c r="J573" s="65"/>
      <c r="K573" s="65"/>
      <c r="L573" s="65"/>
    </row>
    <row r="574" ht="15.75" customHeight="1">
      <c r="C574" s="65"/>
      <c r="D574" s="65"/>
      <c r="E574" s="65"/>
      <c r="F574" s="65"/>
      <c r="H574" s="65"/>
      <c r="J574" s="65"/>
      <c r="K574" s="65"/>
      <c r="L574" s="65"/>
    </row>
    <row r="575" ht="15.75" customHeight="1">
      <c r="C575" s="65"/>
      <c r="D575" s="65"/>
      <c r="E575" s="65"/>
      <c r="F575" s="65"/>
      <c r="H575" s="65"/>
      <c r="J575" s="65"/>
      <c r="K575" s="65"/>
      <c r="L575" s="65"/>
    </row>
    <row r="576" ht="15.75" customHeight="1">
      <c r="C576" s="65"/>
      <c r="D576" s="65"/>
      <c r="E576" s="65"/>
      <c r="F576" s="65"/>
      <c r="H576" s="65"/>
      <c r="J576" s="65"/>
      <c r="K576" s="65"/>
      <c r="L576" s="65"/>
    </row>
    <row r="577" ht="15.75" customHeight="1">
      <c r="C577" s="65"/>
      <c r="D577" s="65"/>
      <c r="E577" s="65"/>
      <c r="F577" s="65"/>
      <c r="H577" s="65"/>
      <c r="J577" s="65"/>
      <c r="K577" s="65"/>
      <c r="L577" s="65"/>
    </row>
    <row r="578" ht="15.75" customHeight="1">
      <c r="C578" s="65"/>
      <c r="D578" s="65"/>
      <c r="E578" s="65"/>
      <c r="F578" s="65"/>
      <c r="H578" s="65"/>
      <c r="J578" s="65"/>
      <c r="K578" s="65"/>
      <c r="L578" s="65"/>
    </row>
    <row r="579" ht="15.75" customHeight="1">
      <c r="C579" s="65"/>
      <c r="D579" s="65"/>
      <c r="E579" s="65"/>
      <c r="F579" s="65"/>
      <c r="H579" s="65"/>
      <c r="J579" s="65"/>
      <c r="K579" s="65"/>
      <c r="L579" s="65"/>
    </row>
    <row r="580" ht="15.75" customHeight="1">
      <c r="C580" s="65"/>
      <c r="D580" s="65"/>
      <c r="E580" s="65"/>
      <c r="F580" s="65"/>
      <c r="H580" s="65"/>
      <c r="J580" s="65"/>
      <c r="K580" s="65"/>
      <c r="L580" s="65"/>
    </row>
    <row r="581" ht="15.75" customHeight="1">
      <c r="C581" s="65"/>
      <c r="D581" s="65"/>
      <c r="E581" s="65"/>
      <c r="F581" s="65"/>
      <c r="H581" s="65"/>
      <c r="J581" s="65"/>
      <c r="K581" s="65"/>
      <c r="L581" s="65"/>
    </row>
    <row r="582" ht="15.75" customHeight="1">
      <c r="C582" s="65"/>
      <c r="D582" s="65"/>
      <c r="E582" s="65"/>
      <c r="F582" s="65"/>
      <c r="H582" s="65"/>
      <c r="J582" s="65"/>
      <c r="K582" s="65"/>
      <c r="L582" s="65"/>
    </row>
    <row r="583" ht="15.75" customHeight="1">
      <c r="C583" s="65"/>
      <c r="D583" s="65"/>
      <c r="E583" s="65"/>
      <c r="F583" s="65"/>
      <c r="H583" s="65"/>
      <c r="J583" s="65"/>
      <c r="K583" s="65"/>
      <c r="L583" s="65"/>
    </row>
    <row r="584" ht="15.75" customHeight="1">
      <c r="C584" s="65"/>
      <c r="D584" s="65"/>
      <c r="E584" s="65"/>
      <c r="F584" s="65"/>
      <c r="H584" s="65"/>
      <c r="J584" s="65"/>
      <c r="K584" s="65"/>
      <c r="L584" s="65"/>
    </row>
    <row r="585" ht="15.75" customHeight="1">
      <c r="C585" s="65"/>
      <c r="D585" s="65"/>
      <c r="E585" s="65"/>
      <c r="F585" s="65"/>
      <c r="H585" s="65"/>
      <c r="J585" s="65"/>
      <c r="K585" s="65"/>
      <c r="L585" s="65"/>
    </row>
    <row r="586" ht="15.75" customHeight="1">
      <c r="C586" s="65"/>
      <c r="D586" s="65"/>
      <c r="E586" s="65"/>
      <c r="F586" s="65"/>
      <c r="H586" s="65"/>
      <c r="J586" s="65"/>
      <c r="K586" s="65"/>
      <c r="L586" s="65"/>
    </row>
    <row r="587" ht="15.75" customHeight="1">
      <c r="C587" s="65"/>
      <c r="D587" s="65"/>
      <c r="E587" s="65"/>
      <c r="F587" s="65"/>
      <c r="H587" s="65"/>
      <c r="J587" s="65"/>
      <c r="K587" s="65"/>
      <c r="L587" s="65"/>
    </row>
    <row r="588" ht="15.75" customHeight="1">
      <c r="C588" s="65"/>
      <c r="D588" s="65"/>
      <c r="E588" s="65"/>
      <c r="F588" s="65"/>
      <c r="H588" s="65"/>
      <c r="J588" s="65"/>
      <c r="K588" s="65"/>
      <c r="L588" s="65"/>
    </row>
    <row r="589" ht="15.75" customHeight="1">
      <c r="C589" s="65"/>
      <c r="D589" s="65"/>
      <c r="E589" s="65"/>
      <c r="F589" s="65"/>
      <c r="H589" s="65"/>
      <c r="J589" s="65"/>
      <c r="K589" s="65"/>
      <c r="L589" s="65"/>
    </row>
    <row r="590" ht="15.75" customHeight="1">
      <c r="C590" s="65"/>
      <c r="D590" s="65"/>
      <c r="E590" s="65"/>
      <c r="F590" s="65"/>
      <c r="H590" s="65"/>
      <c r="J590" s="65"/>
      <c r="K590" s="65"/>
      <c r="L590" s="65"/>
    </row>
    <row r="591" ht="15.75" customHeight="1">
      <c r="C591" s="65"/>
      <c r="D591" s="65"/>
      <c r="E591" s="65"/>
      <c r="F591" s="65"/>
      <c r="H591" s="65"/>
      <c r="J591" s="65"/>
      <c r="K591" s="65"/>
      <c r="L591" s="65"/>
    </row>
    <row r="592" ht="15.75" customHeight="1">
      <c r="C592" s="65"/>
      <c r="D592" s="65"/>
      <c r="E592" s="65"/>
      <c r="F592" s="65"/>
      <c r="H592" s="65"/>
      <c r="J592" s="65"/>
      <c r="K592" s="65"/>
      <c r="L592" s="65"/>
    </row>
    <row r="593" ht="15.75" customHeight="1">
      <c r="C593" s="65"/>
      <c r="D593" s="65"/>
      <c r="E593" s="65"/>
      <c r="F593" s="65"/>
      <c r="H593" s="65"/>
      <c r="J593" s="65"/>
      <c r="K593" s="65"/>
      <c r="L593" s="65"/>
    </row>
    <row r="594" ht="15.75" customHeight="1">
      <c r="C594" s="65"/>
      <c r="D594" s="65"/>
      <c r="E594" s="65"/>
      <c r="F594" s="65"/>
      <c r="H594" s="65"/>
      <c r="J594" s="65"/>
      <c r="K594" s="65"/>
      <c r="L594" s="65"/>
    </row>
    <row r="595" ht="15.75" customHeight="1">
      <c r="C595" s="65"/>
      <c r="D595" s="65"/>
      <c r="E595" s="65"/>
      <c r="F595" s="65"/>
      <c r="H595" s="65"/>
      <c r="J595" s="65"/>
      <c r="K595" s="65"/>
      <c r="L595" s="65"/>
    </row>
    <row r="596" ht="15.75" customHeight="1">
      <c r="C596" s="65"/>
      <c r="D596" s="65"/>
      <c r="E596" s="65"/>
      <c r="F596" s="65"/>
      <c r="H596" s="65"/>
      <c r="J596" s="65"/>
      <c r="K596" s="65"/>
      <c r="L596" s="65"/>
    </row>
    <row r="597" ht="15.75" customHeight="1">
      <c r="C597" s="65"/>
      <c r="D597" s="65"/>
      <c r="E597" s="65"/>
      <c r="F597" s="65"/>
      <c r="H597" s="65"/>
      <c r="J597" s="65"/>
      <c r="K597" s="65"/>
      <c r="L597" s="65"/>
    </row>
    <row r="598" ht="15.75" customHeight="1">
      <c r="C598" s="65"/>
      <c r="D598" s="65"/>
      <c r="E598" s="65"/>
      <c r="F598" s="65"/>
      <c r="H598" s="65"/>
      <c r="J598" s="65"/>
      <c r="K598" s="65"/>
      <c r="L598" s="65"/>
    </row>
    <row r="599" ht="15.75" customHeight="1">
      <c r="C599" s="65"/>
      <c r="D599" s="65"/>
      <c r="E599" s="65"/>
      <c r="F599" s="65"/>
      <c r="H599" s="65"/>
      <c r="J599" s="65"/>
      <c r="K599" s="65"/>
      <c r="L599" s="65"/>
    </row>
    <row r="600" ht="15.75" customHeight="1">
      <c r="C600" s="65"/>
      <c r="D600" s="65"/>
      <c r="E600" s="65"/>
      <c r="F600" s="65"/>
      <c r="H600" s="65"/>
      <c r="J600" s="65"/>
      <c r="K600" s="65"/>
      <c r="L600" s="65"/>
    </row>
    <row r="601" ht="15.75" customHeight="1">
      <c r="C601" s="65"/>
      <c r="D601" s="65"/>
      <c r="E601" s="65"/>
      <c r="F601" s="65"/>
      <c r="H601" s="65"/>
      <c r="J601" s="65"/>
      <c r="K601" s="65"/>
      <c r="L601" s="65"/>
    </row>
    <row r="602" ht="15.75" customHeight="1">
      <c r="C602" s="65"/>
      <c r="D602" s="65"/>
      <c r="E602" s="65"/>
      <c r="F602" s="65"/>
      <c r="H602" s="65"/>
      <c r="J602" s="65"/>
      <c r="K602" s="65"/>
      <c r="L602" s="65"/>
    </row>
    <row r="603" ht="15.75" customHeight="1">
      <c r="C603" s="65"/>
      <c r="D603" s="65"/>
      <c r="E603" s="65"/>
      <c r="F603" s="65"/>
      <c r="H603" s="65"/>
      <c r="J603" s="65"/>
      <c r="K603" s="65"/>
      <c r="L603" s="65"/>
    </row>
    <row r="604" ht="15.75" customHeight="1">
      <c r="C604" s="65"/>
      <c r="D604" s="65"/>
      <c r="E604" s="65"/>
      <c r="F604" s="65"/>
      <c r="H604" s="65"/>
      <c r="J604" s="65"/>
      <c r="K604" s="65"/>
      <c r="L604" s="65"/>
    </row>
    <row r="605" ht="15.75" customHeight="1">
      <c r="C605" s="65"/>
      <c r="D605" s="65"/>
      <c r="E605" s="65"/>
      <c r="F605" s="65"/>
      <c r="H605" s="65"/>
      <c r="J605" s="65"/>
      <c r="K605" s="65"/>
      <c r="L605" s="65"/>
    </row>
    <row r="606" ht="15.75" customHeight="1">
      <c r="C606" s="65"/>
      <c r="D606" s="65"/>
      <c r="E606" s="65"/>
      <c r="F606" s="65"/>
      <c r="H606" s="65"/>
      <c r="J606" s="65"/>
      <c r="K606" s="65"/>
      <c r="L606" s="65"/>
    </row>
    <row r="607" ht="15.75" customHeight="1">
      <c r="C607" s="65"/>
      <c r="D607" s="65"/>
      <c r="E607" s="65"/>
      <c r="F607" s="65"/>
      <c r="H607" s="65"/>
      <c r="J607" s="65"/>
      <c r="K607" s="65"/>
      <c r="L607" s="65"/>
    </row>
    <row r="608" ht="15.75" customHeight="1">
      <c r="C608" s="65"/>
      <c r="D608" s="65"/>
      <c r="E608" s="65"/>
      <c r="F608" s="65"/>
      <c r="H608" s="65"/>
      <c r="J608" s="65"/>
      <c r="K608" s="65"/>
      <c r="L608" s="65"/>
    </row>
    <row r="609" ht="15.75" customHeight="1">
      <c r="C609" s="65"/>
      <c r="D609" s="65"/>
      <c r="E609" s="65"/>
      <c r="F609" s="65"/>
      <c r="H609" s="65"/>
      <c r="J609" s="65"/>
      <c r="K609" s="65"/>
      <c r="L609" s="65"/>
    </row>
    <row r="610" ht="15.75" customHeight="1">
      <c r="C610" s="65"/>
      <c r="D610" s="65"/>
      <c r="E610" s="65"/>
      <c r="F610" s="65"/>
      <c r="H610" s="65"/>
      <c r="J610" s="65"/>
      <c r="K610" s="65"/>
      <c r="L610" s="65"/>
    </row>
    <row r="611" ht="15.75" customHeight="1">
      <c r="C611" s="65"/>
      <c r="D611" s="65"/>
      <c r="E611" s="65"/>
      <c r="F611" s="65"/>
      <c r="H611" s="65"/>
      <c r="J611" s="65"/>
      <c r="K611" s="65"/>
      <c r="L611" s="65"/>
    </row>
    <row r="612" ht="15.75" customHeight="1">
      <c r="C612" s="65"/>
      <c r="D612" s="65"/>
      <c r="E612" s="65"/>
      <c r="F612" s="65"/>
      <c r="H612" s="65"/>
      <c r="J612" s="65"/>
      <c r="K612" s="65"/>
      <c r="L612" s="65"/>
    </row>
    <row r="613" ht="15.75" customHeight="1">
      <c r="C613" s="65"/>
      <c r="D613" s="65"/>
      <c r="E613" s="65"/>
      <c r="F613" s="65"/>
      <c r="H613" s="65"/>
      <c r="J613" s="65"/>
      <c r="K613" s="65"/>
      <c r="L613" s="65"/>
    </row>
    <row r="614" ht="15.75" customHeight="1">
      <c r="C614" s="65"/>
      <c r="D614" s="65"/>
      <c r="E614" s="65"/>
      <c r="F614" s="65"/>
      <c r="H614" s="65"/>
      <c r="J614" s="65"/>
      <c r="K614" s="65"/>
      <c r="L614" s="65"/>
    </row>
    <row r="615" ht="15.75" customHeight="1">
      <c r="C615" s="65"/>
      <c r="D615" s="65"/>
      <c r="E615" s="65"/>
      <c r="F615" s="65"/>
      <c r="H615" s="65"/>
      <c r="J615" s="65"/>
      <c r="K615" s="65"/>
      <c r="L615" s="65"/>
    </row>
    <row r="616" ht="15.75" customHeight="1">
      <c r="C616" s="65"/>
      <c r="D616" s="65"/>
      <c r="E616" s="65"/>
      <c r="F616" s="65"/>
      <c r="H616" s="65"/>
      <c r="J616" s="65"/>
      <c r="K616" s="65"/>
      <c r="L616" s="65"/>
    </row>
    <row r="617" ht="15.75" customHeight="1">
      <c r="C617" s="65"/>
      <c r="D617" s="65"/>
      <c r="E617" s="65"/>
      <c r="F617" s="65"/>
      <c r="H617" s="65"/>
      <c r="J617" s="65"/>
      <c r="K617" s="65"/>
      <c r="L617" s="65"/>
    </row>
    <row r="618" ht="15.75" customHeight="1">
      <c r="C618" s="65"/>
      <c r="D618" s="65"/>
      <c r="E618" s="65"/>
      <c r="F618" s="65"/>
      <c r="H618" s="65"/>
      <c r="J618" s="65"/>
      <c r="K618" s="65"/>
      <c r="L618" s="65"/>
    </row>
    <row r="619" ht="15.75" customHeight="1">
      <c r="C619" s="65"/>
      <c r="D619" s="65"/>
      <c r="E619" s="65"/>
      <c r="F619" s="65"/>
      <c r="H619" s="65"/>
      <c r="J619" s="65"/>
      <c r="K619" s="65"/>
      <c r="L619" s="65"/>
    </row>
    <row r="620" ht="15.75" customHeight="1">
      <c r="C620" s="65"/>
      <c r="D620" s="65"/>
      <c r="E620" s="65"/>
      <c r="F620" s="65"/>
      <c r="H620" s="65"/>
      <c r="J620" s="65"/>
      <c r="K620" s="65"/>
      <c r="L620" s="65"/>
    </row>
    <row r="621" ht="15.75" customHeight="1">
      <c r="C621" s="65"/>
      <c r="D621" s="65"/>
      <c r="E621" s="65"/>
      <c r="F621" s="65"/>
      <c r="H621" s="65"/>
      <c r="J621" s="65"/>
      <c r="K621" s="65"/>
      <c r="L621" s="65"/>
    </row>
    <row r="622" ht="15.75" customHeight="1">
      <c r="C622" s="65"/>
      <c r="D622" s="65"/>
      <c r="E622" s="65"/>
      <c r="F622" s="65"/>
      <c r="H622" s="65"/>
      <c r="J622" s="65"/>
      <c r="K622" s="65"/>
      <c r="L622" s="65"/>
    </row>
    <row r="623" ht="15.75" customHeight="1">
      <c r="C623" s="65"/>
      <c r="D623" s="65"/>
      <c r="E623" s="65"/>
      <c r="F623" s="65"/>
      <c r="H623" s="65"/>
      <c r="J623" s="65"/>
      <c r="K623" s="65"/>
      <c r="L623" s="65"/>
    </row>
    <row r="624" ht="15.75" customHeight="1">
      <c r="C624" s="65"/>
      <c r="D624" s="65"/>
      <c r="E624" s="65"/>
      <c r="F624" s="65"/>
      <c r="H624" s="65"/>
      <c r="J624" s="65"/>
      <c r="K624" s="65"/>
      <c r="L624" s="65"/>
    </row>
    <row r="625" ht="15.75" customHeight="1">
      <c r="C625" s="65"/>
      <c r="D625" s="65"/>
      <c r="E625" s="65"/>
      <c r="F625" s="65"/>
      <c r="H625" s="65"/>
      <c r="J625" s="65"/>
      <c r="K625" s="65"/>
      <c r="L625" s="65"/>
    </row>
    <row r="626" ht="15.75" customHeight="1">
      <c r="C626" s="65"/>
      <c r="D626" s="65"/>
      <c r="E626" s="65"/>
      <c r="F626" s="65"/>
      <c r="H626" s="65"/>
      <c r="J626" s="65"/>
      <c r="K626" s="65"/>
      <c r="L626" s="65"/>
    </row>
    <row r="627" ht="15.75" customHeight="1">
      <c r="C627" s="65"/>
      <c r="D627" s="65"/>
      <c r="E627" s="65"/>
      <c r="F627" s="65"/>
      <c r="H627" s="65"/>
      <c r="J627" s="65"/>
      <c r="K627" s="65"/>
      <c r="L627" s="65"/>
    </row>
    <row r="628" ht="15.75" customHeight="1">
      <c r="C628" s="65"/>
      <c r="D628" s="65"/>
      <c r="E628" s="65"/>
      <c r="F628" s="65"/>
      <c r="H628" s="65"/>
      <c r="J628" s="65"/>
      <c r="K628" s="65"/>
      <c r="L628" s="65"/>
    </row>
    <row r="629" ht="15.75" customHeight="1">
      <c r="C629" s="65"/>
      <c r="D629" s="65"/>
      <c r="E629" s="65"/>
      <c r="F629" s="65"/>
      <c r="H629" s="65"/>
      <c r="J629" s="65"/>
      <c r="K629" s="65"/>
      <c r="L629" s="65"/>
    </row>
    <row r="630" ht="15.75" customHeight="1">
      <c r="C630" s="65"/>
      <c r="D630" s="65"/>
      <c r="E630" s="65"/>
      <c r="F630" s="65"/>
      <c r="H630" s="65"/>
      <c r="J630" s="65"/>
      <c r="K630" s="65"/>
      <c r="L630" s="65"/>
    </row>
    <row r="631" ht="15.75" customHeight="1">
      <c r="C631" s="65"/>
      <c r="D631" s="65"/>
      <c r="E631" s="65"/>
      <c r="F631" s="65"/>
      <c r="H631" s="65"/>
      <c r="J631" s="65"/>
      <c r="K631" s="65"/>
      <c r="L631" s="65"/>
    </row>
    <row r="632" ht="15.75" customHeight="1">
      <c r="C632" s="65"/>
      <c r="D632" s="65"/>
      <c r="E632" s="65"/>
      <c r="F632" s="65"/>
      <c r="H632" s="65"/>
      <c r="J632" s="65"/>
      <c r="K632" s="65"/>
      <c r="L632" s="65"/>
    </row>
    <row r="633" ht="15.75" customHeight="1">
      <c r="C633" s="65"/>
      <c r="D633" s="65"/>
      <c r="E633" s="65"/>
      <c r="F633" s="65"/>
      <c r="H633" s="65"/>
      <c r="J633" s="65"/>
      <c r="K633" s="65"/>
      <c r="L633" s="65"/>
    </row>
    <row r="634" ht="15.75" customHeight="1">
      <c r="C634" s="65"/>
      <c r="D634" s="65"/>
      <c r="E634" s="65"/>
      <c r="F634" s="65"/>
      <c r="H634" s="65"/>
      <c r="J634" s="65"/>
      <c r="K634" s="65"/>
      <c r="L634" s="65"/>
    </row>
    <row r="635" ht="15.75" customHeight="1">
      <c r="C635" s="65"/>
      <c r="D635" s="65"/>
      <c r="E635" s="65"/>
      <c r="F635" s="65"/>
      <c r="H635" s="65"/>
      <c r="J635" s="65"/>
      <c r="K635" s="65"/>
      <c r="L635" s="65"/>
    </row>
    <row r="636" ht="15.75" customHeight="1">
      <c r="C636" s="65"/>
      <c r="D636" s="65"/>
      <c r="E636" s="65"/>
      <c r="F636" s="65"/>
      <c r="H636" s="65"/>
      <c r="J636" s="65"/>
      <c r="K636" s="65"/>
      <c r="L636" s="65"/>
    </row>
    <row r="637" ht="15.75" customHeight="1">
      <c r="C637" s="65"/>
      <c r="D637" s="65"/>
      <c r="E637" s="65"/>
      <c r="F637" s="65"/>
      <c r="H637" s="65"/>
      <c r="J637" s="65"/>
      <c r="K637" s="65"/>
      <c r="L637" s="65"/>
    </row>
    <row r="638" ht="15.75" customHeight="1">
      <c r="C638" s="65"/>
      <c r="D638" s="65"/>
      <c r="E638" s="65"/>
      <c r="F638" s="65"/>
      <c r="H638" s="65"/>
      <c r="J638" s="65"/>
      <c r="K638" s="65"/>
      <c r="L638" s="65"/>
    </row>
    <row r="639" ht="15.75" customHeight="1">
      <c r="C639" s="65"/>
      <c r="D639" s="65"/>
      <c r="E639" s="65"/>
      <c r="F639" s="65"/>
      <c r="H639" s="65"/>
      <c r="J639" s="65"/>
      <c r="K639" s="65"/>
      <c r="L639" s="65"/>
    </row>
    <row r="640" ht="15.75" customHeight="1">
      <c r="C640" s="65"/>
      <c r="D640" s="65"/>
      <c r="E640" s="65"/>
      <c r="F640" s="65"/>
      <c r="H640" s="65"/>
      <c r="J640" s="65"/>
      <c r="K640" s="65"/>
      <c r="L640" s="65"/>
    </row>
    <row r="641" ht="15.75" customHeight="1">
      <c r="C641" s="65"/>
      <c r="D641" s="65"/>
      <c r="E641" s="65"/>
      <c r="F641" s="65"/>
      <c r="H641" s="65"/>
      <c r="J641" s="65"/>
      <c r="K641" s="65"/>
      <c r="L641" s="65"/>
    </row>
    <row r="642" ht="15.75" customHeight="1">
      <c r="C642" s="65"/>
      <c r="D642" s="65"/>
      <c r="E642" s="65"/>
      <c r="F642" s="65"/>
      <c r="H642" s="65"/>
      <c r="J642" s="65"/>
      <c r="K642" s="65"/>
      <c r="L642" s="65"/>
    </row>
    <row r="643" ht="15.75" customHeight="1">
      <c r="C643" s="65"/>
      <c r="D643" s="65"/>
      <c r="E643" s="65"/>
      <c r="F643" s="65"/>
      <c r="H643" s="65"/>
      <c r="J643" s="65"/>
      <c r="K643" s="65"/>
      <c r="L643" s="65"/>
    </row>
    <row r="644" ht="15.75" customHeight="1">
      <c r="C644" s="65"/>
      <c r="D644" s="65"/>
      <c r="E644" s="65"/>
      <c r="F644" s="65"/>
      <c r="H644" s="65"/>
      <c r="J644" s="65"/>
      <c r="K644" s="65"/>
      <c r="L644" s="65"/>
    </row>
    <row r="645" ht="15.75" customHeight="1">
      <c r="C645" s="65"/>
      <c r="D645" s="65"/>
      <c r="E645" s="65"/>
      <c r="F645" s="65"/>
      <c r="H645" s="65"/>
      <c r="J645" s="65"/>
      <c r="K645" s="65"/>
      <c r="L645" s="65"/>
    </row>
    <row r="646" ht="15.75" customHeight="1">
      <c r="C646" s="65"/>
      <c r="D646" s="65"/>
      <c r="E646" s="65"/>
      <c r="F646" s="65"/>
      <c r="H646" s="65"/>
      <c r="J646" s="65"/>
      <c r="K646" s="65"/>
      <c r="L646" s="65"/>
    </row>
    <row r="647" ht="15.75" customHeight="1">
      <c r="C647" s="65"/>
      <c r="D647" s="65"/>
      <c r="E647" s="65"/>
      <c r="F647" s="65"/>
      <c r="H647" s="65"/>
      <c r="J647" s="65"/>
      <c r="K647" s="65"/>
      <c r="L647" s="65"/>
    </row>
    <row r="648" ht="15.75" customHeight="1">
      <c r="C648" s="65"/>
      <c r="D648" s="65"/>
      <c r="E648" s="65"/>
      <c r="F648" s="65"/>
      <c r="H648" s="65"/>
      <c r="J648" s="65"/>
      <c r="K648" s="65"/>
      <c r="L648" s="65"/>
    </row>
    <row r="649" ht="15.75" customHeight="1">
      <c r="C649" s="65"/>
      <c r="D649" s="65"/>
      <c r="E649" s="65"/>
      <c r="F649" s="65"/>
      <c r="H649" s="65"/>
      <c r="J649" s="65"/>
      <c r="K649" s="65"/>
      <c r="L649" s="65"/>
    </row>
    <row r="650" ht="15.75" customHeight="1">
      <c r="C650" s="65"/>
      <c r="D650" s="65"/>
      <c r="E650" s="65"/>
      <c r="F650" s="65"/>
      <c r="H650" s="65"/>
      <c r="J650" s="65"/>
      <c r="K650" s="65"/>
      <c r="L650" s="65"/>
    </row>
    <row r="651" ht="15.75" customHeight="1">
      <c r="C651" s="65"/>
      <c r="D651" s="65"/>
      <c r="E651" s="65"/>
      <c r="F651" s="65"/>
      <c r="H651" s="65"/>
      <c r="J651" s="65"/>
      <c r="K651" s="65"/>
      <c r="L651" s="65"/>
    </row>
    <row r="652" ht="15.75" customHeight="1">
      <c r="C652" s="65"/>
      <c r="D652" s="65"/>
      <c r="E652" s="65"/>
      <c r="F652" s="65"/>
      <c r="H652" s="65"/>
      <c r="J652" s="65"/>
      <c r="K652" s="65"/>
      <c r="L652" s="65"/>
    </row>
    <row r="653" ht="15.75" customHeight="1">
      <c r="C653" s="65"/>
      <c r="D653" s="65"/>
      <c r="E653" s="65"/>
      <c r="F653" s="65"/>
      <c r="H653" s="65"/>
      <c r="J653" s="65"/>
      <c r="K653" s="65"/>
      <c r="L653" s="65"/>
    </row>
    <row r="654" ht="15.75" customHeight="1">
      <c r="C654" s="65"/>
      <c r="D654" s="65"/>
      <c r="E654" s="65"/>
      <c r="F654" s="65"/>
      <c r="H654" s="65"/>
      <c r="J654" s="65"/>
      <c r="K654" s="65"/>
      <c r="L654" s="65"/>
    </row>
    <row r="655" ht="15.75" customHeight="1">
      <c r="C655" s="65"/>
      <c r="D655" s="65"/>
      <c r="E655" s="65"/>
      <c r="F655" s="65"/>
      <c r="H655" s="65"/>
      <c r="J655" s="65"/>
      <c r="K655" s="65"/>
      <c r="L655" s="65"/>
    </row>
    <row r="656" ht="15.75" customHeight="1">
      <c r="C656" s="65"/>
      <c r="D656" s="65"/>
      <c r="E656" s="65"/>
      <c r="F656" s="65"/>
      <c r="H656" s="65"/>
      <c r="J656" s="65"/>
      <c r="K656" s="65"/>
      <c r="L656" s="65"/>
    </row>
    <row r="657" ht="15.75" customHeight="1">
      <c r="C657" s="65"/>
      <c r="D657" s="65"/>
      <c r="E657" s="65"/>
      <c r="F657" s="65"/>
      <c r="H657" s="65"/>
      <c r="J657" s="65"/>
      <c r="K657" s="65"/>
      <c r="L657" s="65"/>
    </row>
    <row r="658" ht="15.75" customHeight="1">
      <c r="C658" s="65"/>
      <c r="D658" s="65"/>
      <c r="E658" s="65"/>
      <c r="F658" s="65"/>
      <c r="H658" s="65"/>
      <c r="J658" s="65"/>
      <c r="K658" s="65"/>
      <c r="L658" s="65"/>
    </row>
    <row r="659" ht="15.75" customHeight="1">
      <c r="C659" s="65"/>
      <c r="D659" s="65"/>
      <c r="E659" s="65"/>
      <c r="F659" s="65"/>
      <c r="H659" s="65"/>
      <c r="J659" s="65"/>
      <c r="K659" s="65"/>
      <c r="L659" s="65"/>
    </row>
    <row r="660" ht="15.75" customHeight="1">
      <c r="C660" s="65"/>
      <c r="D660" s="65"/>
      <c r="E660" s="65"/>
      <c r="F660" s="65"/>
      <c r="H660" s="65"/>
      <c r="J660" s="65"/>
      <c r="K660" s="65"/>
      <c r="L660" s="65"/>
    </row>
    <row r="661" ht="15.75" customHeight="1">
      <c r="C661" s="65"/>
      <c r="D661" s="65"/>
      <c r="E661" s="65"/>
      <c r="F661" s="65"/>
      <c r="H661" s="65"/>
      <c r="J661" s="65"/>
      <c r="K661" s="65"/>
      <c r="L661" s="65"/>
    </row>
    <row r="662" ht="15.75" customHeight="1">
      <c r="C662" s="65"/>
      <c r="D662" s="65"/>
      <c r="E662" s="65"/>
      <c r="F662" s="65"/>
      <c r="H662" s="65"/>
      <c r="J662" s="65"/>
      <c r="K662" s="65"/>
      <c r="L662" s="65"/>
    </row>
    <row r="663" ht="15.75" customHeight="1">
      <c r="C663" s="65"/>
      <c r="D663" s="65"/>
      <c r="E663" s="65"/>
      <c r="F663" s="65"/>
      <c r="H663" s="65"/>
      <c r="J663" s="65"/>
      <c r="K663" s="65"/>
      <c r="L663" s="65"/>
    </row>
    <row r="664" ht="15.75" customHeight="1">
      <c r="C664" s="65"/>
      <c r="D664" s="65"/>
      <c r="E664" s="65"/>
      <c r="F664" s="65"/>
      <c r="H664" s="65"/>
      <c r="J664" s="65"/>
      <c r="K664" s="65"/>
      <c r="L664" s="65"/>
    </row>
    <row r="665" ht="15.75" customHeight="1">
      <c r="C665" s="65"/>
      <c r="D665" s="65"/>
      <c r="E665" s="65"/>
      <c r="F665" s="65"/>
      <c r="H665" s="65"/>
      <c r="J665" s="65"/>
      <c r="K665" s="65"/>
      <c r="L665" s="65"/>
    </row>
    <row r="666" ht="15.75" customHeight="1">
      <c r="C666" s="65"/>
      <c r="D666" s="65"/>
      <c r="E666" s="65"/>
      <c r="F666" s="65"/>
      <c r="H666" s="65"/>
      <c r="J666" s="65"/>
      <c r="K666" s="65"/>
      <c r="L666" s="65"/>
    </row>
    <row r="667" ht="15.75" customHeight="1">
      <c r="C667" s="65"/>
      <c r="D667" s="65"/>
      <c r="E667" s="65"/>
      <c r="F667" s="65"/>
      <c r="H667" s="65"/>
      <c r="J667" s="65"/>
      <c r="K667" s="65"/>
      <c r="L667" s="65"/>
    </row>
    <row r="668" ht="15.75" customHeight="1">
      <c r="C668" s="65"/>
      <c r="D668" s="65"/>
      <c r="E668" s="65"/>
      <c r="F668" s="65"/>
      <c r="H668" s="65"/>
      <c r="J668" s="65"/>
      <c r="K668" s="65"/>
      <c r="L668" s="65"/>
    </row>
    <row r="669" ht="15.75" customHeight="1">
      <c r="C669" s="65"/>
      <c r="D669" s="65"/>
      <c r="E669" s="65"/>
      <c r="F669" s="65"/>
      <c r="H669" s="65"/>
      <c r="J669" s="65"/>
      <c r="K669" s="65"/>
      <c r="L669" s="65"/>
    </row>
    <row r="670" ht="15.75" customHeight="1">
      <c r="C670" s="65"/>
      <c r="D670" s="65"/>
      <c r="E670" s="65"/>
      <c r="F670" s="65"/>
      <c r="H670" s="65"/>
      <c r="J670" s="65"/>
      <c r="K670" s="65"/>
      <c r="L670" s="65"/>
    </row>
    <row r="671" ht="15.75" customHeight="1">
      <c r="C671" s="65"/>
      <c r="D671" s="65"/>
      <c r="E671" s="65"/>
      <c r="F671" s="65"/>
      <c r="H671" s="65"/>
      <c r="J671" s="65"/>
      <c r="K671" s="65"/>
      <c r="L671" s="65"/>
    </row>
    <row r="672" ht="15.75" customHeight="1">
      <c r="C672" s="65"/>
      <c r="D672" s="65"/>
      <c r="E672" s="65"/>
      <c r="F672" s="65"/>
      <c r="H672" s="65"/>
      <c r="J672" s="65"/>
      <c r="K672" s="65"/>
      <c r="L672" s="65"/>
    </row>
    <row r="673" ht="15.75" customHeight="1">
      <c r="C673" s="65"/>
      <c r="D673" s="65"/>
      <c r="E673" s="65"/>
      <c r="F673" s="65"/>
      <c r="H673" s="65"/>
      <c r="J673" s="65"/>
      <c r="K673" s="65"/>
      <c r="L673" s="65"/>
    </row>
    <row r="674" ht="15.75" customHeight="1">
      <c r="C674" s="65"/>
      <c r="D674" s="65"/>
      <c r="E674" s="65"/>
      <c r="F674" s="65"/>
      <c r="H674" s="65"/>
      <c r="J674" s="65"/>
      <c r="K674" s="65"/>
      <c r="L674" s="65"/>
    </row>
    <row r="675" ht="15.75" customHeight="1">
      <c r="C675" s="65"/>
      <c r="D675" s="65"/>
      <c r="E675" s="65"/>
      <c r="F675" s="65"/>
      <c r="H675" s="65"/>
      <c r="J675" s="65"/>
      <c r="K675" s="65"/>
      <c r="L675" s="65"/>
    </row>
    <row r="676" ht="15.75" customHeight="1">
      <c r="C676" s="65"/>
      <c r="D676" s="65"/>
      <c r="E676" s="65"/>
      <c r="F676" s="65"/>
      <c r="H676" s="65"/>
      <c r="J676" s="65"/>
      <c r="K676" s="65"/>
      <c r="L676" s="65"/>
    </row>
    <row r="677" ht="15.75" customHeight="1">
      <c r="C677" s="65"/>
      <c r="D677" s="65"/>
      <c r="E677" s="65"/>
      <c r="F677" s="65"/>
      <c r="H677" s="65"/>
      <c r="J677" s="65"/>
      <c r="K677" s="65"/>
      <c r="L677" s="65"/>
    </row>
    <row r="678" ht="15.75" customHeight="1">
      <c r="C678" s="65"/>
      <c r="D678" s="65"/>
      <c r="E678" s="65"/>
      <c r="F678" s="65"/>
      <c r="H678" s="65"/>
      <c r="J678" s="65"/>
      <c r="K678" s="65"/>
      <c r="L678" s="65"/>
    </row>
    <row r="679" ht="15.75" customHeight="1">
      <c r="C679" s="65"/>
      <c r="D679" s="65"/>
      <c r="E679" s="65"/>
      <c r="F679" s="65"/>
      <c r="H679" s="65"/>
      <c r="J679" s="65"/>
      <c r="K679" s="65"/>
      <c r="L679" s="65"/>
    </row>
    <row r="680" ht="15.75" customHeight="1">
      <c r="C680" s="65"/>
      <c r="D680" s="65"/>
      <c r="E680" s="65"/>
      <c r="F680" s="65"/>
      <c r="H680" s="65"/>
      <c r="J680" s="65"/>
      <c r="K680" s="65"/>
      <c r="L680" s="65"/>
    </row>
    <row r="681" ht="15.75" customHeight="1">
      <c r="C681" s="65"/>
      <c r="D681" s="65"/>
      <c r="E681" s="65"/>
      <c r="F681" s="65"/>
      <c r="H681" s="65"/>
      <c r="J681" s="65"/>
      <c r="K681" s="65"/>
      <c r="L681" s="65"/>
    </row>
    <row r="682" ht="15.75" customHeight="1">
      <c r="C682" s="65"/>
      <c r="D682" s="65"/>
      <c r="E682" s="65"/>
      <c r="F682" s="65"/>
      <c r="H682" s="65"/>
      <c r="J682" s="65"/>
      <c r="K682" s="65"/>
      <c r="L682" s="65"/>
    </row>
    <row r="683" ht="15.75" customHeight="1">
      <c r="C683" s="65"/>
      <c r="D683" s="65"/>
      <c r="E683" s="65"/>
      <c r="F683" s="65"/>
      <c r="H683" s="65"/>
      <c r="J683" s="65"/>
      <c r="K683" s="65"/>
      <c r="L683" s="65"/>
    </row>
    <row r="684" ht="15.75" customHeight="1">
      <c r="C684" s="65"/>
      <c r="D684" s="65"/>
      <c r="E684" s="65"/>
      <c r="F684" s="65"/>
      <c r="H684" s="65"/>
      <c r="J684" s="65"/>
      <c r="K684" s="65"/>
      <c r="L684" s="65"/>
    </row>
    <row r="685" ht="15.75" customHeight="1">
      <c r="C685" s="65"/>
      <c r="D685" s="65"/>
      <c r="E685" s="65"/>
      <c r="F685" s="65"/>
      <c r="H685" s="65"/>
      <c r="J685" s="65"/>
      <c r="K685" s="65"/>
      <c r="L685" s="65"/>
    </row>
    <row r="686" ht="15.75" customHeight="1">
      <c r="C686" s="65"/>
      <c r="D686" s="65"/>
      <c r="E686" s="65"/>
      <c r="F686" s="65"/>
      <c r="H686" s="65"/>
      <c r="J686" s="65"/>
      <c r="K686" s="65"/>
      <c r="L686" s="65"/>
    </row>
    <row r="687" ht="15.75" customHeight="1">
      <c r="C687" s="65"/>
      <c r="D687" s="65"/>
      <c r="E687" s="65"/>
      <c r="F687" s="65"/>
      <c r="H687" s="65"/>
      <c r="J687" s="65"/>
      <c r="K687" s="65"/>
      <c r="L687" s="65"/>
    </row>
    <row r="688" ht="15.75" customHeight="1">
      <c r="C688" s="65"/>
      <c r="D688" s="65"/>
      <c r="E688" s="65"/>
      <c r="F688" s="65"/>
      <c r="H688" s="65"/>
      <c r="J688" s="65"/>
      <c r="K688" s="65"/>
      <c r="L688" s="65"/>
    </row>
    <row r="689" ht="15.75" customHeight="1">
      <c r="C689" s="65"/>
      <c r="D689" s="65"/>
      <c r="E689" s="65"/>
      <c r="F689" s="65"/>
      <c r="H689" s="65"/>
      <c r="J689" s="65"/>
      <c r="K689" s="65"/>
      <c r="L689" s="65"/>
    </row>
    <row r="690" ht="15.75" customHeight="1">
      <c r="C690" s="65"/>
      <c r="D690" s="65"/>
      <c r="E690" s="65"/>
      <c r="F690" s="65"/>
      <c r="H690" s="65"/>
      <c r="J690" s="65"/>
      <c r="K690" s="65"/>
      <c r="L690" s="65"/>
    </row>
    <row r="691" ht="15.75" customHeight="1">
      <c r="C691" s="65"/>
      <c r="D691" s="65"/>
      <c r="E691" s="65"/>
      <c r="F691" s="65"/>
      <c r="H691" s="65"/>
      <c r="J691" s="65"/>
      <c r="K691" s="65"/>
      <c r="L691" s="65"/>
    </row>
    <row r="692" ht="15.75" customHeight="1">
      <c r="C692" s="65"/>
      <c r="D692" s="65"/>
      <c r="E692" s="65"/>
      <c r="F692" s="65"/>
      <c r="H692" s="65"/>
      <c r="J692" s="65"/>
      <c r="K692" s="65"/>
      <c r="L692" s="65"/>
    </row>
    <row r="693" ht="15.75" customHeight="1">
      <c r="C693" s="65"/>
      <c r="D693" s="65"/>
      <c r="E693" s="65"/>
      <c r="F693" s="65"/>
      <c r="H693" s="65"/>
      <c r="J693" s="65"/>
      <c r="K693" s="65"/>
      <c r="L693" s="65"/>
    </row>
    <row r="694" ht="15.75" customHeight="1">
      <c r="C694" s="65"/>
      <c r="D694" s="65"/>
      <c r="E694" s="65"/>
      <c r="F694" s="65"/>
      <c r="H694" s="65"/>
      <c r="J694" s="65"/>
      <c r="K694" s="65"/>
      <c r="L694" s="65"/>
    </row>
    <row r="695" ht="15.75" customHeight="1">
      <c r="C695" s="65"/>
      <c r="D695" s="65"/>
      <c r="E695" s="65"/>
      <c r="F695" s="65"/>
      <c r="H695" s="65"/>
      <c r="J695" s="65"/>
      <c r="K695" s="65"/>
      <c r="L695" s="65"/>
    </row>
    <row r="696" ht="15.75" customHeight="1">
      <c r="C696" s="65"/>
      <c r="D696" s="65"/>
      <c r="E696" s="65"/>
      <c r="F696" s="65"/>
      <c r="H696" s="65"/>
      <c r="J696" s="65"/>
      <c r="K696" s="65"/>
      <c r="L696" s="65"/>
    </row>
    <row r="697" ht="15.75" customHeight="1">
      <c r="C697" s="65"/>
      <c r="D697" s="65"/>
      <c r="E697" s="65"/>
      <c r="F697" s="65"/>
      <c r="H697" s="65"/>
      <c r="J697" s="65"/>
      <c r="K697" s="65"/>
      <c r="L697" s="65"/>
    </row>
    <row r="698" ht="15.75" customHeight="1">
      <c r="C698" s="65"/>
      <c r="D698" s="65"/>
      <c r="E698" s="65"/>
      <c r="F698" s="65"/>
      <c r="H698" s="65"/>
      <c r="J698" s="65"/>
      <c r="K698" s="65"/>
      <c r="L698" s="65"/>
    </row>
    <row r="699" ht="15.75" customHeight="1">
      <c r="C699" s="65"/>
      <c r="D699" s="65"/>
      <c r="E699" s="65"/>
      <c r="F699" s="65"/>
      <c r="H699" s="65"/>
      <c r="J699" s="65"/>
      <c r="K699" s="65"/>
      <c r="L699" s="65"/>
    </row>
    <row r="700" ht="15.75" customHeight="1">
      <c r="C700" s="65"/>
      <c r="D700" s="65"/>
      <c r="E700" s="65"/>
      <c r="F700" s="65"/>
      <c r="H700" s="65"/>
      <c r="J700" s="65"/>
      <c r="K700" s="65"/>
      <c r="L700" s="65"/>
    </row>
    <row r="701" ht="15.75" customHeight="1">
      <c r="C701" s="65"/>
      <c r="D701" s="65"/>
      <c r="E701" s="65"/>
      <c r="F701" s="65"/>
      <c r="H701" s="65"/>
      <c r="J701" s="65"/>
      <c r="K701" s="65"/>
      <c r="L701" s="65"/>
    </row>
    <row r="702" ht="15.75" customHeight="1">
      <c r="C702" s="65"/>
      <c r="D702" s="65"/>
      <c r="E702" s="65"/>
      <c r="F702" s="65"/>
      <c r="H702" s="65"/>
      <c r="J702" s="65"/>
      <c r="K702" s="65"/>
      <c r="L702" s="65"/>
    </row>
    <row r="703" ht="15.75" customHeight="1">
      <c r="C703" s="65"/>
      <c r="D703" s="65"/>
      <c r="E703" s="65"/>
      <c r="F703" s="65"/>
      <c r="H703" s="65"/>
      <c r="J703" s="65"/>
      <c r="K703" s="65"/>
      <c r="L703" s="65"/>
    </row>
    <row r="704" ht="15.75" customHeight="1">
      <c r="C704" s="65"/>
      <c r="D704" s="65"/>
      <c r="E704" s="65"/>
      <c r="F704" s="65"/>
      <c r="H704" s="65"/>
      <c r="J704" s="65"/>
      <c r="K704" s="65"/>
      <c r="L704" s="65"/>
    </row>
    <row r="705" ht="15.75" customHeight="1">
      <c r="C705" s="65"/>
      <c r="D705" s="65"/>
      <c r="E705" s="65"/>
      <c r="F705" s="65"/>
      <c r="H705" s="65"/>
      <c r="J705" s="65"/>
      <c r="K705" s="65"/>
      <c r="L705" s="65"/>
    </row>
    <row r="706" ht="15.75" customHeight="1">
      <c r="C706" s="65"/>
      <c r="D706" s="65"/>
      <c r="E706" s="65"/>
      <c r="F706" s="65"/>
      <c r="H706" s="65"/>
      <c r="J706" s="65"/>
      <c r="K706" s="65"/>
      <c r="L706" s="65"/>
    </row>
    <row r="707" ht="15.75" customHeight="1">
      <c r="C707" s="65"/>
      <c r="D707" s="65"/>
      <c r="E707" s="65"/>
      <c r="F707" s="65"/>
      <c r="H707" s="65"/>
      <c r="J707" s="65"/>
      <c r="K707" s="65"/>
      <c r="L707" s="65"/>
    </row>
    <row r="708" ht="15.75" customHeight="1">
      <c r="C708" s="65"/>
      <c r="D708" s="65"/>
      <c r="E708" s="65"/>
      <c r="F708" s="65"/>
      <c r="H708" s="65"/>
      <c r="J708" s="65"/>
      <c r="K708" s="65"/>
      <c r="L708" s="65"/>
    </row>
    <row r="709" ht="15.75" customHeight="1">
      <c r="C709" s="65"/>
      <c r="D709" s="65"/>
      <c r="E709" s="65"/>
      <c r="F709" s="65"/>
      <c r="H709" s="65"/>
      <c r="J709" s="65"/>
      <c r="K709" s="65"/>
      <c r="L709" s="65"/>
    </row>
    <row r="710" ht="15.75" customHeight="1">
      <c r="C710" s="65"/>
      <c r="D710" s="65"/>
      <c r="E710" s="65"/>
      <c r="F710" s="65"/>
      <c r="H710" s="65"/>
      <c r="J710" s="65"/>
      <c r="K710" s="65"/>
      <c r="L710" s="65"/>
    </row>
    <row r="711" ht="15.75" customHeight="1">
      <c r="C711" s="65"/>
      <c r="D711" s="65"/>
      <c r="E711" s="65"/>
      <c r="F711" s="65"/>
      <c r="H711" s="65"/>
      <c r="J711" s="65"/>
      <c r="K711" s="65"/>
      <c r="L711" s="65"/>
    </row>
    <row r="712" ht="15.75" customHeight="1">
      <c r="C712" s="65"/>
      <c r="D712" s="65"/>
      <c r="E712" s="65"/>
      <c r="F712" s="65"/>
      <c r="H712" s="65"/>
      <c r="J712" s="65"/>
      <c r="K712" s="65"/>
      <c r="L712" s="65"/>
    </row>
    <row r="713" ht="15.75" customHeight="1">
      <c r="C713" s="65"/>
      <c r="D713" s="65"/>
      <c r="E713" s="65"/>
      <c r="F713" s="65"/>
      <c r="H713" s="65"/>
      <c r="J713" s="65"/>
      <c r="K713" s="65"/>
      <c r="L713" s="65"/>
    </row>
    <row r="714" ht="15.75" customHeight="1">
      <c r="C714" s="65"/>
      <c r="D714" s="65"/>
      <c r="E714" s="65"/>
      <c r="F714" s="65"/>
      <c r="H714" s="65"/>
      <c r="J714" s="65"/>
      <c r="K714" s="65"/>
      <c r="L714" s="65"/>
    </row>
    <row r="715" ht="15.75" customHeight="1">
      <c r="C715" s="65"/>
      <c r="D715" s="65"/>
      <c r="E715" s="65"/>
      <c r="F715" s="65"/>
      <c r="H715" s="65"/>
      <c r="J715" s="65"/>
      <c r="K715" s="65"/>
      <c r="L715" s="65"/>
    </row>
    <row r="716" ht="15.75" customHeight="1">
      <c r="C716" s="65"/>
      <c r="D716" s="65"/>
      <c r="E716" s="65"/>
      <c r="F716" s="65"/>
      <c r="H716" s="65"/>
      <c r="J716" s="65"/>
      <c r="K716" s="65"/>
      <c r="L716" s="65"/>
    </row>
    <row r="717" ht="15.75" customHeight="1">
      <c r="C717" s="65"/>
      <c r="D717" s="65"/>
      <c r="E717" s="65"/>
      <c r="F717" s="65"/>
      <c r="H717" s="65"/>
      <c r="J717" s="65"/>
      <c r="K717" s="65"/>
      <c r="L717" s="65"/>
    </row>
    <row r="718" ht="15.75" customHeight="1">
      <c r="C718" s="65"/>
      <c r="D718" s="65"/>
      <c r="E718" s="65"/>
      <c r="F718" s="65"/>
      <c r="H718" s="65"/>
      <c r="J718" s="65"/>
      <c r="K718" s="65"/>
      <c r="L718" s="65"/>
    </row>
    <row r="719" ht="15.75" customHeight="1">
      <c r="C719" s="65"/>
      <c r="D719" s="65"/>
      <c r="E719" s="65"/>
      <c r="F719" s="65"/>
      <c r="H719" s="65"/>
      <c r="J719" s="65"/>
      <c r="K719" s="65"/>
      <c r="L719" s="65"/>
    </row>
    <row r="720" ht="15.75" customHeight="1">
      <c r="C720" s="65"/>
      <c r="D720" s="65"/>
      <c r="E720" s="65"/>
      <c r="F720" s="65"/>
      <c r="H720" s="65"/>
      <c r="J720" s="65"/>
      <c r="K720" s="65"/>
      <c r="L720" s="65"/>
    </row>
    <row r="721" ht="15.75" customHeight="1">
      <c r="C721" s="65"/>
      <c r="D721" s="65"/>
      <c r="E721" s="65"/>
      <c r="F721" s="65"/>
      <c r="H721" s="65"/>
      <c r="J721" s="65"/>
      <c r="K721" s="65"/>
      <c r="L721" s="65"/>
    </row>
    <row r="722" ht="15.75" customHeight="1">
      <c r="C722" s="65"/>
      <c r="D722" s="65"/>
      <c r="E722" s="65"/>
      <c r="F722" s="65"/>
      <c r="H722" s="65"/>
      <c r="J722" s="65"/>
      <c r="K722" s="65"/>
      <c r="L722" s="65"/>
    </row>
    <row r="723" ht="15.75" customHeight="1">
      <c r="C723" s="65"/>
      <c r="D723" s="65"/>
      <c r="E723" s="65"/>
      <c r="F723" s="65"/>
      <c r="H723" s="65"/>
      <c r="J723" s="65"/>
      <c r="K723" s="65"/>
      <c r="L723" s="65"/>
    </row>
    <row r="724" ht="15.75" customHeight="1">
      <c r="C724" s="65"/>
      <c r="D724" s="65"/>
      <c r="E724" s="65"/>
      <c r="F724" s="65"/>
      <c r="H724" s="65"/>
      <c r="J724" s="65"/>
      <c r="K724" s="65"/>
      <c r="L724" s="65"/>
    </row>
    <row r="725" ht="15.75" customHeight="1">
      <c r="C725" s="65"/>
      <c r="D725" s="65"/>
      <c r="E725" s="65"/>
      <c r="F725" s="65"/>
      <c r="H725" s="65"/>
      <c r="J725" s="65"/>
      <c r="K725" s="65"/>
      <c r="L725" s="65"/>
    </row>
    <row r="726" ht="15.75" customHeight="1">
      <c r="C726" s="65"/>
      <c r="D726" s="65"/>
      <c r="E726" s="65"/>
      <c r="F726" s="65"/>
      <c r="H726" s="65"/>
      <c r="J726" s="65"/>
      <c r="K726" s="65"/>
      <c r="L726" s="65"/>
    </row>
    <row r="727" ht="15.75" customHeight="1">
      <c r="C727" s="65"/>
      <c r="D727" s="65"/>
      <c r="E727" s="65"/>
      <c r="F727" s="65"/>
      <c r="H727" s="65"/>
      <c r="J727" s="65"/>
      <c r="K727" s="65"/>
      <c r="L727" s="65"/>
    </row>
    <row r="728" ht="15.75" customHeight="1">
      <c r="C728" s="65"/>
      <c r="D728" s="65"/>
      <c r="E728" s="65"/>
      <c r="F728" s="65"/>
      <c r="H728" s="65"/>
      <c r="J728" s="65"/>
      <c r="K728" s="65"/>
      <c r="L728" s="65"/>
    </row>
    <row r="729" ht="15.75" customHeight="1">
      <c r="C729" s="65"/>
      <c r="D729" s="65"/>
      <c r="E729" s="65"/>
      <c r="F729" s="65"/>
      <c r="H729" s="65"/>
      <c r="J729" s="65"/>
      <c r="K729" s="65"/>
      <c r="L729" s="65"/>
    </row>
    <row r="730" ht="15.75" customHeight="1">
      <c r="C730" s="65"/>
      <c r="D730" s="65"/>
      <c r="E730" s="65"/>
      <c r="F730" s="65"/>
      <c r="H730" s="65"/>
      <c r="J730" s="65"/>
      <c r="K730" s="65"/>
      <c r="L730" s="65"/>
    </row>
    <row r="731" ht="15.75" customHeight="1">
      <c r="C731" s="65"/>
      <c r="D731" s="65"/>
      <c r="E731" s="65"/>
      <c r="F731" s="65"/>
      <c r="H731" s="65"/>
      <c r="J731" s="65"/>
      <c r="K731" s="65"/>
      <c r="L731" s="65"/>
    </row>
    <row r="732" ht="15.75" customHeight="1">
      <c r="C732" s="65"/>
      <c r="D732" s="65"/>
      <c r="E732" s="65"/>
      <c r="F732" s="65"/>
      <c r="H732" s="65"/>
      <c r="J732" s="65"/>
      <c r="K732" s="65"/>
      <c r="L732" s="65"/>
    </row>
    <row r="733" ht="15.75" customHeight="1">
      <c r="C733" s="65"/>
      <c r="D733" s="65"/>
      <c r="E733" s="65"/>
      <c r="F733" s="65"/>
      <c r="H733" s="65"/>
      <c r="J733" s="65"/>
      <c r="K733" s="65"/>
      <c r="L733" s="65"/>
    </row>
    <row r="734" ht="15.75" customHeight="1">
      <c r="C734" s="65"/>
      <c r="D734" s="65"/>
      <c r="E734" s="65"/>
      <c r="F734" s="65"/>
      <c r="H734" s="65"/>
      <c r="J734" s="65"/>
      <c r="K734" s="65"/>
      <c r="L734" s="65"/>
    </row>
    <row r="735" ht="15.75" customHeight="1">
      <c r="C735" s="65"/>
      <c r="D735" s="65"/>
      <c r="E735" s="65"/>
      <c r="F735" s="65"/>
      <c r="H735" s="65"/>
      <c r="J735" s="65"/>
      <c r="K735" s="65"/>
      <c r="L735" s="65"/>
    </row>
    <row r="736" ht="15.75" customHeight="1">
      <c r="C736" s="65"/>
      <c r="D736" s="65"/>
      <c r="E736" s="65"/>
      <c r="F736" s="65"/>
      <c r="H736" s="65"/>
      <c r="J736" s="65"/>
      <c r="K736" s="65"/>
      <c r="L736" s="65"/>
    </row>
    <row r="737" ht="15.75" customHeight="1">
      <c r="C737" s="65"/>
      <c r="D737" s="65"/>
      <c r="E737" s="65"/>
      <c r="F737" s="65"/>
      <c r="H737" s="65"/>
      <c r="J737" s="65"/>
      <c r="K737" s="65"/>
      <c r="L737" s="65"/>
    </row>
    <row r="738" ht="15.75" customHeight="1">
      <c r="C738" s="65"/>
      <c r="D738" s="65"/>
      <c r="E738" s="65"/>
      <c r="F738" s="65"/>
      <c r="H738" s="65"/>
      <c r="J738" s="65"/>
      <c r="K738" s="65"/>
      <c r="L738" s="65"/>
    </row>
    <row r="739" ht="15.75" customHeight="1">
      <c r="C739" s="65"/>
      <c r="D739" s="65"/>
      <c r="E739" s="65"/>
      <c r="F739" s="65"/>
      <c r="H739" s="65"/>
      <c r="J739" s="65"/>
      <c r="K739" s="65"/>
      <c r="L739" s="65"/>
    </row>
    <row r="740" ht="15.75" customHeight="1">
      <c r="C740" s="65"/>
      <c r="D740" s="65"/>
      <c r="E740" s="65"/>
      <c r="F740" s="65"/>
      <c r="H740" s="65"/>
      <c r="J740" s="65"/>
      <c r="K740" s="65"/>
      <c r="L740" s="65"/>
    </row>
    <row r="741" ht="15.75" customHeight="1">
      <c r="C741" s="65"/>
      <c r="D741" s="65"/>
      <c r="E741" s="65"/>
      <c r="F741" s="65"/>
      <c r="H741" s="65"/>
      <c r="J741" s="65"/>
      <c r="K741" s="65"/>
      <c r="L741" s="65"/>
    </row>
    <row r="742" ht="15.75" customHeight="1">
      <c r="C742" s="65"/>
      <c r="D742" s="65"/>
      <c r="E742" s="65"/>
      <c r="F742" s="65"/>
      <c r="H742" s="65"/>
      <c r="J742" s="65"/>
      <c r="K742" s="65"/>
      <c r="L742" s="65"/>
    </row>
    <row r="743" ht="15.75" customHeight="1">
      <c r="C743" s="65"/>
      <c r="D743" s="65"/>
      <c r="E743" s="65"/>
      <c r="F743" s="65"/>
      <c r="H743" s="65"/>
      <c r="J743" s="65"/>
      <c r="K743" s="65"/>
      <c r="L743" s="65"/>
    </row>
    <row r="744" ht="15.75" customHeight="1">
      <c r="C744" s="65"/>
      <c r="D744" s="65"/>
      <c r="E744" s="65"/>
      <c r="F744" s="65"/>
      <c r="H744" s="65"/>
      <c r="J744" s="65"/>
      <c r="K744" s="65"/>
      <c r="L744" s="65"/>
    </row>
    <row r="745" ht="15.75" customHeight="1">
      <c r="C745" s="65"/>
      <c r="D745" s="65"/>
      <c r="E745" s="65"/>
      <c r="F745" s="65"/>
      <c r="H745" s="65"/>
      <c r="J745" s="65"/>
      <c r="K745" s="65"/>
      <c r="L745" s="65"/>
    </row>
    <row r="746" ht="15.75" customHeight="1">
      <c r="C746" s="65"/>
      <c r="D746" s="65"/>
      <c r="E746" s="65"/>
      <c r="F746" s="65"/>
      <c r="H746" s="65"/>
      <c r="J746" s="65"/>
      <c r="K746" s="65"/>
      <c r="L746" s="65"/>
    </row>
    <row r="747" ht="15.75" customHeight="1">
      <c r="C747" s="65"/>
      <c r="D747" s="65"/>
      <c r="E747" s="65"/>
      <c r="F747" s="65"/>
      <c r="H747" s="65"/>
      <c r="J747" s="65"/>
      <c r="K747" s="65"/>
      <c r="L747" s="65"/>
    </row>
    <row r="748" ht="15.75" customHeight="1">
      <c r="C748" s="65"/>
      <c r="D748" s="65"/>
      <c r="E748" s="65"/>
      <c r="F748" s="65"/>
      <c r="H748" s="65"/>
      <c r="J748" s="65"/>
      <c r="K748" s="65"/>
      <c r="L748" s="65"/>
    </row>
    <row r="749" ht="15.75" customHeight="1">
      <c r="C749" s="65"/>
      <c r="D749" s="65"/>
      <c r="E749" s="65"/>
      <c r="F749" s="65"/>
      <c r="H749" s="65"/>
      <c r="J749" s="65"/>
      <c r="K749" s="65"/>
      <c r="L749" s="65"/>
    </row>
    <row r="750" ht="15.75" customHeight="1">
      <c r="C750" s="65"/>
      <c r="D750" s="65"/>
      <c r="E750" s="65"/>
      <c r="F750" s="65"/>
      <c r="H750" s="65"/>
      <c r="J750" s="65"/>
      <c r="K750" s="65"/>
      <c r="L750" s="65"/>
    </row>
    <row r="751" ht="15.75" customHeight="1">
      <c r="C751" s="65"/>
      <c r="D751" s="65"/>
      <c r="E751" s="65"/>
      <c r="F751" s="65"/>
      <c r="H751" s="65"/>
      <c r="J751" s="65"/>
      <c r="K751" s="65"/>
      <c r="L751" s="65"/>
    </row>
    <row r="752" ht="15.75" customHeight="1">
      <c r="C752" s="65"/>
      <c r="D752" s="65"/>
      <c r="E752" s="65"/>
      <c r="F752" s="65"/>
      <c r="H752" s="65"/>
      <c r="J752" s="65"/>
      <c r="K752" s="65"/>
      <c r="L752" s="65"/>
    </row>
    <row r="753" ht="15.75" customHeight="1">
      <c r="C753" s="65"/>
      <c r="D753" s="65"/>
      <c r="E753" s="65"/>
      <c r="F753" s="65"/>
      <c r="H753" s="65"/>
      <c r="J753" s="65"/>
      <c r="K753" s="65"/>
      <c r="L753" s="65"/>
    </row>
    <row r="754" ht="15.75" customHeight="1">
      <c r="C754" s="65"/>
      <c r="D754" s="65"/>
      <c r="E754" s="65"/>
      <c r="F754" s="65"/>
      <c r="H754" s="65"/>
      <c r="J754" s="65"/>
      <c r="K754" s="65"/>
      <c r="L754" s="65"/>
    </row>
    <row r="755" ht="15.75" customHeight="1">
      <c r="C755" s="65"/>
      <c r="D755" s="65"/>
      <c r="E755" s="65"/>
      <c r="F755" s="65"/>
      <c r="H755" s="65"/>
      <c r="J755" s="65"/>
      <c r="K755" s="65"/>
      <c r="L755" s="65"/>
    </row>
    <row r="756" ht="15.75" customHeight="1">
      <c r="C756" s="65"/>
      <c r="D756" s="65"/>
      <c r="E756" s="65"/>
      <c r="F756" s="65"/>
      <c r="H756" s="65"/>
      <c r="J756" s="65"/>
      <c r="K756" s="65"/>
      <c r="L756" s="65"/>
    </row>
    <row r="757" ht="15.75" customHeight="1">
      <c r="C757" s="65"/>
      <c r="D757" s="65"/>
      <c r="E757" s="65"/>
      <c r="F757" s="65"/>
      <c r="H757" s="65"/>
      <c r="J757" s="65"/>
      <c r="K757" s="65"/>
      <c r="L757" s="65"/>
    </row>
    <row r="758" ht="15.75" customHeight="1">
      <c r="C758" s="65"/>
      <c r="D758" s="65"/>
      <c r="E758" s="65"/>
      <c r="F758" s="65"/>
      <c r="H758" s="65"/>
      <c r="J758" s="65"/>
      <c r="K758" s="65"/>
      <c r="L758" s="65"/>
    </row>
    <row r="759" ht="15.75" customHeight="1">
      <c r="C759" s="65"/>
      <c r="D759" s="65"/>
      <c r="E759" s="65"/>
      <c r="F759" s="65"/>
      <c r="H759" s="65"/>
      <c r="J759" s="65"/>
      <c r="K759" s="65"/>
      <c r="L759" s="65"/>
    </row>
    <row r="760" ht="15.75" customHeight="1">
      <c r="C760" s="65"/>
      <c r="D760" s="65"/>
      <c r="E760" s="65"/>
      <c r="F760" s="65"/>
      <c r="H760" s="65"/>
      <c r="J760" s="65"/>
      <c r="K760" s="65"/>
      <c r="L760" s="65"/>
    </row>
    <row r="761" ht="15.75" customHeight="1">
      <c r="C761" s="65"/>
      <c r="D761" s="65"/>
      <c r="E761" s="65"/>
      <c r="F761" s="65"/>
      <c r="H761" s="65"/>
      <c r="J761" s="65"/>
      <c r="K761" s="65"/>
      <c r="L761" s="65"/>
    </row>
    <row r="762" ht="15.75" customHeight="1">
      <c r="C762" s="65"/>
      <c r="D762" s="65"/>
      <c r="E762" s="65"/>
      <c r="F762" s="65"/>
      <c r="H762" s="65"/>
      <c r="J762" s="65"/>
      <c r="K762" s="65"/>
      <c r="L762" s="65"/>
    </row>
    <row r="763" ht="15.75" customHeight="1">
      <c r="C763" s="65"/>
      <c r="D763" s="65"/>
      <c r="E763" s="65"/>
      <c r="F763" s="65"/>
      <c r="H763" s="65"/>
      <c r="J763" s="65"/>
      <c r="K763" s="65"/>
      <c r="L763" s="65"/>
    </row>
    <row r="764" ht="15.75" customHeight="1">
      <c r="C764" s="65"/>
      <c r="D764" s="65"/>
      <c r="E764" s="65"/>
      <c r="F764" s="65"/>
      <c r="H764" s="65"/>
      <c r="J764" s="65"/>
      <c r="K764" s="65"/>
      <c r="L764" s="65"/>
    </row>
    <row r="765" ht="15.75" customHeight="1">
      <c r="C765" s="65"/>
      <c r="D765" s="65"/>
      <c r="E765" s="65"/>
      <c r="F765" s="65"/>
      <c r="H765" s="65"/>
      <c r="J765" s="65"/>
      <c r="K765" s="65"/>
      <c r="L765" s="65"/>
    </row>
    <row r="766" ht="15.75" customHeight="1">
      <c r="C766" s="65"/>
      <c r="D766" s="65"/>
      <c r="E766" s="65"/>
      <c r="F766" s="65"/>
      <c r="H766" s="65"/>
      <c r="J766" s="65"/>
      <c r="K766" s="65"/>
      <c r="L766" s="65"/>
    </row>
    <row r="767" ht="15.75" customHeight="1">
      <c r="C767" s="65"/>
      <c r="D767" s="65"/>
      <c r="E767" s="65"/>
      <c r="F767" s="65"/>
      <c r="H767" s="65"/>
      <c r="J767" s="65"/>
      <c r="K767" s="65"/>
      <c r="L767" s="65"/>
    </row>
    <row r="768" ht="15.75" customHeight="1">
      <c r="C768" s="65"/>
      <c r="D768" s="65"/>
      <c r="E768" s="65"/>
      <c r="F768" s="65"/>
      <c r="H768" s="65"/>
      <c r="J768" s="65"/>
      <c r="K768" s="65"/>
      <c r="L768" s="65"/>
    </row>
    <row r="769" ht="15.75" customHeight="1">
      <c r="C769" s="65"/>
      <c r="D769" s="65"/>
      <c r="E769" s="65"/>
      <c r="F769" s="65"/>
      <c r="H769" s="65"/>
      <c r="J769" s="65"/>
      <c r="K769" s="65"/>
      <c r="L769" s="65"/>
    </row>
    <row r="770" ht="15.75" customHeight="1">
      <c r="C770" s="65"/>
      <c r="D770" s="65"/>
      <c r="E770" s="65"/>
      <c r="F770" s="65"/>
      <c r="H770" s="65"/>
      <c r="J770" s="65"/>
      <c r="K770" s="65"/>
      <c r="L770" s="65"/>
    </row>
    <row r="771" ht="15.75" customHeight="1">
      <c r="C771" s="65"/>
      <c r="D771" s="65"/>
      <c r="E771" s="65"/>
      <c r="F771" s="65"/>
      <c r="H771" s="65"/>
      <c r="J771" s="65"/>
      <c r="K771" s="65"/>
      <c r="L771" s="65"/>
    </row>
    <row r="772" ht="15.75" customHeight="1">
      <c r="C772" s="65"/>
      <c r="D772" s="65"/>
      <c r="E772" s="65"/>
      <c r="F772" s="65"/>
      <c r="H772" s="65"/>
      <c r="J772" s="65"/>
      <c r="K772" s="65"/>
      <c r="L772" s="65"/>
    </row>
    <row r="773" ht="15.75" customHeight="1">
      <c r="C773" s="65"/>
      <c r="D773" s="65"/>
      <c r="E773" s="65"/>
      <c r="F773" s="65"/>
      <c r="H773" s="65"/>
      <c r="J773" s="65"/>
      <c r="K773" s="65"/>
      <c r="L773" s="65"/>
    </row>
    <row r="774" ht="15.75" customHeight="1">
      <c r="C774" s="65"/>
      <c r="D774" s="65"/>
      <c r="E774" s="65"/>
      <c r="F774" s="65"/>
      <c r="H774" s="65"/>
      <c r="J774" s="65"/>
      <c r="K774" s="65"/>
      <c r="L774" s="65"/>
    </row>
    <row r="775" ht="15.75" customHeight="1">
      <c r="C775" s="65"/>
      <c r="D775" s="65"/>
      <c r="E775" s="65"/>
      <c r="F775" s="65"/>
      <c r="H775" s="65"/>
      <c r="J775" s="65"/>
      <c r="K775" s="65"/>
      <c r="L775" s="65"/>
    </row>
    <row r="776" ht="15.75" customHeight="1">
      <c r="C776" s="65"/>
      <c r="D776" s="65"/>
      <c r="E776" s="65"/>
      <c r="F776" s="65"/>
      <c r="H776" s="65"/>
      <c r="J776" s="65"/>
      <c r="K776" s="65"/>
      <c r="L776" s="65"/>
    </row>
    <row r="777" ht="15.75" customHeight="1">
      <c r="C777" s="65"/>
      <c r="D777" s="65"/>
      <c r="E777" s="65"/>
      <c r="F777" s="65"/>
      <c r="H777" s="65"/>
      <c r="J777" s="65"/>
      <c r="K777" s="65"/>
      <c r="L777" s="65"/>
    </row>
    <row r="778" ht="15.75" customHeight="1">
      <c r="C778" s="65"/>
      <c r="D778" s="65"/>
      <c r="E778" s="65"/>
      <c r="F778" s="65"/>
      <c r="H778" s="65"/>
      <c r="J778" s="65"/>
      <c r="K778" s="65"/>
      <c r="L778" s="65"/>
    </row>
    <row r="779" ht="15.75" customHeight="1">
      <c r="C779" s="65"/>
      <c r="D779" s="65"/>
      <c r="E779" s="65"/>
      <c r="F779" s="65"/>
      <c r="H779" s="65"/>
      <c r="J779" s="65"/>
      <c r="K779" s="65"/>
      <c r="L779" s="65"/>
    </row>
    <row r="780" ht="15.75" customHeight="1">
      <c r="C780" s="65"/>
      <c r="D780" s="65"/>
      <c r="E780" s="65"/>
      <c r="F780" s="65"/>
      <c r="H780" s="65"/>
      <c r="J780" s="65"/>
      <c r="K780" s="65"/>
      <c r="L780" s="65"/>
    </row>
    <row r="781" ht="15.75" customHeight="1">
      <c r="C781" s="65"/>
      <c r="D781" s="65"/>
      <c r="E781" s="65"/>
      <c r="F781" s="65"/>
      <c r="H781" s="65"/>
      <c r="J781" s="65"/>
      <c r="K781" s="65"/>
      <c r="L781" s="65"/>
    </row>
    <row r="782" ht="15.75" customHeight="1">
      <c r="C782" s="65"/>
      <c r="D782" s="65"/>
      <c r="E782" s="65"/>
      <c r="F782" s="65"/>
      <c r="H782" s="65"/>
      <c r="J782" s="65"/>
      <c r="K782" s="65"/>
      <c r="L782" s="65"/>
    </row>
    <row r="783" ht="15.75" customHeight="1">
      <c r="C783" s="65"/>
      <c r="D783" s="65"/>
      <c r="E783" s="65"/>
      <c r="F783" s="65"/>
      <c r="H783" s="65"/>
      <c r="J783" s="65"/>
      <c r="K783" s="65"/>
      <c r="L783" s="65"/>
    </row>
    <row r="784" ht="15.75" customHeight="1">
      <c r="C784" s="65"/>
      <c r="D784" s="65"/>
      <c r="E784" s="65"/>
      <c r="F784" s="65"/>
      <c r="H784" s="65"/>
      <c r="J784" s="65"/>
      <c r="K784" s="65"/>
      <c r="L784" s="65"/>
    </row>
    <row r="785" ht="15.75" customHeight="1">
      <c r="C785" s="65"/>
      <c r="D785" s="65"/>
      <c r="E785" s="65"/>
      <c r="F785" s="65"/>
      <c r="H785" s="65"/>
      <c r="J785" s="65"/>
      <c r="K785" s="65"/>
      <c r="L785" s="65"/>
    </row>
    <row r="786" ht="15.75" customHeight="1">
      <c r="C786" s="65"/>
      <c r="D786" s="65"/>
      <c r="E786" s="65"/>
      <c r="F786" s="65"/>
      <c r="H786" s="65"/>
      <c r="J786" s="65"/>
      <c r="K786" s="65"/>
      <c r="L786" s="65"/>
    </row>
    <row r="787" ht="15.75" customHeight="1">
      <c r="C787" s="65"/>
      <c r="D787" s="65"/>
      <c r="E787" s="65"/>
      <c r="F787" s="65"/>
      <c r="H787" s="65"/>
      <c r="J787" s="65"/>
      <c r="K787" s="65"/>
      <c r="L787" s="65"/>
    </row>
    <row r="788" ht="15.75" customHeight="1">
      <c r="C788" s="65"/>
      <c r="D788" s="65"/>
      <c r="E788" s="65"/>
      <c r="F788" s="65"/>
      <c r="H788" s="65"/>
      <c r="J788" s="65"/>
      <c r="K788" s="65"/>
      <c r="L788" s="65"/>
    </row>
    <row r="789" ht="15.75" customHeight="1">
      <c r="C789" s="65"/>
      <c r="D789" s="65"/>
      <c r="E789" s="65"/>
      <c r="F789" s="65"/>
      <c r="H789" s="65"/>
      <c r="J789" s="65"/>
      <c r="K789" s="65"/>
      <c r="L789" s="65"/>
    </row>
    <row r="790" ht="15.75" customHeight="1">
      <c r="C790" s="65"/>
      <c r="D790" s="65"/>
      <c r="E790" s="65"/>
      <c r="F790" s="65"/>
      <c r="H790" s="65"/>
      <c r="J790" s="65"/>
      <c r="K790" s="65"/>
      <c r="L790" s="65"/>
    </row>
    <row r="791" ht="15.75" customHeight="1">
      <c r="C791" s="65"/>
      <c r="D791" s="65"/>
      <c r="E791" s="65"/>
      <c r="F791" s="65"/>
      <c r="H791" s="65"/>
      <c r="J791" s="65"/>
      <c r="K791" s="65"/>
      <c r="L791" s="65"/>
    </row>
    <row r="792" ht="15.75" customHeight="1">
      <c r="C792" s="65"/>
      <c r="D792" s="65"/>
      <c r="E792" s="65"/>
      <c r="F792" s="65"/>
      <c r="H792" s="65"/>
      <c r="J792" s="65"/>
      <c r="K792" s="65"/>
      <c r="L792" s="65"/>
    </row>
    <row r="793" ht="15.75" customHeight="1">
      <c r="C793" s="65"/>
      <c r="D793" s="65"/>
      <c r="E793" s="65"/>
      <c r="F793" s="65"/>
      <c r="H793" s="65"/>
      <c r="J793" s="65"/>
      <c r="K793" s="65"/>
      <c r="L793" s="65"/>
    </row>
    <row r="794" ht="15.75" customHeight="1">
      <c r="C794" s="65"/>
      <c r="D794" s="65"/>
      <c r="E794" s="65"/>
      <c r="F794" s="65"/>
      <c r="H794" s="65"/>
      <c r="J794" s="65"/>
      <c r="K794" s="65"/>
      <c r="L794" s="65"/>
    </row>
    <row r="795" ht="15.75" customHeight="1">
      <c r="C795" s="65"/>
      <c r="D795" s="65"/>
      <c r="E795" s="65"/>
      <c r="F795" s="65"/>
      <c r="H795" s="65"/>
      <c r="J795" s="65"/>
      <c r="K795" s="65"/>
      <c r="L795" s="65"/>
    </row>
    <row r="796" ht="15.75" customHeight="1">
      <c r="C796" s="65"/>
      <c r="D796" s="65"/>
      <c r="E796" s="65"/>
      <c r="F796" s="65"/>
      <c r="H796" s="65"/>
      <c r="J796" s="65"/>
      <c r="K796" s="65"/>
      <c r="L796" s="65"/>
    </row>
    <row r="797" ht="15.75" customHeight="1">
      <c r="C797" s="65"/>
      <c r="D797" s="65"/>
      <c r="E797" s="65"/>
      <c r="F797" s="65"/>
      <c r="H797" s="65"/>
      <c r="J797" s="65"/>
      <c r="K797" s="65"/>
      <c r="L797" s="65"/>
    </row>
    <row r="798" ht="15.75" customHeight="1">
      <c r="C798" s="65"/>
      <c r="D798" s="65"/>
      <c r="E798" s="65"/>
      <c r="F798" s="65"/>
      <c r="H798" s="65"/>
      <c r="J798" s="65"/>
      <c r="K798" s="65"/>
      <c r="L798" s="65"/>
    </row>
    <row r="799" ht="15.75" customHeight="1">
      <c r="C799" s="65"/>
      <c r="D799" s="65"/>
      <c r="E799" s="65"/>
      <c r="F799" s="65"/>
      <c r="H799" s="65"/>
      <c r="J799" s="65"/>
      <c r="K799" s="65"/>
      <c r="L799" s="65"/>
    </row>
    <row r="800" ht="15.75" customHeight="1">
      <c r="C800" s="65"/>
      <c r="D800" s="65"/>
      <c r="E800" s="65"/>
      <c r="F800" s="65"/>
      <c r="H800" s="65"/>
      <c r="J800" s="65"/>
      <c r="K800" s="65"/>
      <c r="L800" s="65"/>
    </row>
    <row r="801" ht="15.75" customHeight="1">
      <c r="C801" s="65"/>
      <c r="D801" s="65"/>
      <c r="E801" s="65"/>
      <c r="F801" s="65"/>
      <c r="H801" s="65"/>
      <c r="J801" s="65"/>
      <c r="K801" s="65"/>
      <c r="L801" s="65"/>
    </row>
    <row r="802" ht="15.75" customHeight="1">
      <c r="C802" s="65"/>
      <c r="D802" s="65"/>
      <c r="E802" s="65"/>
      <c r="F802" s="65"/>
      <c r="H802" s="65"/>
      <c r="J802" s="65"/>
      <c r="K802" s="65"/>
      <c r="L802" s="65"/>
    </row>
    <row r="803" ht="15.75" customHeight="1">
      <c r="C803" s="65"/>
      <c r="D803" s="65"/>
      <c r="E803" s="65"/>
      <c r="F803" s="65"/>
      <c r="H803" s="65"/>
      <c r="J803" s="65"/>
      <c r="K803" s="65"/>
      <c r="L803" s="65"/>
    </row>
    <row r="804" ht="15.75" customHeight="1">
      <c r="C804" s="65"/>
      <c r="D804" s="65"/>
      <c r="E804" s="65"/>
      <c r="F804" s="65"/>
      <c r="H804" s="65"/>
      <c r="J804" s="65"/>
      <c r="K804" s="65"/>
      <c r="L804" s="65"/>
    </row>
    <row r="805" ht="15.75" customHeight="1">
      <c r="C805" s="65"/>
      <c r="D805" s="65"/>
      <c r="E805" s="65"/>
      <c r="F805" s="65"/>
      <c r="H805" s="65"/>
      <c r="J805" s="65"/>
      <c r="K805" s="65"/>
      <c r="L805" s="65"/>
    </row>
    <row r="806" ht="15.75" customHeight="1">
      <c r="C806" s="65"/>
      <c r="D806" s="65"/>
      <c r="E806" s="65"/>
      <c r="F806" s="65"/>
      <c r="H806" s="65"/>
      <c r="J806" s="65"/>
      <c r="K806" s="65"/>
      <c r="L806" s="65"/>
    </row>
    <row r="807" ht="15.75" customHeight="1">
      <c r="C807" s="65"/>
      <c r="D807" s="65"/>
      <c r="E807" s="65"/>
      <c r="F807" s="65"/>
      <c r="H807" s="65"/>
      <c r="J807" s="65"/>
      <c r="K807" s="65"/>
      <c r="L807" s="65"/>
    </row>
    <row r="808" ht="15.75" customHeight="1">
      <c r="C808" s="65"/>
      <c r="D808" s="65"/>
      <c r="E808" s="65"/>
      <c r="F808" s="65"/>
      <c r="H808" s="65"/>
      <c r="J808" s="65"/>
      <c r="K808" s="65"/>
      <c r="L808" s="65"/>
    </row>
    <row r="809" ht="15.75" customHeight="1">
      <c r="C809" s="65"/>
      <c r="D809" s="65"/>
      <c r="E809" s="65"/>
      <c r="F809" s="65"/>
      <c r="H809" s="65"/>
      <c r="J809" s="65"/>
      <c r="K809" s="65"/>
      <c r="L809" s="65"/>
    </row>
    <row r="810" ht="15.75" customHeight="1">
      <c r="C810" s="65"/>
      <c r="D810" s="65"/>
      <c r="E810" s="65"/>
      <c r="F810" s="65"/>
      <c r="H810" s="65"/>
      <c r="J810" s="65"/>
      <c r="K810" s="65"/>
      <c r="L810" s="65"/>
    </row>
    <row r="811" ht="15.75" customHeight="1">
      <c r="C811" s="65"/>
      <c r="D811" s="65"/>
      <c r="E811" s="65"/>
      <c r="F811" s="65"/>
      <c r="H811" s="65"/>
      <c r="J811" s="65"/>
      <c r="K811" s="65"/>
      <c r="L811" s="65"/>
    </row>
    <row r="812" ht="15.75" customHeight="1">
      <c r="C812" s="65"/>
      <c r="D812" s="65"/>
      <c r="E812" s="65"/>
      <c r="F812" s="65"/>
      <c r="H812" s="65"/>
      <c r="J812" s="65"/>
      <c r="K812" s="65"/>
      <c r="L812" s="65"/>
    </row>
    <row r="813" ht="15.75" customHeight="1">
      <c r="C813" s="65"/>
      <c r="D813" s="65"/>
      <c r="E813" s="65"/>
      <c r="F813" s="65"/>
      <c r="H813" s="65"/>
      <c r="J813" s="65"/>
      <c r="K813" s="65"/>
      <c r="L813" s="65"/>
    </row>
    <row r="814" ht="15.75" customHeight="1">
      <c r="C814" s="65"/>
      <c r="D814" s="65"/>
      <c r="E814" s="65"/>
      <c r="F814" s="65"/>
      <c r="H814" s="65"/>
      <c r="J814" s="65"/>
      <c r="K814" s="65"/>
      <c r="L814" s="65"/>
    </row>
    <row r="815" ht="15.75" customHeight="1">
      <c r="C815" s="65"/>
      <c r="D815" s="65"/>
      <c r="E815" s="65"/>
      <c r="F815" s="65"/>
      <c r="H815" s="65"/>
      <c r="J815" s="65"/>
      <c r="K815" s="65"/>
      <c r="L815" s="65"/>
    </row>
    <row r="816" ht="15.75" customHeight="1">
      <c r="C816" s="65"/>
      <c r="D816" s="65"/>
      <c r="E816" s="65"/>
      <c r="F816" s="65"/>
      <c r="H816" s="65"/>
      <c r="J816" s="65"/>
      <c r="K816" s="65"/>
      <c r="L816" s="65"/>
    </row>
    <row r="817" ht="15.75" customHeight="1">
      <c r="C817" s="65"/>
      <c r="D817" s="65"/>
      <c r="E817" s="65"/>
      <c r="F817" s="65"/>
      <c r="H817" s="65"/>
      <c r="J817" s="65"/>
      <c r="K817" s="65"/>
      <c r="L817" s="65"/>
    </row>
    <row r="818" ht="15.75" customHeight="1">
      <c r="C818" s="65"/>
      <c r="D818" s="65"/>
      <c r="E818" s="65"/>
      <c r="F818" s="65"/>
      <c r="H818" s="65"/>
      <c r="J818" s="65"/>
      <c r="K818" s="65"/>
      <c r="L818" s="65"/>
    </row>
    <row r="819" ht="15.75" customHeight="1">
      <c r="C819" s="65"/>
      <c r="D819" s="65"/>
      <c r="E819" s="65"/>
      <c r="F819" s="65"/>
      <c r="H819" s="65"/>
      <c r="J819" s="65"/>
      <c r="K819" s="65"/>
      <c r="L819" s="65"/>
    </row>
    <row r="820" ht="15.75" customHeight="1">
      <c r="C820" s="65"/>
      <c r="D820" s="65"/>
      <c r="E820" s="65"/>
      <c r="F820" s="65"/>
      <c r="H820" s="65"/>
      <c r="J820" s="65"/>
      <c r="K820" s="65"/>
      <c r="L820" s="65"/>
    </row>
    <row r="821" ht="15.75" customHeight="1">
      <c r="C821" s="65"/>
      <c r="D821" s="65"/>
      <c r="E821" s="65"/>
      <c r="F821" s="65"/>
      <c r="H821" s="65"/>
      <c r="J821" s="65"/>
      <c r="K821" s="65"/>
      <c r="L821" s="65"/>
    </row>
    <row r="822" ht="15.75" customHeight="1">
      <c r="C822" s="65"/>
      <c r="D822" s="65"/>
      <c r="E822" s="65"/>
      <c r="F822" s="65"/>
      <c r="H822" s="65"/>
      <c r="J822" s="65"/>
      <c r="K822" s="65"/>
      <c r="L822" s="65"/>
    </row>
    <row r="823" ht="15.75" customHeight="1">
      <c r="C823" s="65"/>
      <c r="D823" s="65"/>
      <c r="E823" s="65"/>
      <c r="F823" s="65"/>
      <c r="H823" s="65"/>
      <c r="J823" s="65"/>
      <c r="K823" s="65"/>
      <c r="L823" s="65"/>
    </row>
    <row r="824" ht="15.75" customHeight="1">
      <c r="C824" s="65"/>
      <c r="D824" s="65"/>
      <c r="E824" s="65"/>
      <c r="F824" s="65"/>
      <c r="H824" s="65"/>
      <c r="J824" s="65"/>
      <c r="K824" s="65"/>
      <c r="L824" s="65"/>
    </row>
    <row r="825" ht="15.75" customHeight="1">
      <c r="C825" s="65"/>
      <c r="D825" s="65"/>
      <c r="E825" s="65"/>
      <c r="F825" s="65"/>
      <c r="H825" s="65"/>
      <c r="J825" s="65"/>
      <c r="K825" s="65"/>
      <c r="L825" s="65"/>
    </row>
    <row r="826" ht="15.75" customHeight="1">
      <c r="C826" s="65"/>
      <c r="D826" s="65"/>
      <c r="E826" s="65"/>
      <c r="F826" s="65"/>
      <c r="H826" s="65"/>
      <c r="J826" s="65"/>
      <c r="K826" s="65"/>
      <c r="L826" s="65"/>
    </row>
    <row r="827" ht="15.75" customHeight="1">
      <c r="C827" s="65"/>
      <c r="D827" s="65"/>
      <c r="E827" s="65"/>
      <c r="F827" s="65"/>
      <c r="H827" s="65"/>
      <c r="J827" s="65"/>
      <c r="K827" s="65"/>
      <c r="L827" s="65"/>
    </row>
    <row r="828" ht="15.75" customHeight="1">
      <c r="C828" s="65"/>
      <c r="D828" s="65"/>
      <c r="E828" s="65"/>
      <c r="F828" s="65"/>
      <c r="H828" s="65"/>
      <c r="J828" s="65"/>
      <c r="K828" s="65"/>
      <c r="L828" s="65"/>
    </row>
    <row r="829" ht="15.75" customHeight="1">
      <c r="C829" s="65"/>
      <c r="D829" s="65"/>
      <c r="E829" s="65"/>
      <c r="F829" s="65"/>
      <c r="H829" s="65"/>
      <c r="J829" s="65"/>
      <c r="K829" s="65"/>
      <c r="L829" s="65"/>
    </row>
    <row r="830" ht="15.75" customHeight="1">
      <c r="C830" s="65"/>
      <c r="D830" s="65"/>
      <c r="E830" s="65"/>
      <c r="F830" s="65"/>
      <c r="H830" s="65"/>
      <c r="J830" s="65"/>
      <c r="K830" s="65"/>
      <c r="L830" s="65"/>
    </row>
    <row r="831" ht="15.75" customHeight="1">
      <c r="C831" s="65"/>
      <c r="D831" s="65"/>
      <c r="E831" s="65"/>
      <c r="F831" s="65"/>
      <c r="H831" s="65"/>
      <c r="J831" s="65"/>
      <c r="K831" s="65"/>
      <c r="L831" s="65"/>
    </row>
    <row r="832" ht="15.75" customHeight="1">
      <c r="C832" s="65"/>
      <c r="D832" s="65"/>
      <c r="E832" s="65"/>
      <c r="F832" s="65"/>
      <c r="H832" s="65"/>
      <c r="J832" s="65"/>
      <c r="K832" s="65"/>
      <c r="L832" s="65"/>
    </row>
    <row r="833" ht="15.75" customHeight="1">
      <c r="C833" s="65"/>
      <c r="D833" s="65"/>
      <c r="E833" s="65"/>
      <c r="F833" s="65"/>
      <c r="H833" s="65"/>
      <c r="J833" s="65"/>
      <c r="K833" s="65"/>
      <c r="L833" s="65"/>
    </row>
    <row r="834" ht="15.75" customHeight="1">
      <c r="C834" s="65"/>
      <c r="D834" s="65"/>
      <c r="E834" s="65"/>
      <c r="F834" s="65"/>
      <c r="H834" s="65"/>
      <c r="J834" s="65"/>
      <c r="K834" s="65"/>
      <c r="L834" s="65"/>
    </row>
    <row r="835" ht="15.75" customHeight="1">
      <c r="C835" s="65"/>
      <c r="D835" s="65"/>
      <c r="E835" s="65"/>
      <c r="F835" s="65"/>
      <c r="H835" s="65"/>
      <c r="J835" s="65"/>
      <c r="K835" s="65"/>
      <c r="L835" s="65"/>
    </row>
    <row r="836" ht="15.75" customHeight="1">
      <c r="C836" s="65"/>
      <c r="D836" s="65"/>
      <c r="E836" s="65"/>
      <c r="F836" s="65"/>
      <c r="H836" s="65"/>
      <c r="J836" s="65"/>
      <c r="K836" s="65"/>
      <c r="L836" s="65"/>
    </row>
    <row r="837" ht="15.75" customHeight="1">
      <c r="C837" s="65"/>
      <c r="D837" s="65"/>
      <c r="E837" s="65"/>
      <c r="F837" s="65"/>
      <c r="H837" s="65"/>
      <c r="J837" s="65"/>
      <c r="K837" s="65"/>
      <c r="L837" s="65"/>
    </row>
    <row r="838" ht="15.75" customHeight="1">
      <c r="C838" s="65"/>
      <c r="D838" s="65"/>
      <c r="E838" s="65"/>
      <c r="F838" s="65"/>
      <c r="H838" s="65"/>
      <c r="J838" s="65"/>
      <c r="K838" s="65"/>
      <c r="L838" s="65"/>
    </row>
    <row r="839" ht="15.75" customHeight="1">
      <c r="C839" s="65"/>
      <c r="D839" s="65"/>
      <c r="E839" s="65"/>
      <c r="F839" s="65"/>
      <c r="H839" s="65"/>
      <c r="J839" s="65"/>
      <c r="K839" s="65"/>
      <c r="L839" s="65"/>
    </row>
    <row r="840" ht="15.75" customHeight="1">
      <c r="C840" s="65"/>
      <c r="D840" s="65"/>
      <c r="E840" s="65"/>
      <c r="F840" s="65"/>
      <c r="H840" s="65"/>
      <c r="J840" s="65"/>
      <c r="K840" s="65"/>
      <c r="L840" s="65"/>
    </row>
    <row r="841" ht="15.75" customHeight="1">
      <c r="C841" s="65"/>
      <c r="D841" s="65"/>
      <c r="E841" s="65"/>
      <c r="F841" s="65"/>
      <c r="H841" s="65"/>
      <c r="J841" s="65"/>
      <c r="K841" s="65"/>
      <c r="L841" s="65"/>
    </row>
    <row r="842" ht="15.75" customHeight="1">
      <c r="C842" s="65"/>
      <c r="D842" s="65"/>
      <c r="E842" s="65"/>
      <c r="F842" s="65"/>
      <c r="H842" s="65"/>
      <c r="J842" s="65"/>
      <c r="K842" s="65"/>
      <c r="L842" s="65"/>
    </row>
    <row r="843" ht="15.75" customHeight="1">
      <c r="C843" s="65"/>
      <c r="D843" s="65"/>
      <c r="E843" s="65"/>
      <c r="F843" s="65"/>
      <c r="H843" s="65"/>
      <c r="J843" s="65"/>
      <c r="K843" s="65"/>
      <c r="L843" s="65"/>
    </row>
    <row r="844" ht="15.75" customHeight="1">
      <c r="C844" s="65"/>
      <c r="D844" s="65"/>
      <c r="E844" s="65"/>
      <c r="F844" s="65"/>
      <c r="H844" s="65"/>
      <c r="J844" s="65"/>
      <c r="K844" s="65"/>
      <c r="L844" s="65"/>
    </row>
    <row r="845" ht="15.75" customHeight="1">
      <c r="C845" s="65"/>
      <c r="D845" s="65"/>
      <c r="E845" s="65"/>
      <c r="F845" s="65"/>
      <c r="H845" s="65"/>
      <c r="J845" s="65"/>
      <c r="K845" s="65"/>
      <c r="L845" s="65"/>
    </row>
    <row r="846" ht="15.75" customHeight="1">
      <c r="C846" s="65"/>
      <c r="D846" s="65"/>
      <c r="E846" s="65"/>
      <c r="F846" s="65"/>
      <c r="H846" s="65"/>
      <c r="J846" s="65"/>
      <c r="K846" s="65"/>
      <c r="L846" s="65"/>
    </row>
    <row r="847" ht="15.75" customHeight="1">
      <c r="C847" s="65"/>
      <c r="D847" s="65"/>
      <c r="E847" s="65"/>
      <c r="F847" s="65"/>
      <c r="H847" s="65"/>
      <c r="J847" s="65"/>
      <c r="K847" s="65"/>
      <c r="L847" s="65"/>
    </row>
    <row r="848" ht="15.75" customHeight="1">
      <c r="C848" s="65"/>
      <c r="D848" s="65"/>
      <c r="E848" s="65"/>
      <c r="F848" s="65"/>
      <c r="H848" s="65"/>
      <c r="J848" s="65"/>
      <c r="K848" s="65"/>
      <c r="L848" s="65"/>
    </row>
    <row r="849" ht="15.75" customHeight="1">
      <c r="C849" s="65"/>
      <c r="D849" s="65"/>
      <c r="E849" s="65"/>
      <c r="F849" s="65"/>
      <c r="H849" s="65"/>
      <c r="J849" s="65"/>
      <c r="K849" s="65"/>
      <c r="L849" s="65"/>
    </row>
    <row r="850" ht="15.75" customHeight="1">
      <c r="C850" s="65"/>
      <c r="D850" s="65"/>
      <c r="E850" s="65"/>
      <c r="F850" s="65"/>
      <c r="H850" s="65"/>
      <c r="J850" s="65"/>
      <c r="K850" s="65"/>
      <c r="L850" s="65"/>
    </row>
    <row r="851" ht="15.75" customHeight="1">
      <c r="C851" s="65"/>
      <c r="D851" s="65"/>
      <c r="E851" s="65"/>
      <c r="F851" s="65"/>
      <c r="H851" s="65"/>
      <c r="J851" s="65"/>
      <c r="K851" s="65"/>
      <c r="L851" s="65"/>
    </row>
    <row r="852" ht="15.75" customHeight="1">
      <c r="C852" s="65"/>
      <c r="D852" s="65"/>
      <c r="E852" s="65"/>
      <c r="F852" s="65"/>
      <c r="H852" s="65"/>
      <c r="J852" s="65"/>
      <c r="K852" s="65"/>
      <c r="L852" s="65"/>
    </row>
    <row r="853" ht="15.75" customHeight="1">
      <c r="C853" s="65"/>
      <c r="D853" s="65"/>
      <c r="E853" s="65"/>
      <c r="F853" s="65"/>
      <c r="H853" s="65"/>
      <c r="J853" s="65"/>
      <c r="K853" s="65"/>
      <c r="L853" s="65"/>
    </row>
    <row r="854" ht="15.75" customHeight="1">
      <c r="C854" s="65"/>
      <c r="D854" s="65"/>
      <c r="E854" s="65"/>
      <c r="F854" s="65"/>
      <c r="H854" s="65"/>
      <c r="J854" s="65"/>
      <c r="K854" s="65"/>
      <c r="L854" s="65"/>
    </row>
    <row r="855" ht="15.75" customHeight="1">
      <c r="C855" s="65"/>
      <c r="D855" s="65"/>
      <c r="E855" s="65"/>
      <c r="F855" s="65"/>
      <c r="H855" s="65"/>
      <c r="J855" s="65"/>
      <c r="K855" s="65"/>
      <c r="L855" s="65"/>
    </row>
    <row r="856" ht="15.75" customHeight="1">
      <c r="C856" s="65"/>
      <c r="D856" s="65"/>
      <c r="E856" s="65"/>
      <c r="F856" s="65"/>
      <c r="H856" s="65"/>
      <c r="J856" s="65"/>
      <c r="K856" s="65"/>
      <c r="L856" s="65"/>
    </row>
    <row r="857" ht="15.75" customHeight="1">
      <c r="C857" s="65"/>
      <c r="D857" s="65"/>
      <c r="E857" s="65"/>
      <c r="F857" s="65"/>
      <c r="H857" s="65"/>
      <c r="J857" s="65"/>
      <c r="K857" s="65"/>
      <c r="L857" s="65"/>
    </row>
    <row r="858" ht="15.75" customHeight="1">
      <c r="C858" s="65"/>
      <c r="D858" s="65"/>
      <c r="E858" s="65"/>
      <c r="F858" s="65"/>
      <c r="H858" s="65"/>
      <c r="J858" s="65"/>
      <c r="K858" s="65"/>
      <c r="L858" s="65"/>
    </row>
    <row r="859" ht="15.75" customHeight="1">
      <c r="C859" s="65"/>
      <c r="D859" s="65"/>
      <c r="E859" s="65"/>
      <c r="F859" s="65"/>
      <c r="H859" s="65"/>
      <c r="J859" s="65"/>
      <c r="K859" s="65"/>
      <c r="L859" s="65"/>
    </row>
    <row r="860" ht="15.75" customHeight="1">
      <c r="C860" s="65"/>
      <c r="D860" s="65"/>
      <c r="E860" s="65"/>
      <c r="F860" s="65"/>
      <c r="H860" s="65"/>
      <c r="J860" s="65"/>
      <c r="K860" s="65"/>
      <c r="L860" s="65"/>
    </row>
    <row r="861" ht="15.75" customHeight="1">
      <c r="C861" s="65"/>
      <c r="D861" s="65"/>
      <c r="E861" s="65"/>
      <c r="F861" s="65"/>
      <c r="H861" s="65"/>
      <c r="J861" s="65"/>
      <c r="K861" s="65"/>
      <c r="L861" s="65"/>
    </row>
    <row r="862" ht="15.75" customHeight="1">
      <c r="C862" s="65"/>
      <c r="D862" s="65"/>
      <c r="E862" s="65"/>
      <c r="F862" s="65"/>
      <c r="H862" s="65"/>
      <c r="J862" s="65"/>
      <c r="K862" s="65"/>
      <c r="L862" s="65"/>
    </row>
    <row r="863" ht="15.75" customHeight="1">
      <c r="C863" s="65"/>
      <c r="D863" s="65"/>
      <c r="E863" s="65"/>
      <c r="F863" s="65"/>
      <c r="H863" s="65"/>
      <c r="J863" s="65"/>
      <c r="K863" s="65"/>
      <c r="L863" s="65"/>
    </row>
    <row r="864" ht="15.75" customHeight="1">
      <c r="C864" s="65"/>
      <c r="D864" s="65"/>
      <c r="E864" s="65"/>
      <c r="F864" s="65"/>
      <c r="H864" s="65"/>
      <c r="J864" s="65"/>
      <c r="K864" s="65"/>
      <c r="L864" s="65"/>
    </row>
    <row r="865" ht="15.75" customHeight="1">
      <c r="C865" s="65"/>
      <c r="D865" s="65"/>
      <c r="E865" s="65"/>
      <c r="F865" s="65"/>
      <c r="H865" s="65"/>
      <c r="J865" s="65"/>
      <c r="K865" s="65"/>
      <c r="L865" s="65"/>
    </row>
    <row r="866" ht="15.75" customHeight="1">
      <c r="C866" s="65"/>
      <c r="D866" s="65"/>
      <c r="E866" s="65"/>
      <c r="F866" s="65"/>
      <c r="H866" s="65"/>
      <c r="J866" s="65"/>
      <c r="K866" s="65"/>
      <c r="L866" s="65"/>
    </row>
    <row r="867" ht="15.75" customHeight="1">
      <c r="C867" s="65"/>
      <c r="D867" s="65"/>
      <c r="E867" s="65"/>
      <c r="F867" s="65"/>
      <c r="H867" s="65"/>
      <c r="J867" s="65"/>
      <c r="K867" s="65"/>
      <c r="L867" s="65"/>
    </row>
    <row r="868" ht="15.75" customHeight="1">
      <c r="C868" s="65"/>
      <c r="D868" s="65"/>
      <c r="E868" s="65"/>
      <c r="F868" s="65"/>
      <c r="H868" s="65"/>
      <c r="J868" s="65"/>
      <c r="K868" s="65"/>
      <c r="L868" s="65"/>
    </row>
    <row r="869" ht="15.75" customHeight="1">
      <c r="C869" s="65"/>
      <c r="D869" s="65"/>
      <c r="E869" s="65"/>
      <c r="F869" s="65"/>
      <c r="H869" s="65"/>
      <c r="J869" s="65"/>
      <c r="K869" s="65"/>
      <c r="L869" s="65"/>
    </row>
    <row r="870" ht="15.75" customHeight="1">
      <c r="C870" s="65"/>
      <c r="D870" s="65"/>
      <c r="E870" s="65"/>
      <c r="F870" s="65"/>
      <c r="H870" s="65"/>
      <c r="J870" s="65"/>
      <c r="K870" s="65"/>
      <c r="L870" s="65"/>
    </row>
    <row r="871" ht="15.75" customHeight="1">
      <c r="C871" s="65"/>
      <c r="D871" s="65"/>
      <c r="E871" s="65"/>
      <c r="F871" s="65"/>
      <c r="H871" s="65"/>
      <c r="J871" s="65"/>
      <c r="K871" s="65"/>
      <c r="L871" s="65"/>
    </row>
    <row r="872" ht="15.75" customHeight="1">
      <c r="C872" s="65"/>
      <c r="D872" s="65"/>
      <c r="E872" s="65"/>
      <c r="F872" s="65"/>
      <c r="H872" s="65"/>
      <c r="J872" s="65"/>
      <c r="K872" s="65"/>
      <c r="L872" s="65"/>
    </row>
    <row r="873" ht="15.75" customHeight="1">
      <c r="C873" s="65"/>
      <c r="D873" s="65"/>
      <c r="E873" s="65"/>
      <c r="F873" s="65"/>
      <c r="H873" s="65"/>
      <c r="J873" s="65"/>
      <c r="K873" s="65"/>
      <c r="L873" s="65"/>
    </row>
    <row r="874" ht="15.75" customHeight="1">
      <c r="C874" s="65"/>
      <c r="D874" s="65"/>
      <c r="E874" s="65"/>
      <c r="F874" s="65"/>
      <c r="H874" s="65"/>
      <c r="J874" s="65"/>
      <c r="K874" s="65"/>
      <c r="L874" s="65"/>
    </row>
    <row r="875" ht="15.75" customHeight="1">
      <c r="C875" s="65"/>
      <c r="D875" s="65"/>
      <c r="E875" s="65"/>
      <c r="F875" s="65"/>
      <c r="H875" s="65"/>
      <c r="J875" s="65"/>
      <c r="K875" s="65"/>
      <c r="L875" s="65"/>
    </row>
    <row r="876" ht="15.75" customHeight="1">
      <c r="C876" s="65"/>
      <c r="D876" s="65"/>
      <c r="E876" s="65"/>
      <c r="F876" s="65"/>
      <c r="H876" s="65"/>
      <c r="J876" s="65"/>
      <c r="K876" s="65"/>
      <c r="L876" s="65"/>
    </row>
    <row r="877" ht="15.75" customHeight="1">
      <c r="C877" s="65"/>
      <c r="D877" s="65"/>
      <c r="E877" s="65"/>
      <c r="F877" s="65"/>
      <c r="H877" s="65"/>
      <c r="J877" s="65"/>
      <c r="K877" s="65"/>
      <c r="L877" s="65"/>
    </row>
    <row r="878" ht="15.75" customHeight="1">
      <c r="C878" s="65"/>
      <c r="D878" s="65"/>
      <c r="E878" s="65"/>
      <c r="F878" s="65"/>
      <c r="H878" s="65"/>
      <c r="J878" s="65"/>
      <c r="K878" s="65"/>
      <c r="L878" s="65"/>
    </row>
    <row r="879" ht="15.75" customHeight="1">
      <c r="C879" s="65"/>
      <c r="D879" s="65"/>
      <c r="E879" s="65"/>
      <c r="F879" s="65"/>
      <c r="H879" s="65"/>
      <c r="J879" s="65"/>
      <c r="K879" s="65"/>
      <c r="L879" s="65"/>
    </row>
    <row r="880" ht="15.75" customHeight="1">
      <c r="C880" s="65"/>
      <c r="D880" s="65"/>
      <c r="E880" s="65"/>
      <c r="F880" s="65"/>
      <c r="H880" s="65"/>
      <c r="J880" s="65"/>
      <c r="K880" s="65"/>
      <c r="L880" s="65"/>
    </row>
    <row r="881" ht="15.75" customHeight="1">
      <c r="C881" s="65"/>
      <c r="D881" s="65"/>
      <c r="E881" s="65"/>
      <c r="F881" s="65"/>
      <c r="H881" s="65"/>
      <c r="J881" s="65"/>
      <c r="K881" s="65"/>
      <c r="L881" s="65"/>
    </row>
    <row r="882" ht="15.75" customHeight="1">
      <c r="C882" s="65"/>
      <c r="D882" s="65"/>
      <c r="E882" s="65"/>
      <c r="F882" s="65"/>
      <c r="H882" s="65"/>
      <c r="J882" s="65"/>
      <c r="K882" s="65"/>
      <c r="L882" s="65"/>
    </row>
    <row r="883" ht="15.75" customHeight="1">
      <c r="C883" s="65"/>
      <c r="D883" s="65"/>
      <c r="E883" s="65"/>
      <c r="F883" s="65"/>
      <c r="H883" s="65"/>
      <c r="J883" s="65"/>
      <c r="K883" s="65"/>
      <c r="L883" s="65"/>
    </row>
    <row r="884" ht="15.75" customHeight="1">
      <c r="C884" s="65"/>
      <c r="D884" s="65"/>
      <c r="E884" s="65"/>
      <c r="F884" s="65"/>
      <c r="H884" s="65"/>
      <c r="J884" s="65"/>
      <c r="K884" s="65"/>
      <c r="L884" s="65"/>
    </row>
    <row r="885" ht="15.75" customHeight="1">
      <c r="C885" s="65"/>
      <c r="D885" s="65"/>
      <c r="E885" s="65"/>
      <c r="F885" s="65"/>
      <c r="H885" s="65"/>
      <c r="J885" s="65"/>
      <c r="K885" s="65"/>
      <c r="L885" s="65"/>
    </row>
    <row r="886" ht="15.75" customHeight="1">
      <c r="C886" s="65"/>
      <c r="D886" s="65"/>
      <c r="E886" s="65"/>
      <c r="F886" s="65"/>
      <c r="H886" s="65"/>
      <c r="J886" s="65"/>
      <c r="K886" s="65"/>
      <c r="L886" s="65"/>
    </row>
    <row r="887" ht="15.75" customHeight="1">
      <c r="C887" s="65"/>
      <c r="D887" s="65"/>
      <c r="E887" s="65"/>
      <c r="F887" s="65"/>
      <c r="H887" s="65"/>
      <c r="J887" s="65"/>
      <c r="K887" s="65"/>
      <c r="L887" s="65"/>
    </row>
    <row r="888" ht="15.75" customHeight="1">
      <c r="C888" s="65"/>
      <c r="D888" s="65"/>
      <c r="E888" s="65"/>
      <c r="F888" s="65"/>
      <c r="H888" s="65"/>
      <c r="J888" s="65"/>
      <c r="K888" s="65"/>
      <c r="L888" s="65"/>
    </row>
    <row r="889" ht="15.75" customHeight="1">
      <c r="C889" s="65"/>
      <c r="D889" s="65"/>
      <c r="E889" s="65"/>
      <c r="F889" s="65"/>
      <c r="H889" s="65"/>
      <c r="J889" s="65"/>
      <c r="K889" s="65"/>
      <c r="L889" s="65"/>
    </row>
    <row r="890" ht="15.75" customHeight="1">
      <c r="C890" s="65"/>
      <c r="D890" s="65"/>
      <c r="E890" s="65"/>
      <c r="F890" s="65"/>
      <c r="H890" s="65"/>
      <c r="J890" s="65"/>
      <c r="K890" s="65"/>
      <c r="L890" s="65"/>
    </row>
    <row r="891" ht="15.75" customHeight="1">
      <c r="C891" s="65"/>
      <c r="D891" s="65"/>
      <c r="E891" s="65"/>
      <c r="F891" s="65"/>
      <c r="H891" s="65"/>
      <c r="J891" s="65"/>
      <c r="K891" s="65"/>
      <c r="L891" s="65"/>
    </row>
    <row r="892" ht="15.75" customHeight="1">
      <c r="C892" s="65"/>
      <c r="D892" s="65"/>
      <c r="E892" s="65"/>
      <c r="F892" s="65"/>
      <c r="H892" s="65"/>
      <c r="J892" s="65"/>
      <c r="K892" s="65"/>
      <c r="L892" s="65"/>
    </row>
    <row r="893" ht="15.75" customHeight="1">
      <c r="C893" s="65"/>
      <c r="D893" s="65"/>
      <c r="E893" s="65"/>
      <c r="F893" s="65"/>
      <c r="H893" s="65"/>
      <c r="J893" s="65"/>
      <c r="K893" s="65"/>
      <c r="L893" s="65"/>
    </row>
    <row r="894" ht="15.75" customHeight="1">
      <c r="C894" s="65"/>
      <c r="D894" s="65"/>
      <c r="E894" s="65"/>
      <c r="F894" s="65"/>
      <c r="H894" s="65"/>
      <c r="J894" s="65"/>
      <c r="K894" s="65"/>
      <c r="L894" s="65"/>
    </row>
    <row r="895" ht="15.75" customHeight="1">
      <c r="C895" s="65"/>
      <c r="D895" s="65"/>
      <c r="E895" s="65"/>
      <c r="F895" s="65"/>
      <c r="H895" s="65"/>
      <c r="J895" s="65"/>
      <c r="K895" s="65"/>
      <c r="L895" s="65"/>
    </row>
    <row r="896" ht="15.75" customHeight="1">
      <c r="C896" s="65"/>
      <c r="D896" s="65"/>
      <c r="E896" s="65"/>
      <c r="F896" s="65"/>
      <c r="H896" s="65"/>
      <c r="J896" s="65"/>
      <c r="K896" s="65"/>
      <c r="L896" s="65"/>
    </row>
    <row r="897" ht="15.75" customHeight="1">
      <c r="C897" s="65"/>
      <c r="D897" s="65"/>
      <c r="E897" s="65"/>
      <c r="F897" s="65"/>
      <c r="H897" s="65"/>
      <c r="J897" s="65"/>
      <c r="K897" s="65"/>
      <c r="L897" s="65"/>
    </row>
    <row r="898" ht="15.75" customHeight="1">
      <c r="C898" s="65"/>
      <c r="D898" s="65"/>
      <c r="E898" s="65"/>
      <c r="F898" s="65"/>
      <c r="H898" s="65"/>
      <c r="J898" s="65"/>
      <c r="K898" s="65"/>
      <c r="L898" s="65"/>
    </row>
    <row r="899" ht="15.75" customHeight="1">
      <c r="C899" s="65"/>
      <c r="D899" s="65"/>
      <c r="E899" s="65"/>
      <c r="F899" s="65"/>
      <c r="H899" s="65"/>
      <c r="J899" s="65"/>
      <c r="K899" s="65"/>
      <c r="L899" s="65"/>
    </row>
    <row r="900" ht="15.75" customHeight="1">
      <c r="C900" s="65"/>
      <c r="D900" s="65"/>
      <c r="E900" s="65"/>
      <c r="F900" s="65"/>
      <c r="H900" s="65"/>
      <c r="J900" s="65"/>
      <c r="K900" s="65"/>
      <c r="L900" s="65"/>
    </row>
    <row r="901" ht="15.75" customHeight="1">
      <c r="C901" s="65"/>
      <c r="D901" s="65"/>
      <c r="E901" s="65"/>
      <c r="F901" s="65"/>
      <c r="H901" s="65"/>
      <c r="J901" s="65"/>
      <c r="K901" s="65"/>
      <c r="L901" s="65"/>
    </row>
    <row r="902" ht="15.75" customHeight="1">
      <c r="C902" s="65"/>
      <c r="D902" s="65"/>
      <c r="E902" s="65"/>
      <c r="F902" s="65"/>
      <c r="H902" s="65"/>
      <c r="J902" s="65"/>
      <c r="K902" s="65"/>
      <c r="L902" s="65"/>
    </row>
    <row r="903" ht="15.75" customHeight="1">
      <c r="C903" s="65"/>
      <c r="D903" s="65"/>
      <c r="E903" s="65"/>
      <c r="F903" s="65"/>
      <c r="H903" s="65"/>
      <c r="J903" s="65"/>
      <c r="K903" s="65"/>
      <c r="L903" s="65"/>
    </row>
    <row r="904" ht="15.75" customHeight="1">
      <c r="C904" s="65"/>
      <c r="D904" s="65"/>
      <c r="E904" s="65"/>
      <c r="F904" s="65"/>
      <c r="H904" s="65"/>
      <c r="J904" s="65"/>
      <c r="K904" s="65"/>
      <c r="L904" s="65"/>
    </row>
    <row r="905" ht="15.75" customHeight="1">
      <c r="C905" s="65"/>
      <c r="D905" s="65"/>
      <c r="E905" s="65"/>
      <c r="F905" s="65"/>
      <c r="H905" s="65"/>
      <c r="J905" s="65"/>
      <c r="K905" s="65"/>
      <c r="L905" s="65"/>
    </row>
    <row r="906" ht="15.75" customHeight="1">
      <c r="C906" s="65"/>
      <c r="D906" s="65"/>
      <c r="E906" s="65"/>
      <c r="F906" s="65"/>
      <c r="H906" s="65"/>
      <c r="J906" s="65"/>
      <c r="K906" s="65"/>
      <c r="L906" s="65"/>
    </row>
    <row r="907" ht="15.75" customHeight="1">
      <c r="C907" s="65"/>
      <c r="D907" s="65"/>
      <c r="E907" s="65"/>
      <c r="F907" s="65"/>
      <c r="H907" s="65"/>
      <c r="J907" s="65"/>
      <c r="K907" s="65"/>
      <c r="L907" s="65"/>
    </row>
    <row r="908" ht="15.75" customHeight="1">
      <c r="C908" s="65"/>
      <c r="D908" s="65"/>
      <c r="E908" s="65"/>
      <c r="F908" s="65"/>
      <c r="H908" s="65"/>
      <c r="J908" s="65"/>
      <c r="K908" s="65"/>
      <c r="L908" s="65"/>
    </row>
    <row r="909" ht="15.75" customHeight="1">
      <c r="C909" s="65"/>
      <c r="D909" s="65"/>
      <c r="E909" s="65"/>
      <c r="F909" s="65"/>
      <c r="H909" s="65"/>
      <c r="J909" s="65"/>
      <c r="K909" s="65"/>
      <c r="L909" s="65"/>
    </row>
    <row r="910" ht="15.75" customHeight="1">
      <c r="C910" s="65"/>
      <c r="D910" s="65"/>
      <c r="E910" s="65"/>
      <c r="F910" s="65"/>
      <c r="H910" s="65"/>
      <c r="J910" s="65"/>
      <c r="K910" s="65"/>
      <c r="L910" s="65"/>
    </row>
    <row r="911" ht="15.75" customHeight="1">
      <c r="C911" s="65"/>
      <c r="D911" s="65"/>
      <c r="E911" s="65"/>
      <c r="F911" s="65"/>
      <c r="H911" s="65"/>
      <c r="J911" s="65"/>
      <c r="K911" s="65"/>
      <c r="L911" s="65"/>
    </row>
    <row r="912" ht="15.75" customHeight="1">
      <c r="C912" s="65"/>
      <c r="D912" s="65"/>
      <c r="E912" s="65"/>
      <c r="F912" s="65"/>
      <c r="H912" s="65"/>
      <c r="J912" s="65"/>
      <c r="K912" s="65"/>
      <c r="L912" s="65"/>
    </row>
    <row r="913" ht="15.75" customHeight="1">
      <c r="C913" s="65"/>
      <c r="D913" s="65"/>
      <c r="E913" s="65"/>
      <c r="F913" s="65"/>
      <c r="H913" s="65"/>
      <c r="J913" s="65"/>
      <c r="K913" s="65"/>
      <c r="L913" s="65"/>
    </row>
    <row r="914" ht="15.75" customHeight="1">
      <c r="C914" s="65"/>
      <c r="D914" s="65"/>
      <c r="E914" s="65"/>
      <c r="F914" s="65"/>
      <c r="H914" s="65"/>
      <c r="J914" s="65"/>
      <c r="K914" s="65"/>
      <c r="L914" s="65"/>
    </row>
    <row r="915" ht="15.75" customHeight="1">
      <c r="C915" s="65"/>
      <c r="D915" s="65"/>
      <c r="E915" s="65"/>
      <c r="F915" s="65"/>
      <c r="H915" s="65"/>
      <c r="J915" s="65"/>
      <c r="K915" s="65"/>
      <c r="L915" s="65"/>
    </row>
    <row r="916" ht="15.75" customHeight="1">
      <c r="C916" s="65"/>
      <c r="D916" s="65"/>
      <c r="E916" s="65"/>
      <c r="F916" s="65"/>
      <c r="H916" s="65"/>
      <c r="J916" s="65"/>
      <c r="K916" s="65"/>
      <c r="L916" s="65"/>
    </row>
    <row r="917" ht="15.75" customHeight="1">
      <c r="C917" s="65"/>
      <c r="D917" s="65"/>
      <c r="E917" s="65"/>
      <c r="F917" s="65"/>
      <c r="H917" s="65"/>
      <c r="J917" s="65"/>
      <c r="K917" s="65"/>
      <c r="L917" s="65"/>
    </row>
    <row r="918" ht="15.75" customHeight="1">
      <c r="C918" s="65"/>
      <c r="D918" s="65"/>
      <c r="E918" s="65"/>
      <c r="F918" s="65"/>
      <c r="H918" s="65"/>
      <c r="J918" s="65"/>
      <c r="K918" s="65"/>
      <c r="L918" s="65"/>
    </row>
    <row r="919" ht="15.75" customHeight="1">
      <c r="C919" s="65"/>
      <c r="D919" s="65"/>
      <c r="E919" s="65"/>
      <c r="F919" s="65"/>
      <c r="H919" s="65"/>
      <c r="J919" s="65"/>
      <c r="K919" s="65"/>
      <c r="L919" s="65"/>
    </row>
    <row r="920" ht="15.75" customHeight="1">
      <c r="C920" s="65"/>
      <c r="D920" s="65"/>
      <c r="E920" s="65"/>
      <c r="F920" s="65"/>
      <c r="H920" s="65"/>
      <c r="J920" s="65"/>
      <c r="K920" s="65"/>
      <c r="L920" s="65"/>
    </row>
    <row r="921" ht="15.75" customHeight="1">
      <c r="C921" s="65"/>
      <c r="D921" s="65"/>
      <c r="E921" s="65"/>
      <c r="F921" s="65"/>
      <c r="H921" s="65"/>
      <c r="J921" s="65"/>
      <c r="K921" s="65"/>
      <c r="L921" s="65"/>
    </row>
    <row r="922" ht="15.75" customHeight="1">
      <c r="C922" s="65"/>
      <c r="D922" s="65"/>
      <c r="E922" s="65"/>
      <c r="F922" s="65"/>
      <c r="H922" s="65"/>
      <c r="J922" s="65"/>
      <c r="K922" s="65"/>
      <c r="L922" s="65"/>
    </row>
    <row r="923" ht="15.75" customHeight="1">
      <c r="C923" s="65"/>
      <c r="D923" s="65"/>
      <c r="E923" s="65"/>
      <c r="F923" s="65"/>
      <c r="H923" s="65"/>
      <c r="J923" s="65"/>
      <c r="K923" s="65"/>
      <c r="L923" s="65"/>
    </row>
    <row r="924" ht="15.75" customHeight="1">
      <c r="C924" s="65"/>
      <c r="D924" s="65"/>
      <c r="E924" s="65"/>
      <c r="F924" s="65"/>
      <c r="H924" s="65"/>
      <c r="J924" s="65"/>
      <c r="K924" s="65"/>
      <c r="L924" s="65"/>
    </row>
    <row r="925" ht="15.75" customHeight="1">
      <c r="C925" s="65"/>
      <c r="D925" s="65"/>
      <c r="E925" s="65"/>
      <c r="F925" s="65"/>
      <c r="H925" s="65"/>
      <c r="J925" s="65"/>
      <c r="K925" s="65"/>
      <c r="L925" s="65"/>
    </row>
    <row r="926" ht="15.75" customHeight="1">
      <c r="C926" s="65"/>
      <c r="D926" s="65"/>
      <c r="E926" s="65"/>
      <c r="F926" s="65"/>
      <c r="H926" s="65"/>
      <c r="J926" s="65"/>
      <c r="K926" s="65"/>
      <c r="L926" s="65"/>
    </row>
    <row r="927" ht="15.75" customHeight="1">
      <c r="C927" s="65"/>
      <c r="D927" s="65"/>
      <c r="E927" s="65"/>
      <c r="F927" s="65"/>
      <c r="H927" s="65"/>
      <c r="J927" s="65"/>
      <c r="K927" s="65"/>
      <c r="L927" s="65"/>
    </row>
    <row r="928" ht="15.75" customHeight="1">
      <c r="C928" s="65"/>
      <c r="D928" s="65"/>
      <c r="E928" s="65"/>
      <c r="F928" s="65"/>
      <c r="H928" s="65"/>
      <c r="J928" s="65"/>
      <c r="K928" s="65"/>
      <c r="L928" s="65"/>
    </row>
    <row r="929" ht="15.75" customHeight="1">
      <c r="C929" s="65"/>
      <c r="D929" s="65"/>
      <c r="E929" s="65"/>
      <c r="F929" s="65"/>
      <c r="H929" s="65"/>
      <c r="J929" s="65"/>
      <c r="K929" s="65"/>
      <c r="L929" s="65"/>
    </row>
    <row r="930" ht="15.75" customHeight="1">
      <c r="C930" s="65"/>
      <c r="D930" s="65"/>
      <c r="E930" s="65"/>
      <c r="F930" s="65"/>
      <c r="H930" s="65"/>
      <c r="J930" s="65"/>
      <c r="K930" s="65"/>
      <c r="L930" s="65"/>
    </row>
    <row r="931" ht="15.75" customHeight="1">
      <c r="C931" s="65"/>
      <c r="D931" s="65"/>
      <c r="E931" s="65"/>
      <c r="F931" s="65"/>
      <c r="H931" s="65"/>
      <c r="J931" s="65"/>
      <c r="K931" s="65"/>
      <c r="L931" s="65"/>
    </row>
    <row r="932" ht="15.75" customHeight="1">
      <c r="C932" s="65"/>
      <c r="D932" s="65"/>
      <c r="E932" s="65"/>
      <c r="F932" s="65"/>
      <c r="H932" s="65"/>
      <c r="J932" s="65"/>
      <c r="K932" s="65"/>
      <c r="L932" s="65"/>
    </row>
    <row r="933" ht="15.75" customHeight="1">
      <c r="C933" s="65"/>
      <c r="D933" s="65"/>
      <c r="E933" s="65"/>
      <c r="F933" s="65"/>
      <c r="H933" s="65"/>
      <c r="J933" s="65"/>
      <c r="K933" s="65"/>
      <c r="L933" s="65"/>
    </row>
    <row r="934" ht="15.75" customHeight="1">
      <c r="C934" s="65"/>
      <c r="D934" s="65"/>
      <c r="E934" s="65"/>
      <c r="F934" s="65"/>
      <c r="H934" s="65"/>
      <c r="J934" s="65"/>
      <c r="K934" s="65"/>
      <c r="L934" s="65"/>
    </row>
    <row r="935" ht="15.75" customHeight="1">
      <c r="C935" s="65"/>
      <c r="D935" s="65"/>
      <c r="E935" s="65"/>
      <c r="F935" s="65"/>
      <c r="H935" s="65"/>
      <c r="J935" s="65"/>
      <c r="K935" s="65"/>
      <c r="L935" s="65"/>
    </row>
    <row r="936" ht="15.75" customHeight="1">
      <c r="C936" s="65"/>
      <c r="D936" s="65"/>
      <c r="E936" s="65"/>
      <c r="F936" s="65"/>
      <c r="H936" s="65"/>
      <c r="J936" s="65"/>
      <c r="K936" s="65"/>
      <c r="L936" s="65"/>
    </row>
    <row r="937" ht="15.75" customHeight="1">
      <c r="C937" s="65"/>
      <c r="D937" s="65"/>
      <c r="E937" s="65"/>
      <c r="F937" s="65"/>
      <c r="H937" s="65"/>
      <c r="J937" s="65"/>
      <c r="K937" s="65"/>
      <c r="L937" s="65"/>
    </row>
    <row r="938" ht="15.75" customHeight="1">
      <c r="C938" s="65"/>
      <c r="D938" s="65"/>
      <c r="E938" s="65"/>
      <c r="F938" s="65"/>
      <c r="H938" s="65"/>
      <c r="J938" s="65"/>
      <c r="K938" s="65"/>
      <c r="L938" s="65"/>
    </row>
    <row r="939" ht="15.75" customHeight="1">
      <c r="C939" s="65"/>
      <c r="D939" s="65"/>
      <c r="E939" s="65"/>
      <c r="F939" s="65"/>
      <c r="H939" s="65"/>
      <c r="J939" s="65"/>
      <c r="K939" s="65"/>
      <c r="L939" s="65"/>
    </row>
    <row r="940" ht="15.75" customHeight="1">
      <c r="C940" s="65"/>
      <c r="D940" s="65"/>
      <c r="E940" s="65"/>
      <c r="F940" s="65"/>
      <c r="H940" s="65"/>
      <c r="J940" s="65"/>
      <c r="K940" s="65"/>
      <c r="L940" s="65"/>
    </row>
    <row r="941" ht="15.75" customHeight="1">
      <c r="C941" s="65"/>
      <c r="D941" s="65"/>
      <c r="E941" s="65"/>
      <c r="F941" s="65"/>
      <c r="H941" s="65"/>
      <c r="J941" s="65"/>
      <c r="K941" s="65"/>
      <c r="L941" s="65"/>
    </row>
    <row r="942" ht="15.75" customHeight="1">
      <c r="C942" s="65"/>
      <c r="D942" s="65"/>
      <c r="E942" s="65"/>
      <c r="F942" s="65"/>
      <c r="H942" s="65"/>
      <c r="J942" s="65"/>
      <c r="K942" s="65"/>
      <c r="L942" s="65"/>
    </row>
    <row r="943" ht="15.75" customHeight="1">
      <c r="C943" s="65"/>
      <c r="D943" s="65"/>
      <c r="E943" s="65"/>
      <c r="F943" s="65"/>
      <c r="H943" s="65"/>
      <c r="J943" s="65"/>
      <c r="K943" s="65"/>
      <c r="L943" s="65"/>
    </row>
    <row r="944" ht="15.75" customHeight="1">
      <c r="C944" s="65"/>
      <c r="D944" s="65"/>
      <c r="E944" s="65"/>
      <c r="F944" s="65"/>
      <c r="H944" s="65"/>
      <c r="J944" s="65"/>
      <c r="K944" s="65"/>
      <c r="L944" s="65"/>
    </row>
    <row r="945" ht="15.75" customHeight="1">
      <c r="C945" s="65"/>
      <c r="D945" s="65"/>
      <c r="E945" s="65"/>
      <c r="F945" s="65"/>
      <c r="H945" s="65"/>
      <c r="J945" s="65"/>
      <c r="K945" s="65"/>
      <c r="L945" s="65"/>
    </row>
    <row r="946" ht="15.75" customHeight="1">
      <c r="C946" s="65"/>
      <c r="D946" s="65"/>
      <c r="E946" s="65"/>
      <c r="F946" s="65"/>
      <c r="H946" s="65"/>
      <c r="J946" s="65"/>
      <c r="K946" s="65"/>
      <c r="L946" s="65"/>
    </row>
    <row r="947" ht="15.75" customHeight="1">
      <c r="C947" s="65"/>
      <c r="D947" s="65"/>
      <c r="E947" s="65"/>
      <c r="F947" s="65"/>
      <c r="H947" s="65"/>
      <c r="J947" s="65"/>
      <c r="K947" s="65"/>
      <c r="L947" s="65"/>
    </row>
    <row r="948" ht="15.75" customHeight="1">
      <c r="C948" s="65"/>
      <c r="D948" s="65"/>
      <c r="E948" s="65"/>
      <c r="F948" s="65"/>
      <c r="H948" s="65"/>
      <c r="J948" s="65"/>
      <c r="K948" s="65"/>
      <c r="L948" s="65"/>
    </row>
    <row r="949" ht="15.75" customHeight="1">
      <c r="C949" s="65"/>
      <c r="D949" s="65"/>
      <c r="E949" s="65"/>
      <c r="F949" s="65"/>
      <c r="H949" s="65"/>
      <c r="J949" s="65"/>
      <c r="K949" s="65"/>
      <c r="L949" s="65"/>
    </row>
    <row r="950" ht="15.75" customHeight="1">
      <c r="C950" s="65"/>
      <c r="D950" s="65"/>
      <c r="E950" s="65"/>
      <c r="F950" s="65"/>
      <c r="H950" s="65"/>
      <c r="J950" s="65"/>
      <c r="K950" s="65"/>
      <c r="L950" s="65"/>
    </row>
    <row r="951" ht="15.75" customHeight="1">
      <c r="C951" s="65"/>
      <c r="D951" s="65"/>
      <c r="E951" s="65"/>
      <c r="F951" s="65"/>
      <c r="H951" s="65"/>
      <c r="J951" s="65"/>
      <c r="K951" s="65"/>
      <c r="L951" s="65"/>
    </row>
    <row r="952" ht="15.75" customHeight="1">
      <c r="C952" s="65"/>
      <c r="D952" s="65"/>
      <c r="E952" s="65"/>
      <c r="F952" s="65"/>
      <c r="H952" s="65"/>
      <c r="J952" s="65"/>
      <c r="K952" s="65"/>
      <c r="L952" s="65"/>
    </row>
    <row r="953" ht="15.75" customHeight="1">
      <c r="C953" s="65"/>
      <c r="D953" s="65"/>
      <c r="E953" s="65"/>
      <c r="F953" s="65"/>
      <c r="H953" s="65"/>
      <c r="J953" s="65"/>
      <c r="K953" s="65"/>
      <c r="L953" s="65"/>
    </row>
    <row r="954" ht="15.75" customHeight="1">
      <c r="C954" s="65"/>
      <c r="D954" s="65"/>
      <c r="E954" s="65"/>
      <c r="F954" s="65"/>
      <c r="H954" s="65"/>
      <c r="J954" s="65"/>
      <c r="K954" s="65"/>
      <c r="L954" s="65"/>
    </row>
    <row r="955" ht="15.75" customHeight="1">
      <c r="C955" s="65"/>
      <c r="D955" s="65"/>
      <c r="E955" s="65"/>
      <c r="F955" s="65"/>
      <c r="H955" s="65"/>
      <c r="J955" s="65"/>
      <c r="K955" s="65"/>
      <c r="L955" s="65"/>
    </row>
    <row r="956" ht="15.75" customHeight="1">
      <c r="C956" s="65"/>
      <c r="D956" s="65"/>
      <c r="E956" s="65"/>
      <c r="F956" s="65"/>
      <c r="H956" s="65"/>
      <c r="J956" s="65"/>
      <c r="K956" s="65"/>
      <c r="L956" s="65"/>
    </row>
    <row r="957" ht="15.75" customHeight="1">
      <c r="C957" s="65"/>
      <c r="D957" s="65"/>
      <c r="E957" s="65"/>
      <c r="F957" s="65"/>
      <c r="H957" s="65"/>
      <c r="J957" s="65"/>
      <c r="K957" s="65"/>
      <c r="L957" s="65"/>
    </row>
    <row r="958" ht="15.75" customHeight="1">
      <c r="C958" s="65"/>
      <c r="D958" s="65"/>
      <c r="E958" s="65"/>
      <c r="F958" s="65"/>
      <c r="H958" s="65"/>
      <c r="J958" s="65"/>
      <c r="K958" s="65"/>
      <c r="L958" s="65"/>
    </row>
    <row r="959" ht="15.75" customHeight="1">
      <c r="C959" s="65"/>
      <c r="D959" s="65"/>
      <c r="E959" s="65"/>
      <c r="F959" s="65"/>
      <c r="H959" s="65"/>
      <c r="J959" s="65"/>
      <c r="K959" s="65"/>
      <c r="L959" s="65"/>
    </row>
    <row r="960" ht="15.75" customHeight="1">
      <c r="C960" s="65"/>
      <c r="D960" s="65"/>
      <c r="E960" s="65"/>
      <c r="F960" s="65"/>
      <c r="H960" s="65"/>
      <c r="J960" s="65"/>
      <c r="K960" s="65"/>
      <c r="L960" s="65"/>
    </row>
    <row r="961" ht="15.75" customHeight="1">
      <c r="C961" s="65"/>
      <c r="D961" s="65"/>
      <c r="E961" s="65"/>
      <c r="F961" s="65"/>
      <c r="H961" s="65"/>
      <c r="J961" s="65"/>
      <c r="K961" s="65"/>
      <c r="L961" s="65"/>
    </row>
    <row r="962" ht="15.75" customHeight="1">
      <c r="C962" s="65"/>
      <c r="D962" s="65"/>
      <c r="E962" s="65"/>
      <c r="F962" s="65"/>
      <c r="H962" s="65"/>
      <c r="J962" s="65"/>
      <c r="K962" s="65"/>
      <c r="L962" s="65"/>
    </row>
    <row r="963" ht="15.75" customHeight="1">
      <c r="C963" s="65"/>
      <c r="D963" s="65"/>
      <c r="E963" s="65"/>
      <c r="F963" s="65"/>
      <c r="H963" s="65"/>
      <c r="J963" s="65"/>
      <c r="K963" s="65"/>
      <c r="L963" s="65"/>
    </row>
    <row r="964" ht="15.75" customHeight="1">
      <c r="C964" s="65"/>
      <c r="D964" s="65"/>
      <c r="E964" s="65"/>
      <c r="F964" s="65"/>
      <c r="H964" s="65"/>
      <c r="J964" s="65"/>
      <c r="K964" s="65"/>
      <c r="L964" s="65"/>
    </row>
    <row r="965" ht="15.75" customHeight="1">
      <c r="C965" s="65"/>
      <c r="D965" s="65"/>
      <c r="E965" s="65"/>
      <c r="F965" s="65"/>
      <c r="H965" s="65"/>
      <c r="J965" s="65"/>
      <c r="K965" s="65"/>
      <c r="L965" s="65"/>
    </row>
    <row r="966" ht="15.75" customHeight="1">
      <c r="C966" s="65"/>
      <c r="D966" s="65"/>
      <c r="E966" s="65"/>
      <c r="F966" s="65"/>
      <c r="H966" s="65"/>
      <c r="J966" s="65"/>
      <c r="K966" s="65"/>
      <c r="L966" s="65"/>
    </row>
    <row r="967" ht="15.75" customHeight="1">
      <c r="C967" s="65"/>
      <c r="D967" s="65"/>
      <c r="E967" s="65"/>
      <c r="F967" s="65"/>
      <c r="H967" s="65"/>
      <c r="J967" s="65"/>
      <c r="K967" s="65"/>
      <c r="L967" s="65"/>
    </row>
    <row r="968" ht="15.75" customHeight="1">
      <c r="C968" s="65"/>
      <c r="D968" s="65"/>
      <c r="E968" s="65"/>
      <c r="F968" s="65"/>
      <c r="H968" s="65"/>
      <c r="J968" s="65"/>
      <c r="K968" s="65"/>
      <c r="L968" s="65"/>
    </row>
    <row r="969" ht="15.75" customHeight="1">
      <c r="C969" s="65"/>
      <c r="D969" s="65"/>
      <c r="E969" s="65"/>
      <c r="F969" s="65"/>
      <c r="H969" s="65"/>
      <c r="J969" s="65"/>
      <c r="K969" s="65"/>
      <c r="L969" s="65"/>
    </row>
    <row r="970" ht="15.75" customHeight="1">
      <c r="C970" s="65"/>
      <c r="D970" s="65"/>
      <c r="E970" s="65"/>
      <c r="F970" s="65"/>
      <c r="H970" s="65"/>
      <c r="J970" s="65"/>
      <c r="K970" s="65"/>
      <c r="L970" s="65"/>
    </row>
    <row r="971" ht="15.75" customHeight="1">
      <c r="C971" s="65"/>
      <c r="D971" s="65"/>
      <c r="E971" s="65"/>
      <c r="F971" s="65"/>
      <c r="H971" s="65"/>
      <c r="J971" s="65"/>
      <c r="K971" s="65"/>
      <c r="L971" s="65"/>
    </row>
    <row r="972" ht="15.75" customHeight="1">
      <c r="C972" s="65"/>
      <c r="D972" s="65"/>
      <c r="E972" s="65"/>
      <c r="F972" s="65"/>
      <c r="H972" s="65"/>
      <c r="J972" s="65"/>
      <c r="K972" s="65"/>
      <c r="L972" s="65"/>
    </row>
    <row r="973" ht="15.75" customHeight="1">
      <c r="C973" s="65"/>
      <c r="D973" s="65"/>
      <c r="E973" s="65"/>
      <c r="F973" s="65"/>
      <c r="H973" s="65"/>
      <c r="J973" s="65"/>
      <c r="K973" s="65"/>
      <c r="L973" s="65"/>
    </row>
    <row r="974" ht="15.75" customHeight="1">
      <c r="C974" s="65"/>
      <c r="D974" s="65"/>
      <c r="E974" s="65"/>
      <c r="F974" s="65"/>
      <c r="H974" s="65"/>
      <c r="J974" s="65"/>
      <c r="K974" s="65"/>
      <c r="L974" s="65"/>
    </row>
    <row r="975" ht="15.75" customHeight="1">
      <c r="C975" s="65"/>
      <c r="D975" s="65"/>
      <c r="E975" s="65"/>
      <c r="F975" s="65"/>
      <c r="H975" s="65"/>
      <c r="J975" s="65"/>
      <c r="K975" s="65"/>
      <c r="L975" s="65"/>
    </row>
    <row r="976" ht="15.75" customHeight="1">
      <c r="C976" s="65"/>
      <c r="D976" s="65"/>
      <c r="E976" s="65"/>
      <c r="F976" s="65"/>
      <c r="H976" s="65"/>
      <c r="J976" s="65"/>
      <c r="K976" s="65"/>
      <c r="L976" s="65"/>
    </row>
    <row r="977" ht="15.75" customHeight="1">
      <c r="C977" s="65"/>
      <c r="D977" s="65"/>
      <c r="E977" s="65"/>
      <c r="F977" s="65"/>
      <c r="H977" s="65"/>
      <c r="J977" s="65"/>
      <c r="K977" s="65"/>
      <c r="L977" s="65"/>
    </row>
    <row r="978" ht="15.75" customHeight="1">
      <c r="C978" s="65"/>
      <c r="D978" s="65"/>
      <c r="E978" s="65"/>
      <c r="F978" s="65"/>
      <c r="H978" s="65"/>
      <c r="J978" s="65"/>
      <c r="K978" s="65"/>
      <c r="L978" s="65"/>
    </row>
    <row r="979" ht="15.75" customHeight="1">
      <c r="C979" s="65"/>
      <c r="D979" s="65"/>
      <c r="E979" s="65"/>
      <c r="F979" s="65"/>
      <c r="H979" s="65"/>
      <c r="J979" s="65"/>
      <c r="K979" s="65"/>
      <c r="L979" s="65"/>
    </row>
    <row r="980" ht="15.75" customHeight="1">
      <c r="C980" s="65"/>
      <c r="D980" s="65"/>
      <c r="E980" s="65"/>
      <c r="F980" s="65"/>
      <c r="H980" s="65"/>
      <c r="J980" s="65"/>
      <c r="K980" s="65"/>
      <c r="L980" s="65"/>
    </row>
    <row r="981" ht="15.75" customHeight="1">
      <c r="C981" s="65"/>
      <c r="D981" s="65"/>
      <c r="E981" s="65"/>
      <c r="F981" s="65"/>
      <c r="H981" s="65"/>
      <c r="J981" s="65"/>
      <c r="K981" s="65"/>
      <c r="L981" s="65"/>
    </row>
    <row r="982" ht="15.75" customHeight="1">
      <c r="C982" s="65"/>
      <c r="D982" s="65"/>
      <c r="E982" s="65"/>
      <c r="F982" s="65"/>
      <c r="H982" s="65"/>
      <c r="J982" s="65"/>
      <c r="K982" s="65"/>
      <c r="L982" s="65"/>
    </row>
    <row r="983" ht="15.75" customHeight="1">
      <c r="C983" s="65"/>
      <c r="D983" s="65"/>
      <c r="E983" s="65"/>
      <c r="F983" s="65"/>
      <c r="H983" s="65"/>
      <c r="J983" s="65"/>
      <c r="K983" s="65"/>
      <c r="L983" s="65"/>
    </row>
    <row r="984" ht="15.75" customHeight="1">
      <c r="C984" s="65"/>
      <c r="D984" s="65"/>
      <c r="E984" s="65"/>
      <c r="F984" s="65"/>
      <c r="H984" s="65"/>
      <c r="J984" s="65"/>
      <c r="K984" s="65"/>
      <c r="L984" s="65"/>
    </row>
    <row r="985" ht="15.75" customHeight="1">
      <c r="C985" s="65"/>
      <c r="D985" s="65"/>
      <c r="E985" s="65"/>
      <c r="F985" s="65"/>
      <c r="H985" s="65"/>
      <c r="J985" s="65"/>
      <c r="K985" s="65"/>
      <c r="L985" s="65"/>
    </row>
    <row r="986" ht="15.75" customHeight="1">
      <c r="C986" s="65"/>
      <c r="D986" s="65"/>
      <c r="E986" s="65"/>
      <c r="F986" s="65"/>
      <c r="H986" s="65"/>
      <c r="J986" s="65"/>
      <c r="K986" s="65"/>
      <c r="L986" s="65"/>
    </row>
    <row r="987" ht="15.75" customHeight="1">
      <c r="C987" s="65"/>
      <c r="D987" s="65"/>
      <c r="E987" s="65"/>
      <c r="F987" s="65"/>
      <c r="H987" s="65"/>
      <c r="J987" s="65"/>
      <c r="K987" s="65"/>
      <c r="L987" s="65"/>
    </row>
    <row r="988" ht="15.75" customHeight="1">
      <c r="C988" s="65"/>
      <c r="D988" s="65"/>
      <c r="E988" s="65"/>
      <c r="F988" s="65"/>
      <c r="H988" s="65"/>
      <c r="J988" s="65"/>
      <c r="K988" s="65"/>
      <c r="L988" s="65"/>
    </row>
    <row r="989" ht="15.75" customHeight="1">
      <c r="C989" s="65"/>
      <c r="D989" s="65"/>
      <c r="E989" s="65"/>
      <c r="F989" s="65"/>
      <c r="H989" s="65"/>
      <c r="J989" s="65"/>
      <c r="K989" s="65"/>
      <c r="L989" s="65"/>
    </row>
    <row r="990" ht="15.75" customHeight="1">
      <c r="C990" s="65"/>
      <c r="D990" s="65"/>
      <c r="E990" s="65"/>
      <c r="F990" s="65"/>
      <c r="H990" s="65"/>
      <c r="J990" s="65"/>
      <c r="K990" s="65"/>
      <c r="L990" s="65"/>
    </row>
    <row r="991" ht="15.75" customHeight="1">
      <c r="C991" s="65"/>
      <c r="D991" s="65"/>
      <c r="E991" s="65"/>
      <c r="F991" s="65"/>
      <c r="H991" s="65"/>
      <c r="J991" s="65"/>
      <c r="K991" s="65"/>
      <c r="L991" s="65"/>
    </row>
    <row r="992" ht="15.75" customHeight="1">
      <c r="C992" s="65"/>
      <c r="D992" s="65"/>
      <c r="E992" s="65"/>
      <c r="F992" s="65"/>
      <c r="H992" s="65"/>
      <c r="J992" s="65"/>
      <c r="K992" s="65"/>
      <c r="L992" s="65"/>
    </row>
    <row r="993" ht="15.75" customHeight="1">
      <c r="C993" s="65"/>
      <c r="D993" s="65"/>
      <c r="E993" s="65"/>
      <c r="F993" s="65"/>
      <c r="H993" s="65"/>
      <c r="J993" s="65"/>
      <c r="K993" s="65"/>
      <c r="L993" s="65"/>
    </row>
    <row r="994" ht="15.75" customHeight="1">
      <c r="C994" s="65"/>
      <c r="D994" s="65"/>
      <c r="E994" s="65"/>
      <c r="F994" s="65"/>
      <c r="H994" s="65"/>
      <c r="J994" s="65"/>
      <c r="K994" s="65"/>
      <c r="L994" s="65"/>
    </row>
    <row r="995" ht="15.75" customHeight="1">
      <c r="C995" s="65"/>
      <c r="D995" s="65"/>
      <c r="E995" s="65"/>
      <c r="F995" s="65"/>
      <c r="H995" s="65"/>
      <c r="J995" s="65"/>
      <c r="K995" s="65"/>
      <c r="L995" s="65"/>
    </row>
    <row r="996" ht="15.75" customHeight="1">
      <c r="C996" s="65"/>
      <c r="D996" s="65"/>
      <c r="E996" s="65"/>
      <c r="F996" s="65"/>
      <c r="H996" s="65"/>
      <c r="J996" s="65"/>
      <c r="K996" s="65"/>
      <c r="L996" s="65"/>
    </row>
    <row r="997" ht="15.75" customHeight="1">
      <c r="C997" s="65"/>
      <c r="D997" s="65"/>
      <c r="E997" s="65"/>
      <c r="F997" s="65"/>
      <c r="H997" s="65"/>
      <c r="J997" s="65"/>
      <c r="K997" s="65"/>
      <c r="L997" s="65"/>
    </row>
    <row r="998" ht="15.75" customHeight="1">
      <c r="C998" s="65"/>
      <c r="D998" s="65"/>
      <c r="E998" s="65"/>
      <c r="F998" s="65"/>
      <c r="H998" s="65"/>
      <c r="J998" s="65"/>
      <c r="K998" s="65"/>
      <c r="L998" s="65"/>
    </row>
    <row r="999" ht="15.75" customHeight="1">
      <c r="C999" s="65"/>
      <c r="D999" s="65"/>
      <c r="E999" s="65"/>
      <c r="F999" s="65"/>
      <c r="H999" s="65"/>
      <c r="J999" s="65"/>
      <c r="K999" s="65"/>
      <c r="L999" s="65"/>
    </row>
    <row r="1000" ht="15.75" customHeight="1">
      <c r="C1000" s="65"/>
      <c r="D1000" s="65"/>
      <c r="E1000" s="65"/>
      <c r="F1000" s="65"/>
      <c r="H1000" s="65"/>
      <c r="J1000" s="65"/>
      <c r="K1000" s="65"/>
      <c r="L1000" s="65"/>
    </row>
    <row r="1001" ht="15.75" customHeight="1">
      <c r="C1001" s="65"/>
      <c r="D1001" s="65"/>
      <c r="E1001" s="65"/>
      <c r="F1001" s="65"/>
      <c r="H1001" s="65"/>
      <c r="J1001" s="65"/>
      <c r="K1001" s="65"/>
      <c r="L1001" s="65"/>
    </row>
    <row r="1002" ht="15.75" customHeight="1">
      <c r="C1002" s="65"/>
      <c r="D1002" s="65"/>
      <c r="E1002" s="65"/>
      <c r="F1002" s="65"/>
      <c r="H1002" s="65"/>
      <c r="J1002" s="65"/>
      <c r="K1002" s="65"/>
      <c r="L1002" s="65"/>
    </row>
  </sheetData>
  <autoFilter ref="$A$1:$M$23"/>
  <dataValidations>
    <dataValidation type="list" allowBlank="1" sqref="K2:K1002">
      <formula1>"SCRUM-3,SCRUM-191,SCRUM-13,SCRUM-226,SCRUM-225,SCRUM-224,SCRUM-223,SCRUM-221,SCRUM-220,SCRUM-15,SCRUM-230,SCRUM-227,SCRUM-233,SCRUM-232,SCRUM-231,SCRUM-229,SCRUM-228,SCRUM-253,SCRUM-238,SCRUM-16"</formula1>
    </dataValidation>
    <dataValidation type="list" allowBlank="1" sqref="L2:L1002">
      <formula1>'_Lists'!$A$2:$A$43</formula1>
    </dataValidation>
    <dataValidation type="date" operator="greaterThanOrEqual" allowBlank="1" showInputMessage="1" prompt="Due Date - Enter a date (YYYY-MM-DD)" sqref="H2:H1002">
      <formula1>2020-1-1</formula1>
    </dataValidation>
    <dataValidation type="list" allowBlank="1" sqref="F2:F1002">
      <formula1>"Amy Tripp,Napadech,Nattapat Suwansipaisan,Nutgritta Prasomthongsuk,Thiraphat Panthong"</formula1>
    </dataValidation>
    <dataValidation type="list" allowBlank="1" sqref="D2:D1002">
      <formula1>"To Do,In Progress,Done,Closed,Resolved"</formula1>
    </dataValidation>
    <dataValidation type="list" allowBlank="1" sqref="E2:E1002">
      <formula1>"Highest,High,Medium,Low,Lowest"</formula1>
    </dataValidation>
    <dataValidation type="list" allowBlank="1" sqref="J2:J1002">
      <formula1>"SCRUM Sprint 1,SCRUM Sprint 2,SCRUM Sprint 3,SCRUM Sprint 4"</formula1>
    </dataValidation>
    <dataValidation type="list" allowBlank="1" sqref="C2:C1002">
      <formula1>"Epic,Task,Test,Subtask"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2.0"/>
    <col customWidth="1" min="2" max="2" width="45.0"/>
    <col customWidth="1" min="3" max="3" width="13.0"/>
    <col customWidth="1" min="4" max="4" width="13.57"/>
    <col customWidth="1" min="5" max="5" width="11.0"/>
    <col customWidth="1" min="6" max="7" width="21.0"/>
    <col customWidth="1" min="8" max="8" width="15.86"/>
    <col customWidth="1" min="9" max="9" width="12.71"/>
    <col customWidth="1" min="10" max="10" width="20.43"/>
    <col customWidth="1" min="11" max="11" width="17.0"/>
    <col customWidth="1" min="12" max="12" width="22.29"/>
    <col customWidth="1" min="13" max="13" width="27.0"/>
  </cols>
  <sheetData>
    <row r="1" ht="30.0" customHeight="1">
      <c r="A1" s="17" t="s">
        <v>52</v>
      </c>
      <c r="B1" s="17" t="s">
        <v>53</v>
      </c>
      <c r="C1" s="17" t="s">
        <v>54</v>
      </c>
      <c r="D1" s="17" t="s">
        <v>38</v>
      </c>
      <c r="E1" s="17" t="s">
        <v>55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37</v>
      </c>
      <c r="K1" s="17" t="s">
        <v>60</v>
      </c>
      <c r="L1" s="17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4" t="s">
        <v>18</v>
      </c>
      <c r="B2" s="44" t="s">
        <v>19</v>
      </c>
      <c r="C2" s="45" t="s">
        <v>62</v>
      </c>
      <c r="D2" s="19" t="s">
        <v>14</v>
      </c>
      <c r="E2" s="46" t="s">
        <v>63</v>
      </c>
      <c r="F2" s="47"/>
      <c r="G2" s="47" t="s">
        <v>64</v>
      </c>
      <c r="H2" s="48" t="s">
        <v>291</v>
      </c>
      <c r="I2" s="47"/>
      <c r="J2" s="47"/>
      <c r="K2" s="47"/>
      <c r="L2" s="4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 outlineLevel="1">
      <c r="A3" s="49" t="s">
        <v>406</v>
      </c>
      <c r="B3" s="49" t="s">
        <v>360</v>
      </c>
      <c r="C3" s="50" t="s">
        <v>68</v>
      </c>
      <c r="D3" s="19" t="s">
        <v>14</v>
      </c>
      <c r="E3" s="46" t="s">
        <v>63</v>
      </c>
      <c r="F3" s="52" t="s">
        <v>70</v>
      </c>
      <c r="G3" s="52" t="s">
        <v>157</v>
      </c>
      <c r="H3" s="53" t="s">
        <v>117</v>
      </c>
      <c r="I3" s="52"/>
      <c r="J3" s="52" t="s">
        <v>39</v>
      </c>
      <c r="K3" s="52" t="s">
        <v>18</v>
      </c>
      <c r="L3" s="52" t="s">
        <v>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customHeight="1" outlineLevel="1">
      <c r="A4" s="49" t="s">
        <v>407</v>
      </c>
      <c r="B4" s="49" t="s">
        <v>408</v>
      </c>
      <c r="C4" s="50" t="s">
        <v>68</v>
      </c>
      <c r="D4" s="19" t="s">
        <v>14</v>
      </c>
      <c r="E4" s="51" t="s">
        <v>69</v>
      </c>
      <c r="F4" s="52" t="s">
        <v>70</v>
      </c>
      <c r="G4" s="52" t="s">
        <v>157</v>
      </c>
      <c r="H4" s="53" t="s">
        <v>395</v>
      </c>
      <c r="I4" s="52"/>
      <c r="J4" s="52" t="s">
        <v>39</v>
      </c>
      <c r="K4" s="52" t="s">
        <v>18</v>
      </c>
      <c r="L4" s="52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 outlineLevel="2">
      <c r="A5" s="57" t="s">
        <v>409</v>
      </c>
      <c r="B5" s="57" t="s">
        <v>410</v>
      </c>
      <c r="C5" s="55" t="s">
        <v>75</v>
      </c>
      <c r="D5" s="19" t="s">
        <v>14</v>
      </c>
      <c r="E5" s="51" t="s">
        <v>69</v>
      </c>
      <c r="F5" s="58" t="s">
        <v>70</v>
      </c>
      <c r="G5" s="58" t="s">
        <v>117</v>
      </c>
      <c r="H5" s="60" t="s">
        <v>112</v>
      </c>
      <c r="I5" s="58"/>
      <c r="J5" s="58" t="s">
        <v>39</v>
      </c>
      <c r="K5" s="58" t="s">
        <v>407</v>
      </c>
      <c r="L5" s="58" t="s">
        <v>408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customHeight="1" outlineLevel="2">
      <c r="A6" s="54" t="s">
        <v>411</v>
      </c>
      <c r="B6" s="54" t="s">
        <v>373</v>
      </c>
      <c r="C6" s="55" t="s">
        <v>75</v>
      </c>
      <c r="D6" s="19" t="s">
        <v>14</v>
      </c>
      <c r="E6" s="51" t="s">
        <v>69</v>
      </c>
      <c r="F6" s="56" t="s">
        <v>70</v>
      </c>
      <c r="G6" s="56" t="s">
        <v>117</v>
      </c>
      <c r="H6" s="59" t="s">
        <v>112</v>
      </c>
      <c r="I6" s="56"/>
      <c r="J6" s="56" t="s">
        <v>39</v>
      </c>
      <c r="K6" s="56" t="s">
        <v>407</v>
      </c>
      <c r="L6" s="56" t="s">
        <v>408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9.5" customHeight="1" outlineLevel="2">
      <c r="A7" s="57" t="s">
        <v>412</v>
      </c>
      <c r="B7" s="57" t="s">
        <v>413</v>
      </c>
      <c r="C7" s="55" t="s">
        <v>75</v>
      </c>
      <c r="D7" s="19" t="s">
        <v>14</v>
      </c>
      <c r="E7" s="51" t="s">
        <v>69</v>
      </c>
      <c r="F7" s="58" t="s">
        <v>70</v>
      </c>
      <c r="G7" s="58" t="s">
        <v>117</v>
      </c>
      <c r="H7" s="60" t="s">
        <v>112</v>
      </c>
      <c r="I7" s="58"/>
      <c r="J7" s="58" t="s">
        <v>39</v>
      </c>
      <c r="K7" s="58" t="s">
        <v>407</v>
      </c>
      <c r="L7" s="58" t="s">
        <v>408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customHeight="1" outlineLevel="2">
      <c r="A8" s="54" t="s">
        <v>414</v>
      </c>
      <c r="B8" s="54" t="s">
        <v>415</v>
      </c>
      <c r="C8" s="55" t="s">
        <v>75</v>
      </c>
      <c r="D8" s="19" t="s">
        <v>14</v>
      </c>
      <c r="E8" s="51" t="s">
        <v>69</v>
      </c>
      <c r="F8" s="56" t="s">
        <v>70</v>
      </c>
      <c r="G8" s="56" t="s">
        <v>416</v>
      </c>
      <c r="H8" s="59" t="s">
        <v>118</v>
      </c>
      <c r="I8" s="56"/>
      <c r="J8" s="56" t="s">
        <v>39</v>
      </c>
      <c r="K8" s="56" t="s">
        <v>407</v>
      </c>
      <c r="L8" s="56" t="s">
        <v>408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9.5" customHeight="1" outlineLevel="2">
      <c r="A9" s="57" t="s">
        <v>417</v>
      </c>
      <c r="B9" s="57" t="s">
        <v>418</v>
      </c>
      <c r="C9" s="55" t="s">
        <v>75</v>
      </c>
      <c r="D9" s="19" t="s">
        <v>14</v>
      </c>
      <c r="E9" s="51" t="s">
        <v>69</v>
      </c>
      <c r="F9" s="58" t="s">
        <v>70</v>
      </c>
      <c r="G9" s="58" t="s">
        <v>117</v>
      </c>
      <c r="H9" s="60" t="s">
        <v>401</v>
      </c>
      <c r="I9" s="58"/>
      <c r="J9" s="58" t="s">
        <v>39</v>
      </c>
      <c r="K9" s="58" t="s">
        <v>407</v>
      </c>
      <c r="L9" s="58" t="s">
        <v>408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9.5" customHeight="1" outlineLevel="2">
      <c r="A10" s="54" t="s">
        <v>419</v>
      </c>
      <c r="B10" s="54" t="s">
        <v>420</v>
      </c>
      <c r="C10" s="55" t="s">
        <v>75</v>
      </c>
      <c r="D10" s="19" t="s">
        <v>14</v>
      </c>
      <c r="E10" s="51" t="s">
        <v>69</v>
      </c>
      <c r="F10" s="56" t="s">
        <v>70</v>
      </c>
      <c r="G10" s="56" t="s">
        <v>117</v>
      </c>
      <c r="H10" s="59" t="s">
        <v>118</v>
      </c>
      <c r="I10" s="56"/>
      <c r="J10" s="56" t="s">
        <v>39</v>
      </c>
      <c r="K10" s="56" t="s">
        <v>407</v>
      </c>
      <c r="L10" s="56" t="s">
        <v>408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.5" customHeight="1" outlineLevel="2">
      <c r="A11" s="57" t="s">
        <v>421</v>
      </c>
      <c r="B11" s="57" t="s">
        <v>422</v>
      </c>
      <c r="C11" s="55" t="s">
        <v>75</v>
      </c>
      <c r="D11" s="19" t="s">
        <v>14</v>
      </c>
      <c r="E11" s="51" t="s">
        <v>69</v>
      </c>
      <c r="F11" s="58" t="s">
        <v>70</v>
      </c>
      <c r="G11" s="58" t="s">
        <v>117</v>
      </c>
      <c r="H11" s="60" t="s">
        <v>118</v>
      </c>
      <c r="I11" s="58"/>
      <c r="J11" s="58" t="s">
        <v>39</v>
      </c>
      <c r="K11" s="58" t="s">
        <v>407</v>
      </c>
      <c r="L11" s="58" t="s">
        <v>408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9.5" customHeight="1" outlineLevel="1">
      <c r="A12" s="49" t="s">
        <v>423</v>
      </c>
      <c r="B12" s="49" t="s">
        <v>424</v>
      </c>
      <c r="C12" s="50" t="s">
        <v>68</v>
      </c>
      <c r="D12" s="81" t="s">
        <v>14</v>
      </c>
      <c r="E12" s="46" t="s">
        <v>63</v>
      </c>
      <c r="F12" s="52" t="s">
        <v>139</v>
      </c>
      <c r="G12" s="52" t="s">
        <v>64</v>
      </c>
      <c r="H12" s="53" t="s">
        <v>242</v>
      </c>
      <c r="I12" s="52"/>
      <c r="J12" s="52" t="s">
        <v>39</v>
      </c>
      <c r="K12" s="52" t="s">
        <v>18</v>
      </c>
      <c r="L12" s="52" t="s">
        <v>19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.5" customHeight="1" outlineLevel="2">
      <c r="A13" s="57" t="s">
        <v>425</v>
      </c>
      <c r="B13" s="57" t="s">
        <v>426</v>
      </c>
      <c r="C13" s="55" t="s">
        <v>75</v>
      </c>
      <c r="D13" s="19" t="s">
        <v>14</v>
      </c>
      <c r="E13" s="51" t="s">
        <v>69</v>
      </c>
      <c r="F13" s="58" t="s">
        <v>139</v>
      </c>
      <c r="G13" s="58" t="s">
        <v>90</v>
      </c>
      <c r="H13" s="58"/>
      <c r="I13" s="58"/>
      <c r="J13" s="58" t="s">
        <v>39</v>
      </c>
      <c r="K13" s="58" t="s">
        <v>423</v>
      </c>
      <c r="L13" s="58" t="s">
        <v>424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9.5" customHeight="1" outlineLevel="2">
      <c r="A14" s="54" t="s">
        <v>427</v>
      </c>
      <c r="B14" s="54" t="s">
        <v>428</v>
      </c>
      <c r="C14" s="55" t="s">
        <v>75</v>
      </c>
      <c r="D14" s="19" t="s">
        <v>14</v>
      </c>
      <c r="E14" s="51" t="s">
        <v>69</v>
      </c>
      <c r="F14" s="56" t="s">
        <v>139</v>
      </c>
      <c r="G14" s="56" t="s">
        <v>76</v>
      </c>
      <c r="H14" s="56"/>
      <c r="I14" s="56"/>
      <c r="J14" s="56" t="s">
        <v>39</v>
      </c>
      <c r="K14" s="56" t="s">
        <v>423</v>
      </c>
      <c r="L14" s="56" t="s">
        <v>424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9.5" customHeight="1" outlineLevel="2">
      <c r="A15" s="57" t="s">
        <v>429</v>
      </c>
      <c r="B15" s="57" t="s">
        <v>430</v>
      </c>
      <c r="C15" s="55" t="s">
        <v>75</v>
      </c>
      <c r="D15" s="19" t="s">
        <v>14</v>
      </c>
      <c r="E15" s="51" t="s">
        <v>69</v>
      </c>
      <c r="F15" s="58" t="s">
        <v>139</v>
      </c>
      <c r="G15" s="58" t="s">
        <v>76</v>
      </c>
      <c r="H15" s="58"/>
      <c r="I15" s="58"/>
      <c r="J15" s="58" t="s">
        <v>39</v>
      </c>
      <c r="K15" s="58" t="s">
        <v>423</v>
      </c>
      <c r="L15" s="58" t="s">
        <v>424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9.5" customHeight="1" outlineLevel="2">
      <c r="A16" s="54" t="s">
        <v>431</v>
      </c>
      <c r="B16" s="54" t="s">
        <v>432</v>
      </c>
      <c r="C16" s="55" t="s">
        <v>75</v>
      </c>
      <c r="D16" s="19" t="s">
        <v>14</v>
      </c>
      <c r="E16" s="51" t="s">
        <v>69</v>
      </c>
      <c r="F16" s="56" t="s">
        <v>139</v>
      </c>
      <c r="G16" s="56" t="s">
        <v>76</v>
      </c>
      <c r="H16" s="56"/>
      <c r="I16" s="56"/>
      <c r="J16" s="56" t="s">
        <v>39</v>
      </c>
      <c r="K16" s="56" t="s">
        <v>423</v>
      </c>
      <c r="L16" s="56" t="s">
        <v>424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9.5" customHeight="1" outlineLevel="2">
      <c r="A17" s="57" t="s">
        <v>433</v>
      </c>
      <c r="B17" s="57" t="s">
        <v>434</v>
      </c>
      <c r="C17" s="55" t="s">
        <v>75</v>
      </c>
      <c r="D17" s="19" t="s">
        <v>14</v>
      </c>
      <c r="E17" s="51" t="s">
        <v>69</v>
      </c>
      <c r="F17" s="58" t="s">
        <v>139</v>
      </c>
      <c r="G17" s="58" t="s">
        <v>76</v>
      </c>
      <c r="H17" s="58"/>
      <c r="I17" s="58"/>
      <c r="J17" s="58" t="s">
        <v>39</v>
      </c>
      <c r="K17" s="58" t="s">
        <v>423</v>
      </c>
      <c r="L17" s="58" t="s">
        <v>424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9.5" customHeight="1" outlineLevel="1">
      <c r="A18" s="49" t="s">
        <v>435</v>
      </c>
      <c r="B18" s="49" t="s">
        <v>436</v>
      </c>
      <c r="C18" s="50" t="s">
        <v>68</v>
      </c>
      <c r="D18" s="19" t="s">
        <v>14</v>
      </c>
      <c r="E18" s="46" t="s">
        <v>63</v>
      </c>
      <c r="F18" s="52" t="s">
        <v>139</v>
      </c>
      <c r="G18" s="52" t="s">
        <v>64</v>
      </c>
      <c r="H18" s="53" t="s">
        <v>202</v>
      </c>
      <c r="I18" s="52"/>
      <c r="J18" s="52" t="s">
        <v>39</v>
      </c>
      <c r="K18" s="52" t="s">
        <v>18</v>
      </c>
      <c r="L18" s="52" t="s">
        <v>19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9.5" customHeight="1" outlineLevel="2">
      <c r="A19" s="57" t="s">
        <v>437</v>
      </c>
      <c r="B19" s="57" t="s">
        <v>438</v>
      </c>
      <c r="C19" s="55" t="s">
        <v>75</v>
      </c>
      <c r="D19" s="19" t="s">
        <v>14</v>
      </c>
      <c r="E19" s="51" t="s">
        <v>69</v>
      </c>
      <c r="F19" s="58" t="s">
        <v>139</v>
      </c>
      <c r="G19" s="58" t="s">
        <v>76</v>
      </c>
      <c r="H19" s="60" t="s">
        <v>439</v>
      </c>
      <c r="I19" s="58"/>
      <c r="J19" s="58" t="s">
        <v>39</v>
      </c>
      <c r="K19" s="58" t="s">
        <v>435</v>
      </c>
      <c r="L19" s="58" t="s">
        <v>436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9.5" customHeight="1" outlineLevel="2">
      <c r="A20" s="54" t="s">
        <v>440</v>
      </c>
      <c r="B20" s="54" t="s">
        <v>441</v>
      </c>
      <c r="C20" s="55" t="s">
        <v>75</v>
      </c>
      <c r="D20" s="19" t="s">
        <v>14</v>
      </c>
      <c r="E20" s="51" t="s">
        <v>69</v>
      </c>
      <c r="F20" s="56" t="s">
        <v>139</v>
      </c>
      <c r="G20" s="56" t="s">
        <v>76</v>
      </c>
      <c r="H20" s="59" t="s">
        <v>439</v>
      </c>
      <c r="I20" s="56"/>
      <c r="J20" s="56" t="s">
        <v>39</v>
      </c>
      <c r="K20" s="56" t="s">
        <v>435</v>
      </c>
      <c r="L20" s="56" t="s">
        <v>436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9.5" customHeight="1" outlineLevel="2">
      <c r="A21" s="57" t="s">
        <v>442</v>
      </c>
      <c r="B21" s="57" t="s">
        <v>390</v>
      </c>
      <c r="C21" s="55" t="s">
        <v>75</v>
      </c>
      <c r="D21" s="19" t="s">
        <v>14</v>
      </c>
      <c r="E21" s="51" t="s">
        <v>69</v>
      </c>
      <c r="F21" s="58" t="s">
        <v>139</v>
      </c>
      <c r="G21" s="58" t="s">
        <v>245</v>
      </c>
      <c r="H21" s="60" t="s">
        <v>265</v>
      </c>
      <c r="I21" s="58"/>
      <c r="J21" s="58" t="s">
        <v>39</v>
      </c>
      <c r="K21" s="58" t="s">
        <v>435</v>
      </c>
      <c r="L21" s="58" t="s">
        <v>436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9.5" customHeight="1" outlineLevel="2">
      <c r="A22" s="54" t="s">
        <v>443</v>
      </c>
      <c r="B22" s="54" t="s">
        <v>392</v>
      </c>
      <c r="C22" s="55" t="s">
        <v>75</v>
      </c>
      <c r="D22" s="19" t="s">
        <v>14</v>
      </c>
      <c r="E22" s="51" t="s">
        <v>69</v>
      </c>
      <c r="F22" s="56" t="s">
        <v>139</v>
      </c>
      <c r="G22" s="56" t="s">
        <v>245</v>
      </c>
      <c r="H22" s="59" t="s">
        <v>202</v>
      </c>
      <c r="I22" s="56"/>
      <c r="J22" s="56" t="s">
        <v>39</v>
      </c>
      <c r="K22" s="56" t="s">
        <v>435</v>
      </c>
      <c r="L22" s="56" t="s">
        <v>436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9.5" customHeight="1" outlineLevel="2">
      <c r="A23" s="57" t="s">
        <v>444</v>
      </c>
      <c r="B23" s="57" t="s">
        <v>388</v>
      </c>
      <c r="C23" s="55" t="s">
        <v>75</v>
      </c>
      <c r="D23" s="19" t="s">
        <v>14</v>
      </c>
      <c r="E23" s="51" t="s">
        <v>69</v>
      </c>
      <c r="F23" s="58" t="s">
        <v>139</v>
      </c>
      <c r="G23" s="58" t="s">
        <v>245</v>
      </c>
      <c r="H23" s="60" t="s">
        <v>202</v>
      </c>
      <c r="I23" s="58"/>
      <c r="J23" s="58" t="s">
        <v>39</v>
      </c>
      <c r="K23" s="58" t="s">
        <v>435</v>
      </c>
      <c r="L23" s="58" t="s">
        <v>436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9.5" customHeight="1" outlineLevel="2">
      <c r="A24" s="54" t="s">
        <v>445</v>
      </c>
      <c r="B24" s="54" t="s">
        <v>386</v>
      </c>
      <c r="C24" s="55" t="s">
        <v>75</v>
      </c>
      <c r="D24" s="19" t="s">
        <v>14</v>
      </c>
      <c r="E24" s="51" t="s">
        <v>69</v>
      </c>
      <c r="F24" s="56" t="s">
        <v>139</v>
      </c>
      <c r="G24" s="56" t="s">
        <v>245</v>
      </c>
      <c r="H24" s="59" t="s">
        <v>202</v>
      </c>
      <c r="I24" s="56"/>
      <c r="J24" s="56" t="s">
        <v>39</v>
      </c>
      <c r="K24" s="56" t="s">
        <v>435</v>
      </c>
      <c r="L24" s="56" t="s">
        <v>436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9.5" customHeight="1" outlineLevel="2">
      <c r="A25" s="57" t="s">
        <v>446</v>
      </c>
      <c r="B25" s="57" t="s">
        <v>447</v>
      </c>
      <c r="C25" s="55" t="s">
        <v>75</v>
      </c>
      <c r="D25" s="19" t="s">
        <v>14</v>
      </c>
      <c r="E25" s="51" t="s">
        <v>69</v>
      </c>
      <c r="F25" s="58" t="s">
        <v>139</v>
      </c>
      <c r="G25" s="58" t="s">
        <v>245</v>
      </c>
      <c r="H25" s="60" t="s">
        <v>439</v>
      </c>
      <c r="I25" s="58"/>
      <c r="J25" s="58" t="s">
        <v>39</v>
      </c>
      <c r="K25" s="58" t="s">
        <v>435</v>
      </c>
      <c r="L25" s="58" t="s">
        <v>436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9.5" customHeight="1" outlineLevel="2">
      <c r="A26" s="54" t="s">
        <v>448</v>
      </c>
      <c r="B26" s="54" t="s">
        <v>382</v>
      </c>
      <c r="C26" s="55" t="s">
        <v>75</v>
      </c>
      <c r="D26" s="19" t="s">
        <v>14</v>
      </c>
      <c r="E26" s="51" t="s">
        <v>69</v>
      </c>
      <c r="F26" s="56" t="s">
        <v>139</v>
      </c>
      <c r="G26" s="56" t="s">
        <v>245</v>
      </c>
      <c r="H26" s="59" t="s">
        <v>439</v>
      </c>
      <c r="I26" s="56"/>
      <c r="J26" s="56" t="s">
        <v>39</v>
      </c>
      <c r="K26" s="56" t="s">
        <v>435</v>
      </c>
      <c r="L26" s="56" t="s">
        <v>436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9.5" customHeight="1" outlineLevel="1">
      <c r="A27" s="49" t="s">
        <v>449</v>
      </c>
      <c r="B27" s="49" t="s">
        <v>450</v>
      </c>
      <c r="C27" s="50" t="s">
        <v>68</v>
      </c>
      <c r="D27" s="19" t="s">
        <v>14</v>
      </c>
      <c r="E27" s="51" t="s">
        <v>69</v>
      </c>
      <c r="F27" s="52" t="s">
        <v>70</v>
      </c>
      <c r="G27" s="52" t="s">
        <v>401</v>
      </c>
      <c r="H27" s="53" t="s">
        <v>396</v>
      </c>
      <c r="I27" s="52"/>
      <c r="J27" s="52" t="s">
        <v>39</v>
      </c>
      <c r="K27" s="52" t="s">
        <v>18</v>
      </c>
      <c r="L27" s="52" t="s">
        <v>19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9.5" customHeight="1" outlineLevel="2">
      <c r="A28" s="54" t="s">
        <v>451</v>
      </c>
      <c r="B28" s="54" t="s">
        <v>452</v>
      </c>
      <c r="C28" s="55" t="s">
        <v>75</v>
      </c>
      <c r="D28" s="19" t="s">
        <v>14</v>
      </c>
      <c r="E28" s="51" t="s">
        <v>69</v>
      </c>
      <c r="F28" s="56" t="s">
        <v>70</v>
      </c>
      <c r="G28" s="56" t="s">
        <v>401</v>
      </c>
      <c r="H28" s="56"/>
      <c r="I28" s="56"/>
      <c r="J28" s="56" t="s">
        <v>39</v>
      </c>
      <c r="K28" s="56" t="s">
        <v>449</v>
      </c>
      <c r="L28" s="56" t="s">
        <v>450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9.5" customHeight="1" outlineLevel="2">
      <c r="A29" s="57" t="s">
        <v>453</v>
      </c>
      <c r="B29" s="57" t="s">
        <v>454</v>
      </c>
      <c r="C29" s="55" t="s">
        <v>75</v>
      </c>
      <c r="D29" s="19" t="s">
        <v>14</v>
      </c>
      <c r="E29" s="51" t="s">
        <v>69</v>
      </c>
      <c r="F29" s="58" t="s">
        <v>70</v>
      </c>
      <c r="G29" s="58" t="s">
        <v>455</v>
      </c>
      <c r="H29" s="58"/>
      <c r="I29" s="58"/>
      <c r="J29" s="58" t="s">
        <v>39</v>
      </c>
      <c r="K29" s="58" t="s">
        <v>449</v>
      </c>
      <c r="L29" s="58" t="s">
        <v>450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9.5" customHeight="1" outlineLevel="2">
      <c r="A30" s="54" t="s">
        <v>456</v>
      </c>
      <c r="B30" s="54" t="s">
        <v>457</v>
      </c>
      <c r="C30" s="55" t="s">
        <v>75</v>
      </c>
      <c r="D30" s="19" t="s">
        <v>14</v>
      </c>
      <c r="E30" s="51" t="s">
        <v>69</v>
      </c>
      <c r="F30" s="56" t="s">
        <v>70</v>
      </c>
      <c r="G30" s="56" t="s">
        <v>265</v>
      </c>
      <c r="H30" s="56"/>
      <c r="I30" s="56"/>
      <c r="J30" s="56" t="s">
        <v>39</v>
      </c>
      <c r="K30" s="56" t="s">
        <v>449</v>
      </c>
      <c r="L30" s="56" t="s">
        <v>450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9.5" customHeight="1" outlineLevel="1">
      <c r="A31" s="49" t="s">
        <v>458</v>
      </c>
      <c r="B31" s="49" t="s">
        <v>459</v>
      </c>
      <c r="C31" s="50" t="s">
        <v>68</v>
      </c>
      <c r="D31" s="19" t="s">
        <v>14</v>
      </c>
      <c r="E31" s="51" t="s">
        <v>69</v>
      </c>
      <c r="F31" s="52" t="s">
        <v>139</v>
      </c>
      <c r="G31" s="52" t="s">
        <v>76</v>
      </c>
      <c r="H31" s="53" t="s">
        <v>460</v>
      </c>
      <c r="I31" s="52"/>
      <c r="J31" s="52" t="s">
        <v>39</v>
      </c>
      <c r="K31" s="52" t="s">
        <v>18</v>
      </c>
      <c r="L31" s="52" t="s">
        <v>19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9.5" customHeight="1" outlineLevel="2">
      <c r="A32" s="54" t="s">
        <v>461</v>
      </c>
      <c r="B32" s="54" t="s">
        <v>462</v>
      </c>
      <c r="C32" s="55" t="s">
        <v>75</v>
      </c>
      <c r="D32" s="19" t="s">
        <v>14</v>
      </c>
      <c r="E32" s="51" t="s">
        <v>69</v>
      </c>
      <c r="F32" s="56" t="s">
        <v>139</v>
      </c>
      <c r="G32" s="56" t="s">
        <v>76</v>
      </c>
      <c r="H32" s="59" t="s">
        <v>265</v>
      </c>
      <c r="I32" s="56"/>
      <c r="J32" s="56" t="s">
        <v>39</v>
      </c>
      <c r="K32" s="56" t="s">
        <v>458</v>
      </c>
      <c r="L32" s="56" t="s">
        <v>459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9.5" customHeight="1" outlineLevel="2">
      <c r="A33" s="57" t="s">
        <v>463</v>
      </c>
      <c r="B33" s="57" t="s">
        <v>464</v>
      </c>
      <c r="C33" s="55" t="s">
        <v>75</v>
      </c>
      <c r="D33" s="19" t="s">
        <v>14</v>
      </c>
      <c r="E33" s="51" t="s">
        <v>69</v>
      </c>
      <c r="F33" s="58" t="s">
        <v>139</v>
      </c>
      <c r="G33" s="58" t="s">
        <v>76</v>
      </c>
      <c r="H33" s="60" t="s">
        <v>265</v>
      </c>
      <c r="I33" s="58"/>
      <c r="J33" s="58" t="s">
        <v>39</v>
      </c>
      <c r="K33" s="58" t="s">
        <v>458</v>
      </c>
      <c r="L33" s="58" t="s">
        <v>459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9.5" customHeight="1" outlineLevel="2">
      <c r="A34" s="54" t="s">
        <v>465</v>
      </c>
      <c r="B34" s="54" t="s">
        <v>466</v>
      </c>
      <c r="C34" s="55" t="s">
        <v>75</v>
      </c>
      <c r="D34" s="19" t="s">
        <v>14</v>
      </c>
      <c r="E34" s="51" t="s">
        <v>69</v>
      </c>
      <c r="F34" s="56" t="s">
        <v>139</v>
      </c>
      <c r="G34" s="56" t="s">
        <v>76</v>
      </c>
      <c r="H34" s="59" t="s">
        <v>265</v>
      </c>
      <c r="I34" s="56"/>
      <c r="J34" s="56" t="s">
        <v>39</v>
      </c>
      <c r="K34" s="56" t="s">
        <v>458</v>
      </c>
      <c r="L34" s="56" t="s">
        <v>459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9.5" customHeight="1" outlineLevel="1">
      <c r="A35" s="49" t="s">
        <v>467</v>
      </c>
      <c r="B35" s="49" t="s">
        <v>468</v>
      </c>
      <c r="C35" s="50" t="s">
        <v>68</v>
      </c>
      <c r="D35" s="19" t="s">
        <v>14</v>
      </c>
      <c r="E35" s="51" t="s">
        <v>69</v>
      </c>
      <c r="F35" s="52" t="s">
        <v>139</v>
      </c>
      <c r="G35" s="52" t="s">
        <v>64</v>
      </c>
      <c r="H35" s="53" t="s">
        <v>460</v>
      </c>
      <c r="I35" s="52"/>
      <c r="J35" s="52" t="s">
        <v>39</v>
      </c>
      <c r="K35" s="52" t="s">
        <v>18</v>
      </c>
      <c r="L35" s="52" t="s">
        <v>19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9.5" customHeight="1" outlineLevel="2">
      <c r="A36" s="54" t="s">
        <v>469</v>
      </c>
      <c r="B36" s="54" t="s">
        <v>470</v>
      </c>
      <c r="C36" s="55" t="s">
        <v>75</v>
      </c>
      <c r="D36" s="19" t="s">
        <v>14</v>
      </c>
      <c r="E36" s="51" t="s">
        <v>69</v>
      </c>
      <c r="F36" s="56" t="s">
        <v>139</v>
      </c>
      <c r="G36" s="56" t="s">
        <v>76</v>
      </c>
      <c r="H36" s="59" t="s">
        <v>460</v>
      </c>
      <c r="I36" s="56"/>
      <c r="J36" s="56" t="s">
        <v>39</v>
      </c>
      <c r="K36" s="56" t="s">
        <v>467</v>
      </c>
      <c r="L36" s="56" t="s">
        <v>468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9.5" customHeight="1" outlineLevel="2">
      <c r="A37" s="57" t="s">
        <v>471</v>
      </c>
      <c r="B37" s="57" t="s">
        <v>472</v>
      </c>
      <c r="C37" s="55" t="s">
        <v>75</v>
      </c>
      <c r="D37" s="19" t="s">
        <v>14</v>
      </c>
      <c r="E37" s="51" t="s">
        <v>69</v>
      </c>
      <c r="F37" s="58" t="s">
        <v>139</v>
      </c>
      <c r="G37" s="58" t="s">
        <v>76</v>
      </c>
      <c r="H37" s="60" t="s">
        <v>460</v>
      </c>
      <c r="I37" s="58"/>
      <c r="J37" s="58" t="s">
        <v>39</v>
      </c>
      <c r="K37" s="58" t="s">
        <v>467</v>
      </c>
      <c r="L37" s="58" t="s">
        <v>468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9.5" customHeight="1" outlineLevel="2">
      <c r="A38" s="54" t="s">
        <v>473</v>
      </c>
      <c r="B38" s="54" t="s">
        <v>474</v>
      </c>
      <c r="C38" s="55" t="s">
        <v>75</v>
      </c>
      <c r="D38" s="19" t="s">
        <v>14</v>
      </c>
      <c r="E38" s="51" t="s">
        <v>69</v>
      </c>
      <c r="F38" s="56" t="s">
        <v>139</v>
      </c>
      <c r="G38" s="56" t="s">
        <v>76</v>
      </c>
      <c r="H38" s="59" t="s">
        <v>460</v>
      </c>
      <c r="I38" s="56"/>
      <c r="J38" s="56" t="s">
        <v>39</v>
      </c>
      <c r="K38" s="56" t="s">
        <v>467</v>
      </c>
      <c r="L38" s="56" t="s">
        <v>468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9.5" customHeight="1" outlineLevel="2">
      <c r="A39" s="57" t="s">
        <v>475</v>
      </c>
      <c r="B39" s="57" t="s">
        <v>476</v>
      </c>
      <c r="C39" s="55" t="s">
        <v>75</v>
      </c>
      <c r="D39" s="19" t="s">
        <v>14</v>
      </c>
      <c r="E39" s="51" t="s">
        <v>69</v>
      </c>
      <c r="F39" s="58" t="s">
        <v>139</v>
      </c>
      <c r="G39" s="58" t="s">
        <v>76</v>
      </c>
      <c r="H39" s="60" t="s">
        <v>460</v>
      </c>
      <c r="I39" s="58"/>
      <c r="J39" s="58" t="s">
        <v>39</v>
      </c>
      <c r="K39" s="58" t="s">
        <v>467</v>
      </c>
      <c r="L39" s="58" t="s">
        <v>468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9.5" customHeight="1" outlineLevel="2">
      <c r="A40" s="54" t="s">
        <v>477</v>
      </c>
      <c r="B40" s="54" t="s">
        <v>478</v>
      </c>
      <c r="C40" s="55" t="s">
        <v>75</v>
      </c>
      <c r="D40" s="19" t="s">
        <v>14</v>
      </c>
      <c r="E40" s="51" t="s">
        <v>69</v>
      </c>
      <c r="F40" s="56" t="s">
        <v>139</v>
      </c>
      <c r="G40" s="56" t="s">
        <v>76</v>
      </c>
      <c r="H40" s="59" t="s">
        <v>460</v>
      </c>
      <c r="I40" s="56"/>
      <c r="J40" s="56" t="s">
        <v>39</v>
      </c>
      <c r="K40" s="56" t="s">
        <v>467</v>
      </c>
      <c r="L40" s="56" t="s">
        <v>468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9.5" customHeight="1" outlineLevel="1">
      <c r="A41" s="49" t="s">
        <v>479</v>
      </c>
      <c r="B41" s="49" t="s">
        <v>480</v>
      </c>
      <c r="C41" s="50" t="s">
        <v>68</v>
      </c>
      <c r="D41" s="19" t="s">
        <v>14</v>
      </c>
      <c r="E41" s="68" t="s">
        <v>205</v>
      </c>
      <c r="F41" s="52" t="s">
        <v>139</v>
      </c>
      <c r="G41" s="52" t="s">
        <v>64</v>
      </c>
      <c r="H41" s="53" t="s">
        <v>396</v>
      </c>
      <c r="I41" s="52"/>
      <c r="J41" s="52" t="s">
        <v>39</v>
      </c>
      <c r="K41" s="52" t="s">
        <v>18</v>
      </c>
      <c r="L41" s="52" t="s">
        <v>19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9.5" customHeight="1" outlineLevel="2">
      <c r="A42" s="54" t="s">
        <v>481</v>
      </c>
      <c r="B42" s="54" t="s">
        <v>482</v>
      </c>
      <c r="C42" s="55" t="s">
        <v>75</v>
      </c>
      <c r="D42" s="19" t="s">
        <v>14</v>
      </c>
      <c r="E42" s="51" t="s">
        <v>69</v>
      </c>
      <c r="F42" s="56" t="s">
        <v>139</v>
      </c>
      <c r="G42" s="56" t="s">
        <v>76</v>
      </c>
      <c r="H42" s="59" t="s">
        <v>483</v>
      </c>
      <c r="I42" s="56"/>
      <c r="J42" s="56" t="s">
        <v>39</v>
      </c>
      <c r="K42" s="56" t="s">
        <v>479</v>
      </c>
      <c r="L42" s="56" t="s">
        <v>480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9.5" customHeight="1" outlineLevel="2">
      <c r="A43" s="57" t="s">
        <v>484</v>
      </c>
      <c r="B43" s="57" t="s">
        <v>485</v>
      </c>
      <c r="C43" s="55" t="s">
        <v>75</v>
      </c>
      <c r="D43" s="19" t="s">
        <v>14</v>
      </c>
      <c r="E43" s="51" t="s">
        <v>69</v>
      </c>
      <c r="F43" s="58" t="s">
        <v>139</v>
      </c>
      <c r="G43" s="58" t="s">
        <v>76</v>
      </c>
      <c r="H43" s="60" t="s">
        <v>483</v>
      </c>
      <c r="I43" s="58"/>
      <c r="J43" s="58" t="s">
        <v>39</v>
      </c>
      <c r="K43" s="58" t="s">
        <v>479</v>
      </c>
      <c r="L43" s="58" t="s">
        <v>480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9.5" customHeight="1" outlineLevel="2">
      <c r="A44" s="54" t="s">
        <v>486</v>
      </c>
      <c r="B44" s="54" t="s">
        <v>487</v>
      </c>
      <c r="C44" s="55" t="s">
        <v>75</v>
      </c>
      <c r="D44" s="19" t="s">
        <v>14</v>
      </c>
      <c r="E44" s="51" t="s">
        <v>69</v>
      </c>
      <c r="F44" s="56" t="s">
        <v>139</v>
      </c>
      <c r="G44" s="56" t="s">
        <v>76</v>
      </c>
      <c r="H44" s="59" t="s">
        <v>483</v>
      </c>
      <c r="I44" s="56"/>
      <c r="J44" s="56" t="s">
        <v>39</v>
      </c>
      <c r="K44" s="56" t="s">
        <v>479</v>
      </c>
      <c r="L44" s="56" t="s">
        <v>480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9.5" customHeight="1" outlineLevel="2">
      <c r="A45" s="57" t="s">
        <v>488</v>
      </c>
      <c r="B45" s="57" t="s">
        <v>489</v>
      </c>
      <c r="C45" s="55" t="s">
        <v>75</v>
      </c>
      <c r="D45" s="19" t="s">
        <v>14</v>
      </c>
      <c r="E45" s="51" t="s">
        <v>69</v>
      </c>
      <c r="F45" s="58" t="s">
        <v>139</v>
      </c>
      <c r="G45" s="58" t="s">
        <v>76</v>
      </c>
      <c r="H45" s="60" t="s">
        <v>483</v>
      </c>
      <c r="I45" s="58"/>
      <c r="J45" s="58" t="s">
        <v>39</v>
      </c>
      <c r="K45" s="58" t="s">
        <v>479</v>
      </c>
      <c r="L45" s="58" t="s">
        <v>480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85" t="s">
        <v>490</v>
      </c>
      <c r="B46" s="85" t="s">
        <v>491</v>
      </c>
      <c r="C46" s="86" t="s">
        <v>68</v>
      </c>
      <c r="D46" s="87" t="s">
        <v>44</v>
      </c>
      <c r="E46" s="88" t="s">
        <v>205</v>
      </c>
      <c r="F46" s="89" t="s">
        <v>139</v>
      </c>
      <c r="G46" s="90">
        <v>45720.0</v>
      </c>
      <c r="H46" s="91">
        <v>46094.0</v>
      </c>
      <c r="I46" s="92"/>
      <c r="J46" s="93" t="s">
        <v>42</v>
      </c>
      <c r="K46" s="89" t="s">
        <v>18</v>
      </c>
      <c r="L46" s="89" t="s">
        <v>19</v>
      </c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5"/>
    </row>
    <row r="47" ht="19.5" customHeight="1">
      <c r="A47" s="54" t="s">
        <v>481</v>
      </c>
      <c r="B47" s="76" t="s">
        <v>492</v>
      </c>
      <c r="C47" s="55" t="s">
        <v>75</v>
      </c>
      <c r="D47" s="81" t="s">
        <v>44</v>
      </c>
      <c r="E47" s="51" t="s">
        <v>69</v>
      </c>
      <c r="F47" s="56" t="s">
        <v>139</v>
      </c>
      <c r="G47" s="77">
        <v>45720.0</v>
      </c>
      <c r="H47" s="78">
        <v>46094.0</v>
      </c>
      <c r="I47" s="56"/>
      <c r="J47" s="62" t="s">
        <v>42</v>
      </c>
      <c r="K47" s="62" t="s">
        <v>490</v>
      </c>
      <c r="L47" s="62" t="s">
        <v>491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C245" s="65"/>
      <c r="D245" s="65"/>
      <c r="E245" s="65"/>
      <c r="F245" s="65"/>
      <c r="H245" s="65"/>
      <c r="J245" s="65"/>
      <c r="K245" s="65"/>
      <c r="L245" s="65"/>
    </row>
    <row r="246" ht="15.75" customHeight="1">
      <c r="C246" s="65"/>
      <c r="D246" s="65"/>
      <c r="E246" s="65"/>
      <c r="F246" s="65"/>
      <c r="H246" s="65"/>
      <c r="J246" s="65"/>
      <c r="K246" s="65"/>
      <c r="L246" s="65"/>
    </row>
    <row r="247" ht="15.75" customHeight="1">
      <c r="C247" s="65"/>
      <c r="D247" s="65"/>
      <c r="E247" s="65"/>
      <c r="F247" s="65"/>
      <c r="H247" s="65"/>
      <c r="J247" s="65"/>
      <c r="K247" s="65"/>
      <c r="L247" s="65"/>
    </row>
    <row r="248" ht="15.75" customHeight="1">
      <c r="C248" s="65"/>
      <c r="D248" s="65"/>
      <c r="E248" s="65"/>
      <c r="F248" s="65"/>
      <c r="H248" s="65"/>
      <c r="J248" s="65"/>
      <c r="K248" s="65"/>
      <c r="L248" s="65"/>
    </row>
    <row r="249" ht="15.75" customHeight="1">
      <c r="C249" s="65"/>
      <c r="D249" s="65"/>
      <c r="E249" s="65"/>
      <c r="F249" s="65"/>
      <c r="H249" s="65"/>
      <c r="J249" s="65"/>
      <c r="K249" s="65"/>
      <c r="L249" s="65"/>
    </row>
    <row r="250" ht="15.75" customHeight="1">
      <c r="C250" s="65"/>
      <c r="D250" s="65"/>
      <c r="E250" s="65"/>
      <c r="F250" s="65"/>
      <c r="H250" s="65"/>
      <c r="J250" s="65"/>
      <c r="K250" s="65"/>
      <c r="L250" s="65"/>
    </row>
    <row r="251" ht="15.75" customHeight="1">
      <c r="C251" s="65"/>
      <c r="D251" s="65"/>
      <c r="E251" s="65"/>
      <c r="F251" s="65"/>
      <c r="H251" s="65"/>
      <c r="J251" s="65"/>
      <c r="K251" s="65"/>
      <c r="L251" s="65"/>
    </row>
    <row r="252" ht="15.75" customHeight="1">
      <c r="C252" s="65"/>
      <c r="D252" s="65"/>
      <c r="E252" s="65"/>
      <c r="F252" s="65"/>
      <c r="H252" s="65"/>
      <c r="J252" s="65"/>
      <c r="K252" s="65"/>
      <c r="L252" s="65"/>
    </row>
    <row r="253" ht="15.75" customHeight="1">
      <c r="C253" s="65"/>
      <c r="D253" s="65"/>
      <c r="E253" s="65"/>
      <c r="F253" s="65"/>
      <c r="H253" s="65"/>
      <c r="J253" s="65"/>
      <c r="K253" s="65"/>
      <c r="L253" s="65"/>
    </row>
    <row r="254" ht="15.75" customHeight="1">
      <c r="C254" s="65"/>
      <c r="D254" s="65"/>
      <c r="E254" s="65"/>
      <c r="F254" s="65"/>
      <c r="H254" s="65"/>
      <c r="J254" s="65"/>
      <c r="K254" s="65"/>
      <c r="L254" s="65"/>
    </row>
    <row r="255" ht="15.75" customHeight="1">
      <c r="C255" s="65"/>
      <c r="D255" s="65"/>
      <c r="E255" s="65"/>
      <c r="F255" s="65"/>
      <c r="H255" s="65"/>
      <c r="J255" s="65"/>
      <c r="K255" s="65"/>
      <c r="L255" s="65"/>
    </row>
    <row r="256" ht="15.75" customHeight="1">
      <c r="C256" s="65"/>
      <c r="D256" s="65"/>
      <c r="E256" s="65"/>
      <c r="F256" s="65"/>
      <c r="H256" s="65"/>
      <c r="J256" s="65"/>
      <c r="K256" s="65"/>
      <c r="L256" s="65"/>
    </row>
    <row r="257" ht="15.75" customHeight="1">
      <c r="C257" s="65"/>
      <c r="D257" s="65"/>
      <c r="E257" s="65"/>
      <c r="F257" s="65"/>
      <c r="H257" s="65"/>
      <c r="J257" s="65"/>
      <c r="K257" s="65"/>
      <c r="L257" s="65"/>
    </row>
    <row r="258" ht="15.75" customHeight="1">
      <c r="C258" s="65"/>
      <c r="D258" s="65"/>
      <c r="E258" s="65"/>
      <c r="F258" s="65"/>
      <c r="H258" s="65"/>
      <c r="J258" s="65"/>
      <c r="K258" s="65"/>
      <c r="L258" s="65"/>
    </row>
    <row r="259" ht="15.75" customHeight="1">
      <c r="C259" s="65"/>
      <c r="D259" s="65"/>
      <c r="E259" s="65"/>
      <c r="F259" s="65"/>
      <c r="H259" s="65"/>
      <c r="J259" s="65"/>
      <c r="K259" s="65"/>
      <c r="L259" s="65"/>
    </row>
    <row r="260" ht="15.75" customHeight="1">
      <c r="C260" s="65"/>
      <c r="D260" s="65"/>
      <c r="E260" s="65"/>
      <c r="F260" s="65"/>
      <c r="H260" s="65"/>
      <c r="J260" s="65"/>
      <c r="K260" s="65"/>
      <c r="L260" s="65"/>
    </row>
    <row r="261" ht="15.75" customHeight="1">
      <c r="C261" s="65"/>
      <c r="D261" s="65"/>
      <c r="E261" s="65"/>
      <c r="F261" s="65"/>
      <c r="H261" s="65"/>
      <c r="J261" s="65"/>
      <c r="K261" s="65"/>
      <c r="L261" s="65"/>
    </row>
    <row r="262" ht="15.75" customHeight="1">
      <c r="C262" s="65"/>
      <c r="D262" s="65"/>
      <c r="E262" s="65"/>
      <c r="F262" s="65"/>
      <c r="H262" s="65"/>
      <c r="J262" s="65"/>
      <c r="K262" s="65"/>
      <c r="L262" s="65"/>
    </row>
    <row r="263" ht="15.75" customHeight="1">
      <c r="C263" s="65"/>
      <c r="D263" s="65"/>
      <c r="E263" s="65"/>
      <c r="F263" s="65"/>
      <c r="H263" s="65"/>
      <c r="J263" s="65"/>
      <c r="K263" s="65"/>
      <c r="L263" s="65"/>
    </row>
    <row r="264" ht="15.75" customHeight="1">
      <c r="C264" s="65"/>
      <c r="D264" s="65"/>
      <c r="E264" s="65"/>
      <c r="F264" s="65"/>
      <c r="H264" s="65"/>
      <c r="J264" s="65"/>
      <c r="K264" s="65"/>
      <c r="L264" s="65"/>
    </row>
    <row r="265" ht="15.75" customHeight="1">
      <c r="C265" s="65"/>
      <c r="D265" s="65"/>
      <c r="E265" s="65"/>
      <c r="F265" s="65"/>
      <c r="H265" s="65"/>
      <c r="J265" s="65"/>
      <c r="K265" s="65"/>
      <c r="L265" s="65"/>
    </row>
    <row r="266" ht="15.75" customHeight="1">
      <c r="C266" s="65"/>
      <c r="D266" s="65"/>
      <c r="E266" s="65"/>
      <c r="F266" s="65"/>
      <c r="H266" s="65"/>
      <c r="J266" s="65"/>
      <c r="K266" s="65"/>
      <c r="L266" s="65"/>
    </row>
    <row r="267" ht="15.75" customHeight="1">
      <c r="C267" s="65"/>
      <c r="D267" s="65"/>
      <c r="E267" s="65"/>
      <c r="F267" s="65"/>
      <c r="H267" s="65"/>
      <c r="J267" s="65"/>
      <c r="K267" s="65"/>
      <c r="L267" s="65"/>
    </row>
    <row r="268" ht="15.75" customHeight="1">
      <c r="C268" s="65"/>
      <c r="D268" s="65"/>
      <c r="E268" s="65"/>
      <c r="F268" s="65"/>
      <c r="H268" s="65"/>
      <c r="J268" s="65"/>
      <c r="K268" s="65"/>
      <c r="L268" s="65"/>
    </row>
    <row r="269" ht="15.75" customHeight="1">
      <c r="C269" s="65"/>
      <c r="D269" s="65"/>
      <c r="E269" s="65"/>
      <c r="F269" s="65"/>
      <c r="H269" s="65"/>
      <c r="J269" s="65"/>
      <c r="K269" s="65"/>
      <c r="L269" s="65"/>
    </row>
    <row r="270" ht="15.75" customHeight="1">
      <c r="C270" s="65"/>
      <c r="D270" s="65"/>
      <c r="E270" s="65"/>
      <c r="F270" s="65"/>
      <c r="H270" s="65"/>
      <c r="J270" s="65"/>
      <c r="K270" s="65"/>
      <c r="L270" s="65"/>
    </row>
    <row r="271" ht="15.75" customHeight="1">
      <c r="C271" s="65"/>
      <c r="D271" s="65"/>
      <c r="E271" s="65"/>
      <c r="F271" s="65"/>
      <c r="H271" s="65"/>
      <c r="J271" s="65"/>
      <c r="K271" s="65"/>
      <c r="L271" s="65"/>
    </row>
    <row r="272" ht="15.75" customHeight="1">
      <c r="C272" s="65"/>
      <c r="D272" s="65"/>
      <c r="E272" s="65"/>
      <c r="F272" s="65"/>
      <c r="H272" s="65"/>
      <c r="J272" s="65"/>
      <c r="K272" s="65"/>
      <c r="L272" s="65"/>
    </row>
    <row r="273" ht="15.75" customHeight="1">
      <c r="C273" s="65"/>
      <c r="D273" s="65"/>
      <c r="E273" s="65"/>
      <c r="F273" s="65"/>
      <c r="H273" s="65"/>
      <c r="J273" s="65"/>
      <c r="K273" s="65"/>
      <c r="L273" s="65"/>
    </row>
    <row r="274" ht="15.75" customHeight="1">
      <c r="C274" s="65"/>
      <c r="D274" s="65"/>
      <c r="E274" s="65"/>
      <c r="F274" s="65"/>
      <c r="H274" s="65"/>
      <c r="J274" s="65"/>
      <c r="K274" s="65"/>
      <c r="L274" s="65"/>
    </row>
    <row r="275" ht="15.75" customHeight="1">
      <c r="C275" s="65"/>
      <c r="D275" s="65"/>
      <c r="E275" s="65"/>
      <c r="F275" s="65"/>
      <c r="H275" s="65"/>
      <c r="J275" s="65"/>
      <c r="K275" s="65"/>
      <c r="L275" s="65"/>
    </row>
    <row r="276" ht="15.75" customHeight="1">
      <c r="C276" s="65"/>
      <c r="D276" s="65"/>
      <c r="E276" s="65"/>
      <c r="F276" s="65"/>
      <c r="H276" s="65"/>
      <c r="J276" s="65"/>
      <c r="K276" s="65"/>
      <c r="L276" s="65"/>
    </row>
    <row r="277" ht="15.75" customHeight="1">
      <c r="C277" s="65"/>
      <c r="D277" s="65"/>
      <c r="E277" s="65"/>
      <c r="F277" s="65"/>
      <c r="H277" s="65"/>
      <c r="J277" s="65"/>
      <c r="K277" s="65"/>
      <c r="L277" s="65"/>
    </row>
    <row r="278" ht="15.75" customHeight="1">
      <c r="C278" s="65"/>
      <c r="D278" s="65"/>
      <c r="E278" s="65"/>
      <c r="F278" s="65"/>
      <c r="H278" s="65"/>
      <c r="J278" s="65"/>
      <c r="K278" s="65"/>
      <c r="L278" s="65"/>
    </row>
    <row r="279" ht="15.75" customHeight="1">
      <c r="C279" s="65"/>
      <c r="D279" s="65"/>
      <c r="E279" s="65"/>
      <c r="F279" s="65"/>
      <c r="H279" s="65"/>
      <c r="J279" s="65"/>
      <c r="K279" s="65"/>
      <c r="L279" s="65"/>
    </row>
    <row r="280" ht="15.75" customHeight="1">
      <c r="C280" s="65"/>
      <c r="D280" s="65"/>
      <c r="E280" s="65"/>
      <c r="F280" s="65"/>
      <c r="H280" s="65"/>
      <c r="J280" s="65"/>
      <c r="K280" s="65"/>
      <c r="L280" s="65"/>
    </row>
    <row r="281" ht="15.75" customHeight="1">
      <c r="C281" s="65"/>
      <c r="D281" s="65"/>
      <c r="E281" s="65"/>
      <c r="F281" s="65"/>
      <c r="H281" s="65"/>
      <c r="J281" s="65"/>
      <c r="K281" s="65"/>
      <c r="L281" s="65"/>
    </row>
    <row r="282" ht="15.75" customHeight="1">
      <c r="C282" s="65"/>
      <c r="D282" s="65"/>
      <c r="E282" s="65"/>
      <c r="F282" s="65"/>
      <c r="H282" s="65"/>
      <c r="J282" s="65"/>
      <c r="K282" s="65"/>
      <c r="L282" s="65"/>
    </row>
    <row r="283" ht="15.75" customHeight="1">
      <c r="C283" s="65"/>
      <c r="D283" s="65"/>
      <c r="E283" s="65"/>
      <c r="F283" s="65"/>
      <c r="H283" s="65"/>
      <c r="J283" s="65"/>
      <c r="K283" s="65"/>
      <c r="L283" s="65"/>
    </row>
    <row r="284" ht="15.75" customHeight="1">
      <c r="C284" s="65"/>
      <c r="D284" s="65"/>
      <c r="E284" s="65"/>
      <c r="F284" s="65"/>
      <c r="H284" s="65"/>
      <c r="J284" s="65"/>
      <c r="K284" s="65"/>
      <c r="L284" s="65"/>
    </row>
    <row r="285" ht="15.75" customHeight="1">
      <c r="C285" s="65"/>
      <c r="D285" s="65"/>
      <c r="E285" s="65"/>
      <c r="F285" s="65"/>
      <c r="H285" s="65"/>
      <c r="J285" s="65"/>
      <c r="K285" s="65"/>
      <c r="L285" s="65"/>
    </row>
    <row r="286" ht="15.75" customHeight="1">
      <c r="C286" s="65"/>
      <c r="D286" s="65"/>
      <c r="E286" s="65"/>
      <c r="F286" s="65"/>
      <c r="H286" s="65"/>
      <c r="J286" s="65"/>
      <c r="K286" s="65"/>
      <c r="L286" s="65"/>
    </row>
    <row r="287" ht="15.75" customHeight="1">
      <c r="C287" s="65"/>
      <c r="D287" s="65"/>
      <c r="E287" s="65"/>
      <c r="F287" s="65"/>
      <c r="H287" s="65"/>
      <c r="J287" s="65"/>
      <c r="K287" s="65"/>
      <c r="L287" s="65"/>
    </row>
    <row r="288" ht="15.75" customHeight="1">
      <c r="C288" s="65"/>
      <c r="D288" s="65"/>
      <c r="E288" s="65"/>
      <c r="F288" s="65"/>
      <c r="H288" s="65"/>
      <c r="J288" s="65"/>
      <c r="K288" s="65"/>
      <c r="L288" s="65"/>
    </row>
    <row r="289" ht="15.75" customHeight="1">
      <c r="C289" s="65"/>
      <c r="D289" s="65"/>
      <c r="E289" s="65"/>
      <c r="F289" s="65"/>
      <c r="H289" s="65"/>
      <c r="J289" s="65"/>
      <c r="K289" s="65"/>
      <c r="L289" s="65"/>
    </row>
    <row r="290" ht="15.75" customHeight="1">
      <c r="C290" s="65"/>
      <c r="D290" s="65"/>
      <c r="E290" s="65"/>
      <c r="F290" s="65"/>
      <c r="H290" s="65"/>
      <c r="J290" s="65"/>
      <c r="K290" s="65"/>
      <c r="L290" s="65"/>
    </row>
    <row r="291" ht="15.75" customHeight="1">
      <c r="C291" s="65"/>
      <c r="D291" s="65"/>
      <c r="E291" s="65"/>
      <c r="F291" s="65"/>
      <c r="H291" s="65"/>
      <c r="J291" s="65"/>
      <c r="K291" s="65"/>
      <c r="L291" s="65"/>
    </row>
    <row r="292" ht="15.75" customHeight="1">
      <c r="C292" s="65"/>
      <c r="D292" s="65"/>
      <c r="E292" s="65"/>
      <c r="F292" s="65"/>
      <c r="H292" s="65"/>
      <c r="J292" s="65"/>
      <c r="K292" s="65"/>
      <c r="L292" s="65"/>
    </row>
    <row r="293" ht="15.75" customHeight="1">
      <c r="C293" s="65"/>
      <c r="D293" s="65"/>
      <c r="E293" s="65"/>
      <c r="F293" s="65"/>
      <c r="H293" s="65"/>
      <c r="J293" s="65"/>
      <c r="K293" s="65"/>
      <c r="L293" s="65"/>
    </row>
    <row r="294" ht="15.75" customHeight="1">
      <c r="C294" s="65"/>
      <c r="D294" s="65"/>
      <c r="E294" s="65"/>
      <c r="F294" s="65"/>
      <c r="H294" s="65"/>
      <c r="J294" s="65"/>
      <c r="K294" s="65"/>
      <c r="L294" s="65"/>
    </row>
    <row r="295" ht="15.75" customHeight="1">
      <c r="C295" s="65"/>
      <c r="D295" s="65"/>
      <c r="E295" s="65"/>
      <c r="F295" s="65"/>
      <c r="H295" s="65"/>
      <c r="J295" s="65"/>
      <c r="K295" s="65"/>
      <c r="L295" s="65"/>
    </row>
    <row r="296" ht="15.75" customHeight="1">
      <c r="C296" s="65"/>
      <c r="D296" s="65"/>
      <c r="E296" s="65"/>
      <c r="F296" s="65"/>
      <c r="H296" s="65"/>
      <c r="J296" s="65"/>
      <c r="K296" s="65"/>
      <c r="L296" s="65"/>
    </row>
    <row r="297" ht="15.75" customHeight="1">
      <c r="C297" s="65"/>
      <c r="D297" s="65"/>
      <c r="E297" s="65"/>
      <c r="F297" s="65"/>
      <c r="H297" s="65"/>
      <c r="J297" s="65"/>
      <c r="K297" s="65"/>
      <c r="L297" s="65"/>
    </row>
    <row r="298" ht="15.75" customHeight="1">
      <c r="C298" s="65"/>
      <c r="D298" s="65"/>
      <c r="E298" s="65"/>
      <c r="F298" s="65"/>
      <c r="H298" s="65"/>
      <c r="J298" s="65"/>
      <c r="K298" s="65"/>
      <c r="L298" s="65"/>
    </row>
    <row r="299" ht="15.75" customHeight="1">
      <c r="C299" s="65"/>
      <c r="D299" s="65"/>
      <c r="E299" s="65"/>
      <c r="F299" s="65"/>
      <c r="H299" s="65"/>
      <c r="J299" s="65"/>
      <c r="K299" s="65"/>
      <c r="L299" s="65"/>
    </row>
    <row r="300" ht="15.75" customHeight="1">
      <c r="C300" s="65"/>
      <c r="D300" s="65"/>
      <c r="E300" s="65"/>
      <c r="F300" s="65"/>
      <c r="H300" s="65"/>
      <c r="J300" s="65"/>
      <c r="K300" s="65"/>
      <c r="L300" s="65"/>
    </row>
    <row r="301" ht="15.75" customHeight="1">
      <c r="C301" s="65"/>
      <c r="D301" s="65"/>
      <c r="E301" s="65"/>
      <c r="F301" s="65"/>
      <c r="H301" s="65"/>
      <c r="J301" s="65"/>
      <c r="K301" s="65"/>
      <c r="L301" s="65"/>
    </row>
    <row r="302" ht="15.75" customHeight="1">
      <c r="C302" s="65"/>
      <c r="D302" s="65"/>
      <c r="E302" s="65"/>
      <c r="F302" s="65"/>
      <c r="H302" s="65"/>
      <c r="J302" s="65"/>
      <c r="K302" s="65"/>
      <c r="L302" s="65"/>
    </row>
    <row r="303" ht="15.75" customHeight="1">
      <c r="C303" s="65"/>
      <c r="D303" s="65"/>
      <c r="E303" s="65"/>
      <c r="F303" s="65"/>
      <c r="H303" s="65"/>
      <c r="J303" s="65"/>
      <c r="K303" s="65"/>
      <c r="L303" s="65"/>
    </row>
    <row r="304" ht="15.75" customHeight="1">
      <c r="C304" s="65"/>
      <c r="D304" s="65"/>
      <c r="E304" s="65"/>
      <c r="F304" s="65"/>
      <c r="H304" s="65"/>
      <c r="J304" s="65"/>
      <c r="K304" s="65"/>
      <c r="L304" s="65"/>
    </row>
    <row r="305" ht="15.75" customHeight="1">
      <c r="C305" s="65"/>
      <c r="D305" s="65"/>
      <c r="E305" s="65"/>
      <c r="F305" s="65"/>
      <c r="H305" s="65"/>
      <c r="J305" s="65"/>
      <c r="K305" s="65"/>
      <c r="L305" s="65"/>
    </row>
    <row r="306" ht="15.75" customHeight="1">
      <c r="C306" s="65"/>
      <c r="D306" s="65"/>
      <c r="E306" s="65"/>
      <c r="F306" s="65"/>
      <c r="H306" s="65"/>
      <c r="J306" s="65"/>
      <c r="K306" s="65"/>
      <c r="L306" s="65"/>
    </row>
    <row r="307" ht="15.75" customHeight="1">
      <c r="C307" s="65"/>
      <c r="D307" s="65"/>
      <c r="E307" s="65"/>
      <c r="F307" s="65"/>
      <c r="H307" s="65"/>
      <c r="J307" s="65"/>
      <c r="K307" s="65"/>
      <c r="L307" s="65"/>
    </row>
    <row r="308" ht="15.75" customHeight="1">
      <c r="C308" s="65"/>
      <c r="D308" s="65"/>
      <c r="E308" s="65"/>
      <c r="F308" s="65"/>
      <c r="H308" s="65"/>
      <c r="J308" s="65"/>
      <c r="K308" s="65"/>
      <c r="L308" s="65"/>
    </row>
    <row r="309" ht="15.75" customHeight="1">
      <c r="C309" s="65"/>
      <c r="D309" s="65"/>
      <c r="E309" s="65"/>
      <c r="F309" s="65"/>
      <c r="H309" s="65"/>
      <c r="J309" s="65"/>
      <c r="K309" s="65"/>
      <c r="L309" s="65"/>
    </row>
    <row r="310" ht="15.75" customHeight="1">
      <c r="C310" s="65"/>
      <c r="D310" s="65"/>
      <c r="E310" s="65"/>
      <c r="F310" s="65"/>
      <c r="H310" s="65"/>
      <c r="J310" s="65"/>
      <c r="K310" s="65"/>
      <c r="L310" s="65"/>
    </row>
    <row r="311" ht="15.75" customHeight="1">
      <c r="C311" s="65"/>
      <c r="D311" s="65"/>
      <c r="E311" s="65"/>
      <c r="F311" s="65"/>
      <c r="H311" s="65"/>
      <c r="J311" s="65"/>
      <c r="K311" s="65"/>
      <c r="L311" s="65"/>
    </row>
    <row r="312" ht="15.75" customHeight="1">
      <c r="C312" s="65"/>
      <c r="D312" s="65"/>
      <c r="E312" s="65"/>
      <c r="F312" s="65"/>
      <c r="H312" s="65"/>
      <c r="J312" s="65"/>
      <c r="K312" s="65"/>
      <c r="L312" s="65"/>
    </row>
    <row r="313" ht="15.75" customHeight="1">
      <c r="C313" s="65"/>
      <c r="D313" s="65"/>
      <c r="E313" s="65"/>
      <c r="F313" s="65"/>
      <c r="H313" s="65"/>
      <c r="J313" s="65"/>
      <c r="K313" s="65"/>
      <c r="L313" s="65"/>
    </row>
    <row r="314" ht="15.75" customHeight="1">
      <c r="C314" s="65"/>
      <c r="D314" s="65"/>
      <c r="E314" s="65"/>
      <c r="F314" s="65"/>
      <c r="H314" s="65"/>
      <c r="J314" s="65"/>
      <c r="K314" s="65"/>
      <c r="L314" s="65"/>
    </row>
    <row r="315" ht="15.75" customHeight="1">
      <c r="C315" s="65"/>
      <c r="D315" s="65"/>
      <c r="E315" s="65"/>
      <c r="F315" s="65"/>
      <c r="H315" s="65"/>
      <c r="J315" s="65"/>
      <c r="K315" s="65"/>
      <c r="L315" s="65"/>
    </row>
    <row r="316" ht="15.75" customHeight="1">
      <c r="C316" s="65"/>
      <c r="D316" s="65"/>
      <c r="E316" s="65"/>
      <c r="F316" s="65"/>
      <c r="H316" s="65"/>
      <c r="J316" s="65"/>
      <c r="K316" s="65"/>
      <c r="L316" s="65"/>
    </row>
    <row r="317" ht="15.75" customHeight="1">
      <c r="C317" s="65"/>
      <c r="D317" s="65"/>
      <c r="E317" s="65"/>
      <c r="F317" s="65"/>
      <c r="H317" s="65"/>
      <c r="J317" s="65"/>
      <c r="K317" s="65"/>
      <c r="L317" s="65"/>
    </row>
    <row r="318" ht="15.75" customHeight="1">
      <c r="C318" s="65"/>
      <c r="D318" s="65"/>
      <c r="E318" s="65"/>
      <c r="F318" s="65"/>
      <c r="H318" s="65"/>
      <c r="J318" s="65"/>
      <c r="K318" s="65"/>
      <c r="L318" s="65"/>
    </row>
    <row r="319" ht="15.75" customHeight="1">
      <c r="C319" s="65"/>
      <c r="D319" s="65"/>
      <c r="E319" s="65"/>
      <c r="F319" s="65"/>
      <c r="H319" s="65"/>
      <c r="J319" s="65"/>
      <c r="K319" s="65"/>
      <c r="L319" s="65"/>
    </row>
    <row r="320" ht="15.75" customHeight="1">
      <c r="C320" s="65"/>
      <c r="D320" s="65"/>
      <c r="E320" s="65"/>
      <c r="F320" s="65"/>
      <c r="H320" s="65"/>
      <c r="J320" s="65"/>
      <c r="K320" s="65"/>
      <c r="L320" s="65"/>
    </row>
    <row r="321" ht="15.75" customHeight="1">
      <c r="C321" s="65"/>
      <c r="D321" s="65"/>
      <c r="E321" s="65"/>
      <c r="F321" s="65"/>
      <c r="H321" s="65"/>
      <c r="J321" s="65"/>
      <c r="K321" s="65"/>
      <c r="L321" s="65"/>
    </row>
    <row r="322" ht="15.75" customHeight="1">
      <c r="C322" s="65"/>
      <c r="D322" s="65"/>
      <c r="E322" s="65"/>
      <c r="F322" s="65"/>
      <c r="H322" s="65"/>
      <c r="J322" s="65"/>
      <c r="K322" s="65"/>
      <c r="L322" s="65"/>
    </row>
    <row r="323" ht="15.75" customHeight="1">
      <c r="C323" s="65"/>
      <c r="D323" s="65"/>
      <c r="E323" s="65"/>
      <c r="F323" s="65"/>
      <c r="H323" s="65"/>
      <c r="J323" s="65"/>
      <c r="K323" s="65"/>
      <c r="L323" s="65"/>
    </row>
    <row r="324" ht="15.75" customHeight="1">
      <c r="C324" s="65"/>
      <c r="D324" s="65"/>
      <c r="E324" s="65"/>
      <c r="F324" s="65"/>
      <c r="H324" s="65"/>
      <c r="J324" s="65"/>
      <c r="K324" s="65"/>
      <c r="L324" s="65"/>
    </row>
    <row r="325" ht="15.75" customHeight="1">
      <c r="C325" s="65"/>
      <c r="D325" s="65"/>
      <c r="E325" s="65"/>
      <c r="F325" s="65"/>
      <c r="H325" s="65"/>
      <c r="J325" s="65"/>
      <c r="K325" s="65"/>
      <c r="L325" s="65"/>
    </row>
    <row r="326" ht="15.75" customHeight="1">
      <c r="C326" s="65"/>
      <c r="D326" s="65"/>
      <c r="E326" s="65"/>
      <c r="F326" s="65"/>
      <c r="H326" s="65"/>
      <c r="J326" s="65"/>
      <c r="K326" s="65"/>
      <c r="L326" s="65"/>
    </row>
    <row r="327" ht="15.75" customHeight="1">
      <c r="C327" s="65"/>
      <c r="D327" s="65"/>
      <c r="E327" s="65"/>
      <c r="F327" s="65"/>
      <c r="H327" s="65"/>
      <c r="J327" s="65"/>
      <c r="K327" s="65"/>
      <c r="L327" s="65"/>
    </row>
    <row r="328" ht="15.75" customHeight="1">
      <c r="C328" s="65"/>
      <c r="D328" s="65"/>
      <c r="E328" s="65"/>
      <c r="F328" s="65"/>
      <c r="H328" s="65"/>
      <c r="J328" s="65"/>
      <c r="K328" s="65"/>
      <c r="L328" s="65"/>
    </row>
    <row r="329" ht="15.75" customHeight="1">
      <c r="C329" s="65"/>
      <c r="D329" s="65"/>
      <c r="E329" s="65"/>
      <c r="F329" s="65"/>
      <c r="H329" s="65"/>
      <c r="J329" s="65"/>
      <c r="K329" s="65"/>
      <c r="L329" s="65"/>
    </row>
    <row r="330" ht="15.75" customHeight="1">
      <c r="C330" s="65"/>
      <c r="D330" s="65"/>
      <c r="E330" s="65"/>
      <c r="F330" s="65"/>
      <c r="H330" s="65"/>
      <c r="J330" s="65"/>
      <c r="K330" s="65"/>
      <c r="L330" s="65"/>
    </row>
    <row r="331" ht="15.75" customHeight="1">
      <c r="C331" s="65"/>
      <c r="D331" s="65"/>
      <c r="E331" s="65"/>
      <c r="F331" s="65"/>
      <c r="H331" s="65"/>
      <c r="J331" s="65"/>
      <c r="K331" s="65"/>
      <c r="L331" s="65"/>
    </row>
    <row r="332" ht="15.75" customHeight="1">
      <c r="C332" s="65"/>
      <c r="D332" s="65"/>
      <c r="E332" s="65"/>
      <c r="F332" s="65"/>
      <c r="H332" s="65"/>
      <c r="J332" s="65"/>
      <c r="K332" s="65"/>
      <c r="L332" s="65"/>
    </row>
    <row r="333" ht="15.75" customHeight="1">
      <c r="C333" s="65"/>
      <c r="D333" s="65"/>
      <c r="E333" s="65"/>
      <c r="F333" s="65"/>
      <c r="H333" s="65"/>
      <c r="J333" s="65"/>
      <c r="K333" s="65"/>
      <c r="L333" s="65"/>
    </row>
    <row r="334" ht="15.75" customHeight="1">
      <c r="C334" s="65"/>
      <c r="D334" s="65"/>
      <c r="E334" s="65"/>
      <c r="F334" s="65"/>
      <c r="H334" s="65"/>
      <c r="J334" s="65"/>
      <c r="K334" s="65"/>
      <c r="L334" s="65"/>
    </row>
    <row r="335" ht="15.75" customHeight="1">
      <c r="C335" s="65"/>
      <c r="D335" s="65"/>
      <c r="E335" s="65"/>
      <c r="F335" s="65"/>
      <c r="H335" s="65"/>
      <c r="J335" s="65"/>
      <c r="K335" s="65"/>
      <c r="L335" s="65"/>
    </row>
    <row r="336" ht="15.75" customHeight="1">
      <c r="C336" s="65"/>
      <c r="D336" s="65"/>
      <c r="E336" s="65"/>
      <c r="F336" s="65"/>
      <c r="H336" s="65"/>
      <c r="J336" s="65"/>
      <c r="K336" s="65"/>
      <c r="L336" s="65"/>
    </row>
    <row r="337" ht="15.75" customHeight="1">
      <c r="C337" s="65"/>
      <c r="D337" s="65"/>
      <c r="E337" s="65"/>
      <c r="F337" s="65"/>
      <c r="H337" s="65"/>
      <c r="J337" s="65"/>
      <c r="K337" s="65"/>
      <c r="L337" s="65"/>
    </row>
    <row r="338" ht="15.75" customHeight="1">
      <c r="C338" s="65"/>
      <c r="D338" s="65"/>
      <c r="E338" s="65"/>
      <c r="F338" s="65"/>
      <c r="H338" s="65"/>
      <c r="J338" s="65"/>
      <c r="K338" s="65"/>
      <c r="L338" s="65"/>
    </row>
    <row r="339" ht="15.75" customHeight="1">
      <c r="C339" s="65"/>
      <c r="D339" s="65"/>
      <c r="E339" s="65"/>
      <c r="F339" s="65"/>
      <c r="H339" s="65"/>
      <c r="J339" s="65"/>
      <c r="K339" s="65"/>
      <c r="L339" s="65"/>
    </row>
    <row r="340" ht="15.75" customHeight="1">
      <c r="C340" s="65"/>
      <c r="D340" s="65"/>
      <c r="E340" s="65"/>
      <c r="F340" s="65"/>
      <c r="H340" s="65"/>
      <c r="J340" s="65"/>
      <c r="K340" s="65"/>
      <c r="L340" s="65"/>
    </row>
    <row r="341" ht="15.75" customHeight="1">
      <c r="C341" s="65"/>
      <c r="D341" s="65"/>
      <c r="E341" s="65"/>
      <c r="F341" s="65"/>
      <c r="H341" s="65"/>
      <c r="J341" s="65"/>
      <c r="K341" s="65"/>
      <c r="L341" s="65"/>
    </row>
    <row r="342" ht="15.75" customHeight="1">
      <c r="C342" s="65"/>
      <c r="D342" s="65"/>
      <c r="E342" s="65"/>
      <c r="F342" s="65"/>
      <c r="H342" s="65"/>
      <c r="J342" s="65"/>
      <c r="K342" s="65"/>
      <c r="L342" s="65"/>
    </row>
    <row r="343" ht="15.75" customHeight="1">
      <c r="C343" s="65"/>
      <c r="D343" s="65"/>
      <c r="E343" s="65"/>
      <c r="F343" s="65"/>
      <c r="H343" s="65"/>
      <c r="J343" s="65"/>
      <c r="K343" s="65"/>
      <c r="L343" s="65"/>
    </row>
    <row r="344" ht="15.75" customHeight="1">
      <c r="C344" s="65"/>
      <c r="D344" s="65"/>
      <c r="E344" s="65"/>
      <c r="F344" s="65"/>
      <c r="H344" s="65"/>
      <c r="J344" s="65"/>
      <c r="K344" s="65"/>
      <c r="L344" s="65"/>
    </row>
    <row r="345" ht="15.75" customHeight="1">
      <c r="C345" s="65"/>
      <c r="D345" s="65"/>
      <c r="E345" s="65"/>
      <c r="F345" s="65"/>
      <c r="H345" s="65"/>
      <c r="J345" s="65"/>
      <c r="K345" s="65"/>
      <c r="L345" s="65"/>
    </row>
    <row r="346" ht="15.75" customHeight="1">
      <c r="C346" s="65"/>
      <c r="D346" s="65"/>
      <c r="E346" s="65"/>
      <c r="F346" s="65"/>
      <c r="H346" s="65"/>
      <c r="J346" s="65"/>
      <c r="K346" s="65"/>
      <c r="L346" s="65"/>
    </row>
    <row r="347" ht="15.75" customHeight="1">
      <c r="C347" s="65"/>
      <c r="D347" s="65"/>
      <c r="E347" s="65"/>
      <c r="F347" s="65"/>
      <c r="H347" s="65"/>
      <c r="J347" s="65"/>
      <c r="K347" s="65"/>
      <c r="L347" s="65"/>
    </row>
    <row r="348" ht="15.75" customHeight="1">
      <c r="C348" s="65"/>
      <c r="D348" s="65"/>
      <c r="E348" s="65"/>
      <c r="F348" s="65"/>
      <c r="H348" s="65"/>
      <c r="J348" s="65"/>
      <c r="K348" s="65"/>
      <c r="L348" s="65"/>
    </row>
    <row r="349" ht="15.75" customHeight="1">
      <c r="C349" s="65"/>
      <c r="D349" s="65"/>
      <c r="E349" s="65"/>
      <c r="F349" s="65"/>
      <c r="H349" s="65"/>
      <c r="J349" s="65"/>
      <c r="K349" s="65"/>
      <c r="L349" s="65"/>
    </row>
    <row r="350" ht="15.75" customHeight="1">
      <c r="C350" s="65"/>
      <c r="D350" s="65"/>
      <c r="E350" s="65"/>
      <c r="F350" s="65"/>
      <c r="H350" s="65"/>
      <c r="J350" s="65"/>
      <c r="K350" s="65"/>
      <c r="L350" s="65"/>
    </row>
    <row r="351" ht="15.75" customHeight="1">
      <c r="C351" s="65"/>
      <c r="D351" s="65"/>
      <c r="E351" s="65"/>
      <c r="F351" s="65"/>
      <c r="H351" s="65"/>
      <c r="J351" s="65"/>
      <c r="K351" s="65"/>
      <c r="L351" s="65"/>
    </row>
    <row r="352" ht="15.75" customHeight="1">
      <c r="C352" s="65"/>
      <c r="D352" s="65"/>
      <c r="E352" s="65"/>
      <c r="F352" s="65"/>
      <c r="H352" s="65"/>
      <c r="J352" s="65"/>
      <c r="K352" s="65"/>
      <c r="L352" s="65"/>
    </row>
    <row r="353" ht="15.75" customHeight="1">
      <c r="C353" s="65"/>
      <c r="D353" s="65"/>
      <c r="E353" s="65"/>
      <c r="F353" s="65"/>
      <c r="H353" s="65"/>
      <c r="J353" s="65"/>
      <c r="K353" s="65"/>
      <c r="L353" s="65"/>
    </row>
    <row r="354" ht="15.75" customHeight="1">
      <c r="C354" s="65"/>
      <c r="D354" s="65"/>
      <c r="E354" s="65"/>
      <c r="F354" s="65"/>
      <c r="H354" s="65"/>
      <c r="J354" s="65"/>
      <c r="K354" s="65"/>
      <c r="L354" s="65"/>
    </row>
    <row r="355" ht="15.75" customHeight="1">
      <c r="C355" s="65"/>
      <c r="D355" s="65"/>
      <c r="E355" s="65"/>
      <c r="F355" s="65"/>
      <c r="H355" s="65"/>
      <c r="J355" s="65"/>
      <c r="K355" s="65"/>
      <c r="L355" s="65"/>
    </row>
    <row r="356" ht="15.75" customHeight="1">
      <c r="C356" s="65"/>
      <c r="D356" s="65"/>
      <c r="E356" s="65"/>
      <c r="F356" s="65"/>
      <c r="H356" s="65"/>
      <c r="J356" s="65"/>
      <c r="K356" s="65"/>
      <c r="L356" s="65"/>
    </row>
    <row r="357" ht="15.75" customHeight="1">
      <c r="C357" s="65"/>
      <c r="D357" s="65"/>
      <c r="E357" s="65"/>
      <c r="F357" s="65"/>
      <c r="H357" s="65"/>
      <c r="J357" s="65"/>
      <c r="K357" s="65"/>
      <c r="L357" s="65"/>
    </row>
    <row r="358" ht="15.75" customHeight="1">
      <c r="C358" s="65"/>
      <c r="D358" s="65"/>
      <c r="E358" s="65"/>
      <c r="F358" s="65"/>
      <c r="H358" s="65"/>
      <c r="J358" s="65"/>
      <c r="K358" s="65"/>
      <c r="L358" s="65"/>
    </row>
    <row r="359" ht="15.75" customHeight="1">
      <c r="C359" s="65"/>
      <c r="D359" s="65"/>
      <c r="E359" s="65"/>
      <c r="F359" s="65"/>
      <c r="H359" s="65"/>
      <c r="J359" s="65"/>
      <c r="K359" s="65"/>
      <c r="L359" s="65"/>
    </row>
    <row r="360" ht="15.75" customHeight="1">
      <c r="C360" s="65"/>
      <c r="D360" s="65"/>
      <c r="E360" s="65"/>
      <c r="F360" s="65"/>
      <c r="H360" s="65"/>
      <c r="J360" s="65"/>
      <c r="K360" s="65"/>
      <c r="L360" s="65"/>
    </row>
    <row r="361" ht="15.75" customHeight="1">
      <c r="C361" s="65"/>
      <c r="D361" s="65"/>
      <c r="E361" s="65"/>
      <c r="F361" s="65"/>
      <c r="H361" s="65"/>
      <c r="J361" s="65"/>
      <c r="K361" s="65"/>
      <c r="L361" s="65"/>
    </row>
    <row r="362" ht="15.75" customHeight="1">
      <c r="C362" s="65"/>
      <c r="D362" s="65"/>
      <c r="E362" s="65"/>
      <c r="F362" s="65"/>
      <c r="H362" s="65"/>
      <c r="J362" s="65"/>
      <c r="K362" s="65"/>
      <c r="L362" s="65"/>
    </row>
    <row r="363" ht="15.75" customHeight="1">
      <c r="C363" s="65"/>
      <c r="D363" s="65"/>
      <c r="E363" s="65"/>
      <c r="F363" s="65"/>
      <c r="H363" s="65"/>
      <c r="J363" s="65"/>
      <c r="K363" s="65"/>
      <c r="L363" s="65"/>
    </row>
    <row r="364" ht="15.75" customHeight="1">
      <c r="C364" s="65"/>
      <c r="D364" s="65"/>
      <c r="E364" s="65"/>
      <c r="F364" s="65"/>
      <c r="H364" s="65"/>
      <c r="J364" s="65"/>
      <c r="K364" s="65"/>
      <c r="L364" s="65"/>
    </row>
    <row r="365" ht="15.75" customHeight="1">
      <c r="C365" s="65"/>
      <c r="D365" s="65"/>
      <c r="E365" s="65"/>
      <c r="F365" s="65"/>
      <c r="H365" s="65"/>
      <c r="J365" s="65"/>
      <c r="K365" s="65"/>
      <c r="L365" s="65"/>
    </row>
    <row r="366" ht="15.75" customHeight="1">
      <c r="C366" s="65"/>
      <c r="D366" s="65"/>
      <c r="E366" s="65"/>
      <c r="F366" s="65"/>
      <c r="H366" s="65"/>
      <c r="J366" s="65"/>
      <c r="K366" s="65"/>
      <c r="L366" s="65"/>
    </row>
    <row r="367" ht="15.75" customHeight="1">
      <c r="C367" s="65"/>
      <c r="D367" s="65"/>
      <c r="E367" s="65"/>
      <c r="F367" s="65"/>
      <c r="H367" s="65"/>
      <c r="J367" s="65"/>
      <c r="K367" s="65"/>
      <c r="L367" s="65"/>
    </row>
    <row r="368" ht="15.75" customHeight="1">
      <c r="C368" s="65"/>
      <c r="D368" s="65"/>
      <c r="E368" s="65"/>
      <c r="F368" s="65"/>
      <c r="H368" s="65"/>
      <c r="J368" s="65"/>
      <c r="K368" s="65"/>
      <c r="L368" s="65"/>
    </row>
    <row r="369" ht="15.75" customHeight="1">
      <c r="C369" s="65"/>
      <c r="D369" s="65"/>
      <c r="E369" s="65"/>
      <c r="F369" s="65"/>
      <c r="H369" s="65"/>
      <c r="J369" s="65"/>
      <c r="K369" s="65"/>
      <c r="L369" s="65"/>
    </row>
    <row r="370" ht="15.75" customHeight="1">
      <c r="C370" s="65"/>
      <c r="D370" s="65"/>
      <c r="E370" s="65"/>
      <c r="F370" s="65"/>
      <c r="H370" s="65"/>
      <c r="J370" s="65"/>
      <c r="K370" s="65"/>
      <c r="L370" s="65"/>
    </row>
    <row r="371" ht="15.75" customHeight="1">
      <c r="C371" s="65"/>
      <c r="D371" s="65"/>
      <c r="E371" s="65"/>
      <c r="F371" s="65"/>
      <c r="H371" s="65"/>
      <c r="J371" s="65"/>
      <c r="K371" s="65"/>
      <c r="L371" s="65"/>
    </row>
    <row r="372" ht="15.75" customHeight="1">
      <c r="C372" s="65"/>
      <c r="D372" s="65"/>
      <c r="E372" s="65"/>
      <c r="F372" s="65"/>
      <c r="H372" s="65"/>
      <c r="J372" s="65"/>
      <c r="K372" s="65"/>
      <c r="L372" s="65"/>
    </row>
    <row r="373" ht="15.75" customHeight="1">
      <c r="C373" s="65"/>
      <c r="D373" s="65"/>
      <c r="E373" s="65"/>
      <c r="F373" s="65"/>
      <c r="H373" s="65"/>
      <c r="J373" s="65"/>
      <c r="K373" s="65"/>
      <c r="L373" s="65"/>
    </row>
    <row r="374" ht="15.75" customHeight="1">
      <c r="C374" s="65"/>
      <c r="D374" s="65"/>
      <c r="E374" s="65"/>
      <c r="F374" s="65"/>
      <c r="H374" s="65"/>
      <c r="J374" s="65"/>
      <c r="K374" s="65"/>
      <c r="L374" s="65"/>
    </row>
    <row r="375" ht="15.75" customHeight="1">
      <c r="C375" s="65"/>
      <c r="D375" s="65"/>
      <c r="E375" s="65"/>
      <c r="F375" s="65"/>
      <c r="H375" s="65"/>
      <c r="J375" s="65"/>
      <c r="K375" s="65"/>
      <c r="L375" s="65"/>
    </row>
    <row r="376" ht="15.75" customHeight="1">
      <c r="C376" s="65"/>
      <c r="D376" s="65"/>
      <c r="E376" s="65"/>
      <c r="F376" s="65"/>
      <c r="H376" s="65"/>
      <c r="J376" s="65"/>
      <c r="K376" s="65"/>
      <c r="L376" s="65"/>
    </row>
    <row r="377" ht="15.75" customHeight="1">
      <c r="C377" s="65"/>
      <c r="D377" s="65"/>
      <c r="E377" s="65"/>
      <c r="F377" s="65"/>
      <c r="H377" s="65"/>
      <c r="J377" s="65"/>
      <c r="K377" s="65"/>
      <c r="L377" s="65"/>
    </row>
    <row r="378" ht="15.75" customHeight="1">
      <c r="C378" s="65"/>
      <c r="D378" s="65"/>
      <c r="E378" s="65"/>
      <c r="F378" s="65"/>
      <c r="H378" s="65"/>
      <c r="J378" s="65"/>
      <c r="K378" s="65"/>
      <c r="L378" s="65"/>
    </row>
    <row r="379" ht="15.75" customHeight="1">
      <c r="C379" s="65"/>
      <c r="D379" s="65"/>
      <c r="E379" s="65"/>
      <c r="F379" s="65"/>
      <c r="H379" s="65"/>
      <c r="J379" s="65"/>
      <c r="K379" s="65"/>
      <c r="L379" s="65"/>
    </row>
    <row r="380" ht="15.75" customHeight="1">
      <c r="C380" s="65"/>
      <c r="D380" s="65"/>
      <c r="E380" s="65"/>
      <c r="F380" s="65"/>
      <c r="H380" s="65"/>
      <c r="J380" s="65"/>
      <c r="K380" s="65"/>
      <c r="L380" s="65"/>
    </row>
    <row r="381" ht="15.75" customHeight="1">
      <c r="C381" s="65"/>
      <c r="D381" s="65"/>
      <c r="E381" s="65"/>
      <c r="F381" s="65"/>
      <c r="H381" s="65"/>
      <c r="J381" s="65"/>
      <c r="K381" s="65"/>
      <c r="L381" s="65"/>
    </row>
    <row r="382" ht="15.75" customHeight="1">
      <c r="C382" s="65"/>
      <c r="D382" s="65"/>
      <c r="E382" s="65"/>
      <c r="F382" s="65"/>
      <c r="H382" s="65"/>
      <c r="J382" s="65"/>
      <c r="K382" s="65"/>
      <c r="L382" s="65"/>
    </row>
    <row r="383" ht="15.75" customHeight="1">
      <c r="C383" s="65"/>
      <c r="D383" s="65"/>
      <c r="E383" s="65"/>
      <c r="F383" s="65"/>
      <c r="H383" s="65"/>
      <c r="J383" s="65"/>
      <c r="K383" s="65"/>
      <c r="L383" s="65"/>
    </row>
    <row r="384" ht="15.75" customHeight="1">
      <c r="C384" s="65"/>
      <c r="D384" s="65"/>
      <c r="E384" s="65"/>
      <c r="F384" s="65"/>
      <c r="H384" s="65"/>
      <c r="J384" s="65"/>
      <c r="K384" s="65"/>
      <c r="L384" s="65"/>
    </row>
    <row r="385" ht="15.75" customHeight="1">
      <c r="C385" s="65"/>
      <c r="D385" s="65"/>
      <c r="E385" s="65"/>
      <c r="F385" s="65"/>
      <c r="H385" s="65"/>
      <c r="J385" s="65"/>
      <c r="K385" s="65"/>
      <c r="L385" s="65"/>
    </row>
    <row r="386" ht="15.75" customHeight="1">
      <c r="C386" s="65"/>
      <c r="D386" s="65"/>
      <c r="E386" s="65"/>
      <c r="F386" s="65"/>
      <c r="H386" s="65"/>
      <c r="J386" s="65"/>
      <c r="K386" s="65"/>
      <c r="L386" s="65"/>
    </row>
    <row r="387" ht="15.75" customHeight="1">
      <c r="C387" s="65"/>
      <c r="D387" s="65"/>
      <c r="E387" s="65"/>
      <c r="F387" s="65"/>
      <c r="H387" s="65"/>
      <c r="J387" s="65"/>
      <c r="K387" s="65"/>
      <c r="L387" s="65"/>
    </row>
    <row r="388" ht="15.75" customHeight="1">
      <c r="C388" s="65"/>
      <c r="D388" s="65"/>
      <c r="E388" s="65"/>
      <c r="F388" s="65"/>
      <c r="H388" s="65"/>
      <c r="J388" s="65"/>
      <c r="K388" s="65"/>
      <c r="L388" s="65"/>
    </row>
    <row r="389" ht="15.75" customHeight="1">
      <c r="C389" s="65"/>
      <c r="D389" s="65"/>
      <c r="E389" s="65"/>
      <c r="F389" s="65"/>
      <c r="H389" s="65"/>
      <c r="J389" s="65"/>
      <c r="K389" s="65"/>
      <c r="L389" s="65"/>
    </row>
    <row r="390" ht="15.75" customHeight="1">
      <c r="C390" s="65"/>
      <c r="D390" s="65"/>
      <c r="E390" s="65"/>
      <c r="F390" s="65"/>
      <c r="H390" s="65"/>
      <c r="J390" s="65"/>
      <c r="K390" s="65"/>
      <c r="L390" s="65"/>
    </row>
    <row r="391" ht="15.75" customHeight="1">
      <c r="C391" s="65"/>
      <c r="D391" s="65"/>
      <c r="E391" s="65"/>
      <c r="F391" s="65"/>
      <c r="H391" s="65"/>
      <c r="J391" s="65"/>
      <c r="K391" s="65"/>
      <c r="L391" s="65"/>
    </row>
    <row r="392" ht="15.75" customHeight="1">
      <c r="C392" s="65"/>
      <c r="D392" s="65"/>
      <c r="E392" s="65"/>
      <c r="F392" s="65"/>
      <c r="H392" s="65"/>
      <c r="J392" s="65"/>
      <c r="K392" s="65"/>
      <c r="L392" s="65"/>
    </row>
    <row r="393" ht="15.75" customHeight="1">
      <c r="C393" s="65"/>
      <c r="D393" s="65"/>
      <c r="E393" s="65"/>
      <c r="F393" s="65"/>
      <c r="H393" s="65"/>
      <c r="J393" s="65"/>
      <c r="K393" s="65"/>
      <c r="L393" s="65"/>
    </row>
    <row r="394" ht="15.75" customHeight="1">
      <c r="C394" s="65"/>
      <c r="D394" s="65"/>
      <c r="E394" s="65"/>
      <c r="F394" s="65"/>
      <c r="H394" s="65"/>
      <c r="J394" s="65"/>
      <c r="K394" s="65"/>
      <c r="L394" s="65"/>
    </row>
    <row r="395" ht="15.75" customHeight="1">
      <c r="C395" s="65"/>
      <c r="D395" s="65"/>
      <c r="E395" s="65"/>
      <c r="F395" s="65"/>
      <c r="H395" s="65"/>
      <c r="J395" s="65"/>
      <c r="K395" s="65"/>
      <c r="L395" s="65"/>
    </row>
    <row r="396" ht="15.75" customHeight="1">
      <c r="C396" s="65"/>
      <c r="D396" s="65"/>
      <c r="E396" s="65"/>
      <c r="F396" s="65"/>
      <c r="H396" s="65"/>
      <c r="J396" s="65"/>
      <c r="K396" s="65"/>
      <c r="L396" s="65"/>
    </row>
    <row r="397" ht="15.75" customHeight="1">
      <c r="C397" s="65"/>
      <c r="D397" s="65"/>
      <c r="E397" s="65"/>
      <c r="F397" s="65"/>
      <c r="H397" s="65"/>
      <c r="J397" s="65"/>
      <c r="K397" s="65"/>
      <c r="L397" s="65"/>
    </row>
    <row r="398" ht="15.75" customHeight="1">
      <c r="C398" s="65"/>
      <c r="D398" s="65"/>
      <c r="E398" s="65"/>
      <c r="F398" s="65"/>
      <c r="H398" s="65"/>
      <c r="J398" s="65"/>
      <c r="K398" s="65"/>
      <c r="L398" s="65"/>
    </row>
    <row r="399" ht="15.75" customHeight="1">
      <c r="C399" s="65"/>
      <c r="D399" s="65"/>
      <c r="E399" s="65"/>
      <c r="F399" s="65"/>
      <c r="H399" s="65"/>
      <c r="J399" s="65"/>
      <c r="K399" s="65"/>
      <c r="L399" s="65"/>
    </row>
    <row r="400" ht="15.75" customHeight="1">
      <c r="C400" s="65"/>
      <c r="D400" s="65"/>
      <c r="E400" s="65"/>
      <c r="F400" s="65"/>
      <c r="H400" s="65"/>
      <c r="J400" s="65"/>
      <c r="K400" s="65"/>
      <c r="L400" s="65"/>
    </row>
    <row r="401" ht="15.75" customHeight="1">
      <c r="C401" s="65"/>
      <c r="D401" s="65"/>
      <c r="E401" s="65"/>
      <c r="F401" s="65"/>
      <c r="H401" s="65"/>
      <c r="J401" s="65"/>
      <c r="K401" s="65"/>
      <c r="L401" s="65"/>
    </row>
    <row r="402" ht="15.75" customHeight="1">
      <c r="C402" s="65"/>
      <c r="D402" s="65"/>
      <c r="E402" s="65"/>
      <c r="F402" s="65"/>
      <c r="H402" s="65"/>
      <c r="J402" s="65"/>
      <c r="K402" s="65"/>
      <c r="L402" s="65"/>
    </row>
    <row r="403" ht="15.75" customHeight="1">
      <c r="C403" s="65"/>
      <c r="D403" s="65"/>
      <c r="E403" s="65"/>
      <c r="F403" s="65"/>
      <c r="H403" s="65"/>
      <c r="J403" s="65"/>
      <c r="K403" s="65"/>
      <c r="L403" s="65"/>
    </row>
    <row r="404" ht="15.75" customHeight="1">
      <c r="C404" s="65"/>
      <c r="D404" s="65"/>
      <c r="E404" s="65"/>
      <c r="F404" s="65"/>
      <c r="H404" s="65"/>
      <c r="J404" s="65"/>
      <c r="K404" s="65"/>
      <c r="L404" s="65"/>
    </row>
    <row r="405" ht="15.75" customHeight="1">
      <c r="C405" s="65"/>
      <c r="D405" s="65"/>
      <c r="E405" s="65"/>
      <c r="F405" s="65"/>
      <c r="H405" s="65"/>
      <c r="J405" s="65"/>
      <c r="K405" s="65"/>
      <c r="L405" s="65"/>
    </row>
    <row r="406" ht="15.75" customHeight="1">
      <c r="C406" s="65"/>
      <c r="D406" s="65"/>
      <c r="E406" s="65"/>
      <c r="F406" s="65"/>
      <c r="H406" s="65"/>
      <c r="J406" s="65"/>
      <c r="K406" s="65"/>
      <c r="L406" s="65"/>
    </row>
    <row r="407" ht="15.75" customHeight="1">
      <c r="C407" s="65"/>
      <c r="D407" s="65"/>
      <c r="E407" s="65"/>
      <c r="F407" s="65"/>
      <c r="H407" s="65"/>
      <c r="J407" s="65"/>
      <c r="K407" s="65"/>
      <c r="L407" s="65"/>
    </row>
    <row r="408" ht="15.75" customHeight="1">
      <c r="C408" s="65"/>
      <c r="D408" s="65"/>
      <c r="E408" s="65"/>
      <c r="F408" s="65"/>
      <c r="H408" s="65"/>
      <c r="J408" s="65"/>
      <c r="K408" s="65"/>
      <c r="L408" s="65"/>
    </row>
    <row r="409" ht="15.75" customHeight="1">
      <c r="C409" s="65"/>
      <c r="D409" s="65"/>
      <c r="E409" s="65"/>
      <c r="F409" s="65"/>
      <c r="H409" s="65"/>
      <c r="J409" s="65"/>
      <c r="K409" s="65"/>
      <c r="L409" s="65"/>
    </row>
    <row r="410" ht="15.75" customHeight="1">
      <c r="C410" s="65"/>
      <c r="D410" s="65"/>
      <c r="E410" s="65"/>
      <c r="F410" s="65"/>
      <c r="H410" s="65"/>
      <c r="J410" s="65"/>
      <c r="K410" s="65"/>
      <c r="L410" s="65"/>
    </row>
    <row r="411" ht="15.75" customHeight="1">
      <c r="C411" s="65"/>
      <c r="D411" s="65"/>
      <c r="E411" s="65"/>
      <c r="F411" s="65"/>
      <c r="H411" s="65"/>
      <c r="J411" s="65"/>
      <c r="K411" s="65"/>
      <c r="L411" s="65"/>
    </row>
    <row r="412" ht="15.75" customHeight="1">
      <c r="C412" s="65"/>
      <c r="D412" s="65"/>
      <c r="E412" s="65"/>
      <c r="F412" s="65"/>
      <c r="H412" s="65"/>
      <c r="J412" s="65"/>
      <c r="K412" s="65"/>
      <c r="L412" s="65"/>
    </row>
    <row r="413" ht="15.75" customHeight="1">
      <c r="C413" s="65"/>
      <c r="D413" s="65"/>
      <c r="E413" s="65"/>
      <c r="F413" s="65"/>
      <c r="H413" s="65"/>
      <c r="J413" s="65"/>
      <c r="K413" s="65"/>
      <c r="L413" s="65"/>
    </row>
    <row r="414" ht="15.75" customHeight="1">
      <c r="C414" s="65"/>
      <c r="D414" s="65"/>
      <c r="E414" s="65"/>
      <c r="F414" s="65"/>
      <c r="H414" s="65"/>
      <c r="J414" s="65"/>
      <c r="K414" s="65"/>
      <c r="L414" s="65"/>
    </row>
    <row r="415" ht="15.75" customHeight="1">
      <c r="C415" s="65"/>
      <c r="D415" s="65"/>
      <c r="E415" s="65"/>
      <c r="F415" s="65"/>
      <c r="H415" s="65"/>
      <c r="J415" s="65"/>
      <c r="K415" s="65"/>
      <c r="L415" s="65"/>
    </row>
    <row r="416" ht="15.75" customHeight="1">
      <c r="C416" s="65"/>
      <c r="D416" s="65"/>
      <c r="E416" s="65"/>
      <c r="F416" s="65"/>
      <c r="H416" s="65"/>
      <c r="J416" s="65"/>
      <c r="K416" s="65"/>
      <c r="L416" s="65"/>
    </row>
    <row r="417" ht="15.75" customHeight="1">
      <c r="C417" s="65"/>
      <c r="D417" s="65"/>
      <c r="E417" s="65"/>
      <c r="F417" s="65"/>
      <c r="H417" s="65"/>
      <c r="J417" s="65"/>
      <c r="K417" s="65"/>
      <c r="L417" s="65"/>
    </row>
    <row r="418" ht="15.75" customHeight="1">
      <c r="C418" s="65"/>
      <c r="D418" s="65"/>
      <c r="E418" s="65"/>
      <c r="F418" s="65"/>
      <c r="H418" s="65"/>
      <c r="J418" s="65"/>
      <c r="K418" s="65"/>
      <c r="L418" s="65"/>
    </row>
    <row r="419" ht="15.75" customHeight="1">
      <c r="C419" s="65"/>
      <c r="D419" s="65"/>
      <c r="E419" s="65"/>
      <c r="F419" s="65"/>
      <c r="H419" s="65"/>
      <c r="J419" s="65"/>
      <c r="K419" s="65"/>
      <c r="L419" s="65"/>
    </row>
    <row r="420" ht="15.75" customHeight="1">
      <c r="C420" s="65"/>
      <c r="D420" s="65"/>
      <c r="E420" s="65"/>
      <c r="F420" s="65"/>
      <c r="H420" s="65"/>
      <c r="J420" s="65"/>
      <c r="K420" s="65"/>
      <c r="L420" s="65"/>
    </row>
    <row r="421" ht="15.75" customHeight="1">
      <c r="C421" s="65"/>
      <c r="D421" s="65"/>
      <c r="E421" s="65"/>
      <c r="F421" s="65"/>
      <c r="H421" s="65"/>
      <c r="J421" s="65"/>
      <c r="K421" s="65"/>
      <c r="L421" s="65"/>
    </row>
    <row r="422" ht="15.75" customHeight="1">
      <c r="C422" s="65"/>
      <c r="D422" s="65"/>
      <c r="E422" s="65"/>
      <c r="F422" s="65"/>
      <c r="H422" s="65"/>
      <c r="J422" s="65"/>
      <c r="K422" s="65"/>
      <c r="L422" s="65"/>
    </row>
    <row r="423" ht="15.75" customHeight="1">
      <c r="C423" s="65"/>
      <c r="D423" s="65"/>
      <c r="E423" s="65"/>
      <c r="F423" s="65"/>
      <c r="H423" s="65"/>
      <c r="J423" s="65"/>
      <c r="K423" s="65"/>
      <c r="L423" s="65"/>
    </row>
    <row r="424" ht="15.75" customHeight="1">
      <c r="C424" s="65"/>
      <c r="D424" s="65"/>
      <c r="E424" s="65"/>
      <c r="F424" s="65"/>
      <c r="H424" s="65"/>
      <c r="J424" s="65"/>
      <c r="K424" s="65"/>
      <c r="L424" s="65"/>
    </row>
    <row r="425" ht="15.75" customHeight="1">
      <c r="C425" s="65"/>
      <c r="D425" s="65"/>
      <c r="E425" s="65"/>
      <c r="F425" s="65"/>
      <c r="H425" s="65"/>
      <c r="J425" s="65"/>
      <c r="K425" s="65"/>
      <c r="L425" s="65"/>
    </row>
    <row r="426" ht="15.75" customHeight="1">
      <c r="C426" s="65"/>
      <c r="D426" s="65"/>
      <c r="E426" s="65"/>
      <c r="F426" s="65"/>
      <c r="H426" s="65"/>
      <c r="J426" s="65"/>
      <c r="K426" s="65"/>
      <c r="L426" s="65"/>
    </row>
    <row r="427" ht="15.75" customHeight="1">
      <c r="C427" s="65"/>
      <c r="D427" s="65"/>
      <c r="E427" s="65"/>
      <c r="F427" s="65"/>
      <c r="H427" s="65"/>
      <c r="J427" s="65"/>
      <c r="K427" s="65"/>
      <c r="L427" s="65"/>
    </row>
    <row r="428" ht="15.75" customHeight="1">
      <c r="C428" s="65"/>
      <c r="D428" s="65"/>
      <c r="E428" s="65"/>
      <c r="F428" s="65"/>
      <c r="H428" s="65"/>
      <c r="J428" s="65"/>
      <c r="K428" s="65"/>
      <c r="L428" s="65"/>
    </row>
    <row r="429" ht="15.75" customHeight="1">
      <c r="C429" s="65"/>
      <c r="D429" s="65"/>
      <c r="E429" s="65"/>
      <c r="F429" s="65"/>
      <c r="H429" s="65"/>
      <c r="J429" s="65"/>
      <c r="K429" s="65"/>
      <c r="L429" s="65"/>
    </row>
    <row r="430" ht="15.75" customHeight="1">
      <c r="C430" s="65"/>
      <c r="D430" s="65"/>
      <c r="E430" s="65"/>
      <c r="F430" s="65"/>
      <c r="H430" s="65"/>
      <c r="J430" s="65"/>
      <c r="K430" s="65"/>
      <c r="L430" s="65"/>
    </row>
    <row r="431" ht="15.75" customHeight="1">
      <c r="C431" s="65"/>
      <c r="D431" s="65"/>
      <c r="E431" s="65"/>
      <c r="F431" s="65"/>
      <c r="H431" s="65"/>
      <c r="J431" s="65"/>
      <c r="K431" s="65"/>
      <c r="L431" s="65"/>
    </row>
    <row r="432" ht="15.75" customHeight="1">
      <c r="C432" s="65"/>
      <c r="D432" s="65"/>
      <c r="E432" s="65"/>
      <c r="F432" s="65"/>
      <c r="H432" s="65"/>
      <c r="J432" s="65"/>
      <c r="K432" s="65"/>
      <c r="L432" s="65"/>
    </row>
    <row r="433" ht="15.75" customHeight="1">
      <c r="C433" s="65"/>
      <c r="D433" s="65"/>
      <c r="E433" s="65"/>
      <c r="F433" s="65"/>
      <c r="H433" s="65"/>
      <c r="J433" s="65"/>
      <c r="K433" s="65"/>
      <c r="L433" s="65"/>
    </row>
    <row r="434" ht="15.75" customHeight="1">
      <c r="C434" s="65"/>
      <c r="D434" s="65"/>
      <c r="E434" s="65"/>
      <c r="F434" s="65"/>
      <c r="H434" s="65"/>
      <c r="J434" s="65"/>
      <c r="K434" s="65"/>
      <c r="L434" s="65"/>
    </row>
    <row r="435" ht="15.75" customHeight="1">
      <c r="C435" s="65"/>
      <c r="D435" s="65"/>
      <c r="E435" s="65"/>
      <c r="F435" s="65"/>
      <c r="H435" s="65"/>
      <c r="J435" s="65"/>
      <c r="K435" s="65"/>
      <c r="L435" s="65"/>
    </row>
    <row r="436" ht="15.75" customHeight="1">
      <c r="C436" s="65"/>
      <c r="D436" s="65"/>
      <c r="E436" s="65"/>
      <c r="F436" s="65"/>
      <c r="H436" s="65"/>
      <c r="J436" s="65"/>
      <c r="K436" s="65"/>
      <c r="L436" s="65"/>
    </row>
    <row r="437" ht="15.75" customHeight="1">
      <c r="C437" s="65"/>
      <c r="D437" s="65"/>
      <c r="E437" s="65"/>
      <c r="F437" s="65"/>
      <c r="H437" s="65"/>
      <c r="J437" s="65"/>
      <c r="K437" s="65"/>
      <c r="L437" s="65"/>
    </row>
    <row r="438" ht="15.75" customHeight="1">
      <c r="C438" s="65"/>
      <c r="D438" s="65"/>
      <c r="E438" s="65"/>
      <c r="F438" s="65"/>
      <c r="H438" s="65"/>
      <c r="J438" s="65"/>
      <c r="K438" s="65"/>
      <c r="L438" s="65"/>
    </row>
    <row r="439" ht="15.75" customHeight="1">
      <c r="C439" s="65"/>
      <c r="D439" s="65"/>
      <c r="E439" s="65"/>
      <c r="F439" s="65"/>
      <c r="H439" s="65"/>
      <c r="J439" s="65"/>
      <c r="K439" s="65"/>
      <c r="L439" s="65"/>
    </row>
    <row r="440" ht="15.75" customHeight="1">
      <c r="C440" s="65"/>
      <c r="D440" s="65"/>
      <c r="E440" s="65"/>
      <c r="F440" s="65"/>
      <c r="H440" s="65"/>
      <c r="J440" s="65"/>
      <c r="K440" s="65"/>
      <c r="L440" s="65"/>
    </row>
    <row r="441" ht="15.75" customHeight="1">
      <c r="C441" s="65"/>
      <c r="D441" s="65"/>
      <c r="E441" s="65"/>
      <c r="F441" s="65"/>
      <c r="H441" s="65"/>
      <c r="J441" s="65"/>
      <c r="K441" s="65"/>
      <c r="L441" s="65"/>
    </row>
    <row r="442" ht="15.75" customHeight="1">
      <c r="C442" s="65"/>
      <c r="D442" s="65"/>
      <c r="E442" s="65"/>
      <c r="F442" s="65"/>
      <c r="H442" s="65"/>
      <c r="J442" s="65"/>
      <c r="K442" s="65"/>
      <c r="L442" s="65"/>
    </row>
    <row r="443" ht="15.75" customHeight="1">
      <c r="C443" s="65"/>
      <c r="D443" s="65"/>
      <c r="E443" s="65"/>
      <c r="F443" s="65"/>
      <c r="H443" s="65"/>
      <c r="J443" s="65"/>
      <c r="K443" s="65"/>
      <c r="L443" s="65"/>
    </row>
    <row r="444" ht="15.75" customHeight="1">
      <c r="C444" s="65"/>
      <c r="D444" s="65"/>
      <c r="E444" s="65"/>
      <c r="F444" s="65"/>
      <c r="H444" s="65"/>
      <c r="J444" s="65"/>
      <c r="K444" s="65"/>
      <c r="L444" s="65"/>
    </row>
    <row r="445" ht="15.75" customHeight="1">
      <c r="C445" s="65"/>
      <c r="D445" s="65"/>
      <c r="E445" s="65"/>
      <c r="F445" s="65"/>
      <c r="H445" s="65"/>
      <c r="J445" s="65"/>
      <c r="K445" s="65"/>
      <c r="L445" s="65"/>
    </row>
    <row r="446" ht="15.75" customHeight="1">
      <c r="C446" s="65"/>
      <c r="D446" s="65"/>
      <c r="E446" s="65"/>
      <c r="F446" s="65"/>
      <c r="H446" s="65"/>
      <c r="J446" s="65"/>
      <c r="K446" s="65"/>
      <c r="L446" s="65"/>
    </row>
    <row r="447" ht="15.75" customHeight="1">
      <c r="C447" s="65"/>
      <c r="D447" s="65"/>
      <c r="E447" s="65"/>
      <c r="F447" s="65"/>
      <c r="H447" s="65"/>
      <c r="J447" s="65"/>
      <c r="K447" s="65"/>
      <c r="L447" s="65"/>
    </row>
    <row r="448" ht="15.75" customHeight="1">
      <c r="C448" s="65"/>
      <c r="D448" s="65"/>
      <c r="E448" s="65"/>
      <c r="F448" s="65"/>
      <c r="H448" s="65"/>
      <c r="J448" s="65"/>
      <c r="K448" s="65"/>
      <c r="L448" s="65"/>
    </row>
    <row r="449" ht="15.75" customHeight="1">
      <c r="C449" s="65"/>
      <c r="D449" s="65"/>
      <c r="E449" s="65"/>
      <c r="F449" s="65"/>
      <c r="H449" s="65"/>
      <c r="J449" s="65"/>
      <c r="K449" s="65"/>
      <c r="L449" s="65"/>
    </row>
    <row r="450" ht="15.75" customHeight="1">
      <c r="C450" s="65"/>
      <c r="D450" s="65"/>
      <c r="E450" s="65"/>
      <c r="F450" s="65"/>
      <c r="H450" s="65"/>
      <c r="J450" s="65"/>
      <c r="K450" s="65"/>
      <c r="L450" s="65"/>
    </row>
    <row r="451" ht="15.75" customHeight="1">
      <c r="C451" s="65"/>
      <c r="D451" s="65"/>
      <c r="E451" s="65"/>
      <c r="F451" s="65"/>
      <c r="H451" s="65"/>
      <c r="J451" s="65"/>
      <c r="K451" s="65"/>
      <c r="L451" s="65"/>
    </row>
    <row r="452" ht="15.75" customHeight="1">
      <c r="C452" s="65"/>
      <c r="D452" s="65"/>
      <c r="E452" s="65"/>
      <c r="F452" s="65"/>
      <c r="H452" s="65"/>
      <c r="J452" s="65"/>
      <c r="K452" s="65"/>
      <c r="L452" s="65"/>
    </row>
    <row r="453" ht="15.75" customHeight="1">
      <c r="C453" s="65"/>
      <c r="D453" s="65"/>
      <c r="E453" s="65"/>
      <c r="F453" s="65"/>
      <c r="H453" s="65"/>
      <c r="J453" s="65"/>
      <c r="K453" s="65"/>
      <c r="L453" s="65"/>
    </row>
    <row r="454" ht="15.75" customHeight="1">
      <c r="C454" s="65"/>
      <c r="D454" s="65"/>
      <c r="E454" s="65"/>
      <c r="F454" s="65"/>
      <c r="H454" s="65"/>
      <c r="J454" s="65"/>
      <c r="K454" s="65"/>
      <c r="L454" s="65"/>
    </row>
    <row r="455" ht="15.75" customHeight="1">
      <c r="C455" s="65"/>
      <c r="D455" s="65"/>
      <c r="E455" s="65"/>
      <c r="F455" s="65"/>
      <c r="H455" s="65"/>
      <c r="J455" s="65"/>
      <c r="K455" s="65"/>
      <c r="L455" s="65"/>
    </row>
    <row r="456" ht="15.75" customHeight="1">
      <c r="C456" s="65"/>
      <c r="D456" s="65"/>
      <c r="E456" s="65"/>
      <c r="F456" s="65"/>
      <c r="H456" s="65"/>
      <c r="J456" s="65"/>
      <c r="K456" s="65"/>
      <c r="L456" s="65"/>
    </row>
    <row r="457" ht="15.75" customHeight="1">
      <c r="C457" s="65"/>
      <c r="D457" s="65"/>
      <c r="E457" s="65"/>
      <c r="F457" s="65"/>
      <c r="H457" s="65"/>
      <c r="J457" s="65"/>
      <c r="K457" s="65"/>
      <c r="L457" s="65"/>
    </row>
    <row r="458" ht="15.75" customHeight="1">
      <c r="C458" s="65"/>
      <c r="D458" s="65"/>
      <c r="E458" s="65"/>
      <c r="F458" s="65"/>
      <c r="H458" s="65"/>
      <c r="J458" s="65"/>
      <c r="K458" s="65"/>
      <c r="L458" s="65"/>
    </row>
    <row r="459" ht="15.75" customHeight="1">
      <c r="C459" s="65"/>
      <c r="D459" s="65"/>
      <c r="E459" s="65"/>
      <c r="F459" s="65"/>
      <c r="H459" s="65"/>
      <c r="J459" s="65"/>
      <c r="K459" s="65"/>
      <c r="L459" s="65"/>
    </row>
    <row r="460" ht="15.75" customHeight="1">
      <c r="C460" s="65"/>
      <c r="D460" s="65"/>
      <c r="E460" s="65"/>
      <c r="F460" s="65"/>
      <c r="H460" s="65"/>
      <c r="J460" s="65"/>
      <c r="K460" s="65"/>
      <c r="L460" s="65"/>
    </row>
    <row r="461" ht="15.75" customHeight="1">
      <c r="C461" s="65"/>
      <c r="D461" s="65"/>
      <c r="E461" s="65"/>
      <c r="F461" s="65"/>
      <c r="H461" s="65"/>
      <c r="J461" s="65"/>
      <c r="K461" s="65"/>
      <c r="L461" s="65"/>
    </row>
    <row r="462" ht="15.75" customHeight="1">
      <c r="C462" s="65"/>
      <c r="D462" s="65"/>
      <c r="E462" s="65"/>
      <c r="F462" s="65"/>
      <c r="H462" s="65"/>
      <c r="J462" s="65"/>
      <c r="K462" s="65"/>
      <c r="L462" s="65"/>
    </row>
    <row r="463" ht="15.75" customHeight="1">
      <c r="C463" s="65"/>
      <c r="D463" s="65"/>
      <c r="E463" s="65"/>
      <c r="F463" s="65"/>
      <c r="H463" s="65"/>
      <c r="J463" s="65"/>
      <c r="K463" s="65"/>
      <c r="L463" s="65"/>
    </row>
    <row r="464" ht="15.75" customHeight="1">
      <c r="C464" s="65"/>
      <c r="D464" s="65"/>
      <c r="E464" s="65"/>
      <c r="F464" s="65"/>
      <c r="H464" s="65"/>
      <c r="J464" s="65"/>
      <c r="K464" s="65"/>
      <c r="L464" s="65"/>
    </row>
    <row r="465" ht="15.75" customHeight="1">
      <c r="C465" s="65"/>
      <c r="D465" s="65"/>
      <c r="E465" s="65"/>
      <c r="F465" s="65"/>
      <c r="H465" s="65"/>
      <c r="J465" s="65"/>
      <c r="K465" s="65"/>
      <c r="L465" s="65"/>
    </row>
    <row r="466" ht="15.75" customHeight="1">
      <c r="C466" s="65"/>
      <c r="D466" s="65"/>
      <c r="E466" s="65"/>
      <c r="F466" s="65"/>
      <c r="H466" s="65"/>
      <c r="J466" s="65"/>
      <c r="K466" s="65"/>
      <c r="L466" s="65"/>
    </row>
    <row r="467" ht="15.75" customHeight="1">
      <c r="C467" s="65"/>
      <c r="D467" s="65"/>
      <c r="E467" s="65"/>
      <c r="F467" s="65"/>
      <c r="H467" s="65"/>
      <c r="J467" s="65"/>
      <c r="K467" s="65"/>
      <c r="L467" s="65"/>
    </row>
    <row r="468" ht="15.75" customHeight="1">
      <c r="C468" s="65"/>
      <c r="D468" s="65"/>
      <c r="E468" s="65"/>
      <c r="F468" s="65"/>
      <c r="H468" s="65"/>
      <c r="J468" s="65"/>
      <c r="K468" s="65"/>
      <c r="L468" s="65"/>
    </row>
    <row r="469" ht="15.75" customHeight="1">
      <c r="C469" s="65"/>
      <c r="D469" s="65"/>
      <c r="E469" s="65"/>
      <c r="F469" s="65"/>
      <c r="H469" s="65"/>
      <c r="J469" s="65"/>
      <c r="K469" s="65"/>
      <c r="L469" s="65"/>
    </row>
    <row r="470" ht="15.75" customHeight="1">
      <c r="C470" s="65"/>
      <c r="D470" s="65"/>
      <c r="E470" s="65"/>
      <c r="F470" s="65"/>
      <c r="H470" s="65"/>
      <c r="J470" s="65"/>
      <c r="K470" s="65"/>
      <c r="L470" s="65"/>
    </row>
    <row r="471" ht="15.75" customHeight="1">
      <c r="C471" s="65"/>
      <c r="D471" s="65"/>
      <c r="E471" s="65"/>
      <c r="F471" s="65"/>
      <c r="H471" s="65"/>
      <c r="J471" s="65"/>
      <c r="K471" s="65"/>
      <c r="L471" s="65"/>
    </row>
    <row r="472" ht="15.75" customHeight="1">
      <c r="C472" s="65"/>
      <c r="D472" s="65"/>
      <c r="E472" s="65"/>
      <c r="F472" s="65"/>
      <c r="H472" s="65"/>
      <c r="J472" s="65"/>
      <c r="K472" s="65"/>
      <c r="L472" s="65"/>
    </row>
    <row r="473" ht="15.75" customHeight="1">
      <c r="C473" s="65"/>
      <c r="D473" s="65"/>
      <c r="E473" s="65"/>
      <c r="F473" s="65"/>
      <c r="H473" s="65"/>
      <c r="J473" s="65"/>
      <c r="K473" s="65"/>
      <c r="L473" s="65"/>
    </row>
    <row r="474" ht="15.75" customHeight="1">
      <c r="C474" s="65"/>
      <c r="D474" s="65"/>
      <c r="E474" s="65"/>
      <c r="F474" s="65"/>
      <c r="H474" s="65"/>
      <c r="J474" s="65"/>
      <c r="K474" s="65"/>
      <c r="L474" s="65"/>
    </row>
    <row r="475" ht="15.75" customHeight="1">
      <c r="C475" s="65"/>
      <c r="D475" s="65"/>
      <c r="E475" s="65"/>
      <c r="F475" s="65"/>
      <c r="H475" s="65"/>
      <c r="J475" s="65"/>
      <c r="K475" s="65"/>
      <c r="L475" s="65"/>
    </row>
    <row r="476" ht="15.75" customHeight="1">
      <c r="C476" s="65"/>
      <c r="D476" s="65"/>
      <c r="E476" s="65"/>
      <c r="F476" s="65"/>
      <c r="H476" s="65"/>
      <c r="J476" s="65"/>
      <c r="K476" s="65"/>
      <c r="L476" s="65"/>
    </row>
    <row r="477" ht="15.75" customHeight="1">
      <c r="C477" s="65"/>
      <c r="D477" s="65"/>
      <c r="E477" s="65"/>
      <c r="F477" s="65"/>
      <c r="H477" s="65"/>
      <c r="J477" s="65"/>
      <c r="K477" s="65"/>
      <c r="L477" s="65"/>
    </row>
    <row r="478" ht="15.75" customHeight="1">
      <c r="C478" s="65"/>
      <c r="D478" s="65"/>
      <c r="E478" s="65"/>
      <c r="F478" s="65"/>
      <c r="H478" s="65"/>
      <c r="J478" s="65"/>
      <c r="K478" s="65"/>
      <c r="L478" s="65"/>
    </row>
    <row r="479" ht="15.75" customHeight="1">
      <c r="C479" s="65"/>
      <c r="D479" s="65"/>
      <c r="E479" s="65"/>
      <c r="F479" s="65"/>
      <c r="H479" s="65"/>
      <c r="J479" s="65"/>
      <c r="K479" s="65"/>
      <c r="L479" s="65"/>
    </row>
    <row r="480" ht="15.75" customHeight="1">
      <c r="C480" s="65"/>
      <c r="D480" s="65"/>
      <c r="E480" s="65"/>
      <c r="F480" s="65"/>
      <c r="H480" s="65"/>
      <c r="J480" s="65"/>
      <c r="K480" s="65"/>
      <c r="L480" s="65"/>
    </row>
    <row r="481" ht="15.75" customHeight="1">
      <c r="C481" s="65"/>
      <c r="D481" s="65"/>
      <c r="E481" s="65"/>
      <c r="F481" s="65"/>
      <c r="H481" s="65"/>
      <c r="J481" s="65"/>
      <c r="K481" s="65"/>
      <c r="L481" s="65"/>
    </row>
    <row r="482" ht="15.75" customHeight="1">
      <c r="C482" s="65"/>
      <c r="D482" s="65"/>
      <c r="E482" s="65"/>
      <c r="F482" s="65"/>
      <c r="H482" s="65"/>
      <c r="J482" s="65"/>
      <c r="K482" s="65"/>
      <c r="L482" s="65"/>
    </row>
    <row r="483" ht="15.75" customHeight="1">
      <c r="C483" s="65"/>
      <c r="D483" s="65"/>
      <c r="E483" s="65"/>
      <c r="F483" s="65"/>
      <c r="H483" s="65"/>
      <c r="J483" s="65"/>
      <c r="K483" s="65"/>
      <c r="L483" s="65"/>
    </row>
    <row r="484" ht="15.75" customHeight="1">
      <c r="C484" s="65"/>
      <c r="D484" s="65"/>
      <c r="E484" s="65"/>
      <c r="F484" s="65"/>
      <c r="H484" s="65"/>
      <c r="J484" s="65"/>
      <c r="K484" s="65"/>
      <c r="L484" s="65"/>
    </row>
    <row r="485" ht="15.75" customHeight="1">
      <c r="C485" s="65"/>
      <c r="D485" s="65"/>
      <c r="E485" s="65"/>
      <c r="F485" s="65"/>
      <c r="H485" s="65"/>
      <c r="J485" s="65"/>
      <c r="K485" s="65"/>
      <c r="L485" s="65"/>
    </row>
    <row r="486" ht="15.75" customHeight="1">
      <c r="C486" s="65"/>
      <c r="D486" s="65"/>
      <c r="E486" s="65"/>
      <c r="F486" s="65"/>
      <c r="H486" s="65"/>
      <c r="J486" s="65"/>
      <c r="K486" s="65"/>
      <c r="L486" s="65"/>
    </row>
    <row r="487" ht="15.75" customHeight="1">
      <c r="C487" s="65"/>
      <c r="D487" s="65"/>
      <c r="E487" s="65"/>
      <c r="F487" s="65"/>
      <c r="H487" s="65"/>
      <c r="J487" s="65"/>
      <c r="K487" s="65"/>
      <c r="L487" s="65"/>
    </row>
    <row r="488" ht="15.75" customHeight="1">
      <c r="C488" s="65"/>
      <c r="D488" s="65"/>
      <c r="E488" s="65"/>
      <c r="F488" s="65"/>
      <c r="H488" s="65"/>
      <c r="J488" s="65"/>
      <c r="K488" s="65"/>
      <c r="L488" s="65"/>
    </row>
    <row r="489" ht="15.75" customHeight="1">
      <c r="C489" s="65"/>
      <c r="D489" s="65"/>
      <c r="E489" s="65"/>
      <c r="F489" s="65"/>
      <c r="H489" s="65"/>
      <c r="J489" s="65"/>
      <c r="K489" s="65"/>
      <c r="L489" s="65"/>
    </row>
    <row r="490" ht="15.75" customHeight="1">
      <c r="C490" s="65"/>
      <c r="D490" s="65"/>
      <c r="E490" s="65"/>
      <c r="F490" s="65"/>
      <c r="H490" s="65"/>
      <c r="J490" s="65"/>
      <c r="K490" s="65"/>
      <c r="L490" s="65"/>
    </row>
    <row r="491" ht="15.75" customHeight="1">
      <c r="C491" s="65"/>
      <c r="D491" s="65"/>
      <c r="E491" s="65"/>
      <c r="F491" s="65"/>
      <c r="H491" s="65"/>
      <c r="J491" s="65"/>
      <c r="K491" s="65"/>
      <c r="L491" s="65"/>
    </row>
    <row r="492" ht="15.75" customHeight="1">
      <c r="C492" s="65"/>
      <c r="D492" s="65"/>
      <c r="E492" s="65"/>
      <c r="F492" s="65"/>
      <c r="H492" s="65"/>
      <c r="J492" s="65"/>
      <c r="K492" s="65"/>
      <c r="L492" s="65"/>
    </row>
    <row r="493" ht="15.75" customHeight="1">
      <c r="C493" s="65"/>
      <c r="D493" s="65"/>
      <c r="E493" s="65"/>
      <c r="F493" s="65"/>
      <c r="H493" s="65"/>
      <c r="J493" s="65"/>
      <c r="K493" s="65"/>
      <c r="L493" s="65"/>
    </row>
    <row r="494" ht="15.75" customHeight="1">
      <c r="C494" s="65"/>
      <c r="D494" s="65"/>
      <c r="E494" s="65"/>
      <c r="F494" s="65"/>
      <c r="H494" s="65"/>
      <c r="J494" s="65"/>
      <c r="K494" s="65"/>
      <c r="L494" s="65"/>
    </row>
    <row r="495" ht="15.75" customHeight="1">
      <c r="C495" s="65"/>
      <c r="D495" s="65"/>
      <c r="E495" s="65"/>
      <c r="F495" s="65"/>
      <c r="H495" s="65"/>
      <c r="J495" s="65"/>
      <c r="K495" s="65"/>
      <c r="L495" s="65"/>
    </row>
    <row r="496" ht="15.75" customHeight="1">
      <c r="C496" s="65"/>
      <c r="D496" s="65"/>
      <c r="E496" s="65"/>
      <c r="F496" s="65"/>
      <c r="H496" s="65"/>
      <c r="J496" s="65"/>
      <c r="K496" s="65"/>
      <c r="L496" s="65"/>
    </row>
    <row r="497" ht="15.75" customHeight="1">
      <c r="C497" s="65"/>
      <c r="D497" s="65"/>
      <c r="E497" s="65"/>
      <c r="F497" s="65"/>
      <c r="H497" s="65"/>
      <c r="J497" s="65"/>
      <c r="K497" s="65"/>
      <c r="L497" s="65"/>
    </row>
    <row r="498" ht="15.75" customHeight="1">
      <c r="C498" s="65"/>
      <c r="D498" s="65"/>
      <c r="E498" s="65"/>
      <c r="F498" s="65"/>
      <c r="H498" s="65"/>
      <c r="J498" s="65"/>
      <c r="K498" s="65"/>
      <c r="L498" s="65"/>
    </row>
    <row r="499" ht="15.75" customHeight="1">
      <c r="C499" s="65"/>
      <c r="D499" s="65"/>
      <c r="E499" s="65"/>
      <c r="F499" s="65"/>
      <c r="H499" s="65"/>
      <c r="J499" s="65"/>
      <c r="K499" s="65"/>
      <c r="L499" s="65"/>
    </row>
    <row r="500" ht="15.75" customHeight="1">
      <c r="C500" s="65"/>
      <c r="D500" s="65"/>
      <c r="E500" s="65"/>
      <c r="F500" s="65"/>
      <c r="H500" s="65"/>
      <c r="J500" s="65"/>
      <c r="K500" s="65"/>
      <c r="L500" s="65"/>
    </row>
    <row r="501" ht="15.75" customHeight="1">
      <c r="C501" s="65"/>
      <c r="D501" s="65"/>
      <c r="E501" s="65"/>
      <c r="F501" s="65"/>
      <c r="H501" s="65"/>
      <c r="J501" s="65"/>
      <c r="K501" s="65"/>
      <c r="L501" s="65"/>
    </row>
    <row r="502" ht="15.75" customHeight="1">
      <c r="C502" s="65"/>
      <c r="D502" s="65"/>
      <c r="E502" s="65"/>
      <c r="F502" s="65"/>
      <c r="H502" s="65"/>
      <c r="J502" s="65"/>
      <c r="K502" s="65"/>
      <c r="L502" s="65"/>
    </row>
    <row r="503" ht="15.75" customHeight="1">
      <c r="C503" s="65"/>
      <c r="D503" s="65"/>
      <c r="E503" s="65"/>
      <c r="F503" s="65"/>
      <c r="H503" s="65"/>
      <c r="J503" s="65"/>
      <c r="K503" s="65"/>
      <c r="L503" s="65"/>
    </row>
    <row r="504" ht="15.75" customHeight="1">
      <c r="C504" s="65"/>
      <c r="D504" s="65"/>
      <c r="E504" s="65"/>
      <c r="F504" s="65"/>
      <c r="H504" s="65"/>
      <c r="J504" s="65"/>
      <c r="K504" s="65"/>
      <c r="L504" s="65"/>
    </row>
    <row r="505" ht="15.75" customHeight="1">
      <c r="C505" s="65"/>
      <c r="D505" s="65"/>
      <c r="E505" s="65"/>
      <c r="F505" s="65"/>
      <c r="H505" s="65"/>
      <c r="J505" s="65"/>
      <c r="K505" s="65"/>
      <c r="L505" s="65"/>
    </row>
    <row r="506" ht="15.75" customHeight="1">
      <c r="C506" s="65"/>
      <c r="D506" s="65"/>
      <c r="E506" s="65"/>
      <c r="F506" s="65"/>
      <c r="H506" s="65"/>
      <c r="J506" s="65"/>
      <c r="K506" s="65"/>
      <c r="L506" s="65"/>
    </row>
    <row r="507" ht="15.75" customHeight="1">
      <c r="C507" s="65"/>
      <c r="D507" s="65"/>
      <c r="E507" s="65"/>
      <c r="F507" s="65"/>
      <c r="H507" s="65"/>
      <c r="J507" s="65"/>
      <c r="K507" s="65"/>
      <c r="L507" s="65"/>
    </row>
    <row r="508" ht="15.75" customHeight="1">
      <c r="C508" s="65"/>
      <c r="D508" s="65"/>
      <c r="E508" s="65"/>
      <c r="F508" s="65"/>
      <c r="H508" s="65"/>
      <c r="J508" s="65"/>
      <c r="K508" s="65"/>
      <c r="L508" s="65"/>
    </row>
    <row r="509" ht="15.75" customHeight="1">
      <c r="C509" s="65"/>
      <c r="D509" s="65"/>
      <c r="E509" s="65"/>
      <c r="F509" s="65"/>
      <c r="H509" s="65"/>
      <c r="J509" s="65"/>
      <c r="K509" s="65"/>
      <c r="L509" s="65"/>
    </row>
    <row r="510" ht="15.75" customHeight="1">
      <c r="C510" s="65"/>
      <c r="D510" s="65"/>
      <c r="E510" s="65"/>
      <c r="F510" s="65"/>
      <c r="H510" s="65"/>
      <c r="J510" s="65"/>
      <c r="K510" s="65"/>
      <c r="L510" s="65"/>
    </row>
    <row r="511" ht="15.75" customHeight="1">
      <c r="C511" s="65"/>
      <c r="D511" s="65"/>
      <c r="E511" s="65"/>
      <c r="F511" s="65"/>
      <c r="H511" s="65"/>
      <c r="J511" s="65"/>
      <c r="K511" s="65"/>
      <c r="L511" s="65"/>
    </row>
    <row r="512" ht="15.75" customHeight="1">
      <c r="C512" s="65"/>
      <c r="D512" s="65"/>
      <c r="E512" s="65"/>
      <c r="F512" s="65"/>
      <c r="H512" s="65"/>
      <c r="J512" s="65"/>
      <c r="K512" s="65"/>
      <c r="L512" s="65"/>
    </row>
    <row r="513" ht="15.75" customHeight="1">
      <c r="C513" s="65"/>
      <c r="D513" s="65"/>
      <c r="E513" s="65"/>
      <c r="F513" s="65"/>
      <c r="H513" s="65"/>
      <c r="J513" s="65"/>
      <c r="K513" s="65"/>
      <c r="L513" s="65"/>
    </row>
    <row r="514" ht="15.75" customHeight="1">
      <c r="C514" s="65"/>
      <c r="D514" s="65"/>
      <c r="E514" s="65"/>
      <c r="F514" s="65"/>
      <c r="H514" s="65"/>
      <c r="J514" s="65"/>
      <c r="K514" s="65"/>
      <c r="L514" s="65"/>
    </row>
    <row r="515" ht="15.75" customHeight="1">
      <c r="C515" s="65"/>
      <c r="D515" s="65"/>
      <c r="E515" s="65"/>
      <c r="F515" s="65"/>
      <c r="H515" s="65"/>
      <c r="J515" s="65"/>
      <c r="K515" s="65"/>
      <c r="L515" s="65"/>
    </row>
    <row r="516" ht="15.75" customHeight="1">
      <c r="C516" s="65"/>
      <c r="D516" s="65"/>
      <c r="E516" s="65"/>
      <c r="F516" s="65"/>
      <c r="H516" s="65"/>
      <c r="J516" s="65"/>
      <c r="K516" s="65"/>
      <c r="L516" s="65"/>
    </row>
    <row r="517" ht="15.75" customHeight="1">
      <c r="C517" s="65"/>
      <c r="D517" s="65"/>
      <c r="E517" s="65"/>
      <c r="F517" s="65"/>
      <c r="H517" s="65"/>
      <c r="J517" s="65"/>
      <c r="K517" s="65"/>
      <c r="L517" s="65"/>
    </row>
    <row r="518" ht="15.75" customHeight="1">
      <c r="C518" s="65"/>
      <c r="D518" s="65"/>
      <c r="E518" s="65"/>
      <c r="F518" s="65"/>
      <c r="H518" s="65"/>
      <c r="J518" s="65"/>
      <c r="K518" s="65"/>
      <c r="L518" s="65"/>
    </row>
    <row r="519" ht="15.75" customHeight="1">
      <c r="C519" s="65"/>
      <c r="D519" s="65"/>
      <c r="E519" s="65"/>
      <c r="F519" s="65"/>
      <c r="H519" s="65"/>
      <c r="J519" s="65"/>
      <c r="K519" s="65"/>
      <c r="L519" s="65"/>
    </row>
    <row r="520" ht="15.75" customHeight="1">
      <c r="C520" s="65"/>
      <c r="D520" s="65"/>
      <c r="E520" s="65"/>
      <c r="F520" s="65"/>
      <c r="H520" s="65"/>
      <c r="J520" s="65"/>
      <c r="K520" s="65"/>
      <c r="L520" s="65"/>
    </row>
    <row r="521" ht="15.75" customHeight="1">
      <c r="C521" s="65"/>
      <c r="D521" s="65"/>
      <c r="E521" s="65"/>
      <c r="F521" s="65"/>
      <c r="H521" s="65"/>
      <c r="J521" s="65"/>
      <c r="K521" s="65"/>
      <c r="L521" s="65"/>
    </row>
    <row r="522" ht="15.75" customHeight="1">
      <c r="C522" s="65"/>
      <c r="D522" s="65"/>
      <c r="E522" s="65"/>
      <c r="F522" s="65"/>
      <c r="H522" s="65"/>
      <c r="J522" s="65"/>
      <c r="K522" s="65"/>
      <c r="L522" s="65"/>
    </row>
    <row r="523" ht="15.75" customHeight="1">
      <c r="C523" s="65"/>
      <c r="D523" s="65"/>
      <c r="E523" s="65"/>
      <c r="F523" s="65"/>
      <c r="H523" s="65"/>
      <c r="J523" s="65"/>
      <c r="K523" s="65"/>
      <c r="L523" s="65"/>
    </row>
    <row r="524" ht="15.75" customHeight="1">
      <c r="C524" s="65"/>
      <c r="D524" s="65"/>
      <c r="E524" s="65"/>
      <c r="F524" s="65"/>
      <c r="H524" s="65"/>
      <c r="J524" s="65"/>
      <c r="K524" s="65"/>
      <c r="L524" s="65"/>
    </row>
    <row r="525" ht="15.75" customHeight="1">
      <c r="C525" s="65"/>
      <c r="D525" s="65"/>
      <c r="E525" s="65"/>
      <c r="F525" s="65"/>
      <c r="H525" s="65"/>
      <c r="J525" s="65"/>
      <c r="K525" s="65"/>
      <c r="L525" s="65"/>
    </row>
    <row r="526" ht="15.75" customHeight="1">
      <c r="C526" s="65"/>
      <c r="D526" s="65"/>
      <c r="E526" s="65"/>
      <c r="F526" s="65"/>
      <c r="H526" s="65"/>
      <c r="J526" s="65"/>
      <c r="K526" s="65"/>
      <c r="L526" s="65"/>
    </row>
    <row r="527" ht="15.75" customHeight="1">
      <c r="C527" s="65"/>
      <c r="D527" s="65"/>
      <c r="E527" s="65"/>
      <c r="F527" s="65"/>
      <c r="H527" s="65"/>
      <c r="J527" s="65"/>
      <c r="K527" s="65"/>
      <c r="L527" s="65"/>
    </row>
    <row r="528" ht="15.75" customHeight="1">
      <c r="C528" s="65"/>
      <c r="D528" s="65"/>
      <c r="E528" s="65"/>
      <c r="F528" s="65"/>
      <c r="H528" s="65"/>
      <c r="J528" s="65"/>
      <c r="K528" s="65"/>
      <c r="L528" s="65"/>
    </row>
    <row r="529" ht="15.75" customHeight="1">
      <c r="C529" s="65"/>
      <c r="D529" s="65"/>
      <c r="E529" s="65"/>
      <c r="F529" s="65"/>
      <c r="H529" s="65"/>
      <c r="J529" s="65"/>
      <c r="K529" s="65"/>
      <c r="L529" s="65"/>
    </row>
    <row r="530" ht="15.75" customHeight="1">
      <c r="C530" s="65"/>
      <c r="D530" s="65"/>
      <c r="E530" s="65"/>
      <c r="F530" s="65"/>
      <c r="H530" s="65"/>
      <c r="J530" s="65"/>
      <c r="K530" s="65"/>
      <c r="L530" s="65"/>
    </row>
    <row r="531" ht="15.75" customHeight="1">
      <c r="C531" s="65"/>
      <c r="D531" s="65"/>
      <c r="E531" s="65"/>
      <c r="F531" s="65"/>
      <c r="H531" s="65"/>
      <c r="J531" s="65"/>
      <c r="K531" s="65"/>
      <c r="L531" s="65"/>
    </row>
    <row r="532" ht="15.75" customHeight="1">
      <c r="C532" s="65"/>
      <c r="D532" s="65"/>
      <c r="E532" s="65"/>
      <c r="F532" s="65"/>
      <c r="H532" s="65"/>
      <c r="J532" s="65"/>
      <c r="K532" s="65"/>
      <c r="L532" s="65"/>
    </row>
    <row r="533" ht="15.75" customHeight="1">
      <c r="C533" s="65"/>
      <c r="D533" s="65"/>
      <c r="E533" s="65"/>
      <c r="F533" s="65"/>
      <c r="H533" s="65"/>
      <c r="J533" s="65"/>
      <c r="K533" s="65"/>
      <c r="L533" s="65"/>
    </row>
    <row r="534" ht="15.75" customHeight="1">
      <c r="C534" s="65"/>
      <c r="D534" s="65"/>
      <c r="E534" s="65"/>
      <c r="F534" s="65"/>
      <c r="H534" s="65"/>
      <c r="J534" s="65"/>
      <c r="K534" s="65"/>
      <c r="L534" s="65"/>
    </row>
    <row r="535" ht="15.75" customHeight="1">
      <c r="C535" s="65"/>
      <c r="D535" s="65"/>
      <c r="E535" s="65"/>
      <c r="F535" s="65"/>
      <c r="H535" s="65"/>
      <c r="J535" s="65"/>
      <c r="K535" s="65"/>
      <c r="L535" s="65"/>
    </row>
    <row r="536" ht="15.75" customHeight="1">
      <c r="C536" s="65"/>
      <c r="D536" s="65"/>
      <c r="E536" s="65"/>
      <c r="F536" s="65"/>
      <c r="H536" s="65"/>
      <c r="J536" s="65"/>
      <c r="K536" s="65"/>
      <c r="L536" s="65"/>
    </row>
    <row r="537" ht="15.75" customHeight="1">
      <c r="C537" s="65"/>
      <c r="D537" s="65"/>
      <c r="E537" s="65"/>
      <c r="F537" s="65"/>
      <c r="H537" s="65"/>
      <c r="J537" s="65"/>
      <c r="K537" s="65"/>
      <c r="L537" s="65"/>
    </row>
    <row r="538" ht="15.75" customHeight="1">
      <c r="C538" s="65"/>
      <c r="D538" s="65"/>
      <c r="E538" s="65"/>
      <c r="F538" s="65"/>
      <c r="H538" s="65"/>
      <c r="J538" s="65"/>
      <c r="K538" s="65"/>
      <c r="L538" s="65"/>
    </row>
    <row r="539" ht="15.75" customHeight="1">
      <c r="C539" s="65"/>
      <c r="D539" s="65"/>
      <c r="E539" s="65"/>
      <c r="F539" s="65"/>
      <c r="H539" s="65"/>
      <c r="J539" s="65"/>
      <c r="K539" s="65"/>
      <c r="L539" s="65"/>
    </row>
    <row r="540" ht="15.75" customHeight="1">
      <c r="C540" s="65"/>
      <c r="D540" s="65"/>
      <c r="E540" s="65"/>
      <c r="F540" s="65"/>
      <c r="H540" s="65"/>
      <c r="J540" s="65"/>
      <c r="K540" s="65"/>
      <c r="L540" s="65"/>
    </row>
    <row r="541" ht="15.75" customHeight="1">
      <c r="C541" s="65"/>
      <c r="D541" s="65"/>
      <c r="E541" s="65"/>
      <c r="F541" s="65"/>
      <c r="H541" s="65"/>
      <c r="J541" s="65"/>
      <c r="K541" s="65"/>
      <c r="L541" s="65"/>
    </row>
    <row r="542" ht="15.75" customHeight="1">
      <c r="C542" s="65"/>
      <c r="D542" s="65"/>
      <c r="E542" s="65"/>
      <c r="F542" s="65"/>
      <c r="H542" s="65"/>
      <c r="J542" s="65"/>
      <c r="K542" s="65"/>
      <c r="L542" s="65"/>
    </row>
    <row r="543" ht="15.75" customHeight="1">
      <c r="C543" s="65"/>
      <c r="D543" s="65"/>
      <c r="E543" s="65"/>
      <c r="F543" s="65"/>
      <c r="H543" s="65"/>
      <c r="J543" s="65"/>
      <c r="K543" s="65"/>
      <c r="L543" s="65"/>
    </row>
    <row r="544" ht="15.75" customHeight="1">
      <c r="C544" s="65"/>
      <c r="D544" s="65"/>
      <c r="E544" s="65"/>
      <c r="F544" s="65"/>
      <c r="H544" s="65"/>
      <c r="J544" s="65"/>
      <c r="K544" s="65"/>
      <c r="L544" s="65"/>
    </row>
    <row r="545" ht="15.75" customHeight="1">
      <c r="C545" s="65"/>
      <c r="D545" s="65"/>
      <c r="E545" s="65"/>
      <c r="F545" s="65"/>
      <c r="H545" s="65"/>
      <c r="J545" s="65"/>
      <c r="K545" s="65"/>
      <c r="L545" s="65"/>
    </row>
    <row r="546" ht="15.75" customHeight="1">
      <c r="C546" s="65"/>
      <c r="D546" s="65"/>
      <c r="E546" s="65"/>
      <c r="F546" s="65"/>
      <c r="H546" s="65"/>
      <c r="J546" s="65"/>
      <c r="K546" s="65"/>
      <c r="L546" s="65"/>
    </row>
    <row r="547" ht="15.75" customHeight="1">
      <c r="C547" s="65"/>
      <c r="D547" s="65"/>
      <c r="E547" s="65"/>
      <c r="F547" s="65"/>
      <c r="H547" s="65"/>
      <c r="J547" s="65"/>
      <c r="K547" s="65"/>
      <c r="L547" s="65"/>
    </row>
    <row r="548" ht="15.75" customHeight="1">
      <c r="C548" s="65"/>
      <c r="D548" s="65"/>
      <c r="E548" s="65"/>
      <c r="F548" s="65"/>
      <c r="H548" s="65"/>
      <c r="J548" s="65"/>
      <c r="K548" s="65"/>
      <c r="L548" s="65"/>
    </row>
    <row r="549" ht="15.75" customHeight="1">
      <c r="C549" s="65"/>
      <c r="D549" s="65"/>
      <c r="E549" s="65"/>
      <c r="F549" s="65"/>
      <c r="H549" s="65"/>
      <c r="J549" s="65"/>
      <c r="K549" s="65"/>
      <c r="L549" s="65"/>
    </row>
    <row r="550" ht="15.75" customHeight="1">
      <c r="C550" s="65"/>
      <c r="D550" s="65"/>
      <c r="E550" s="65"/>
      <c r="F550" s="65"/>
      <c r="H550" s="65"/>
      <c r="J550" s="65"/>
      <c r="K550" s="65"/>
      <c r="L550" s="65"/>
    </row>
    <row r="551" ht="15.75" customHeight="1">
      <c r="C551" s="65"/>
      <c r="D551" s="65"/>
      <c r="E551" s="65"/>
      <c r="F551" s="65"/>
      <c r="H551" s="65"/>
      <c r="J551" s="65"/>
      <c r="K551" s="65"/>
      <c r="L551" s="65"/>
    </row>
    <row r="552" ht="15.75" customHeight="1">
      <c r="C552" s="65"/>
      <c r="D552" s="65"/>
      <c r="E552" s="65"/>
      <c r="F552" s="65"/>
      <c r="H552" s="65"/>
      <c r="J552" s="65"/>
      <c r="K552" s="65"/>
      <c r="L552" s="65"/>
    </row>
    <row r="553" ht="15.75" customHeight="1">
      <c r="C553" s="65"/>
      <c r="D553" s="65"/>
      <c r="E553" s="65"/>
      <c r="F553" s="65"/>
      <c r="H553" s="65"/>
      <c r="J553" s="65"/>
      <c r="K553" s="65"/>
      <c r="L553" s="65"/>
    </row>
    <row r="554" ht="15.75" customHeight="1">
      <c r="C554" s="65"/>
      <c r="D554" s="65"/>
      <c r="E554" s="65"/>
      <c r="F554" s="65"/>
      <c r="H554" s="65"/>
      <c r="J554" s="65"/>
      <c r="K554" s="65"/>
      <c r="L554" s="65"/>
    </row>
    <row r="555" ht="15.75" customHeight="1">
      <c r="C555" s="65"/>
      <c r="D555" s="65"/>
      <c r="E555" s="65"/>
      <c r="F555" s="65"/>
      <c r="H555" s="65"/>
      <c r="J555" s="65"/>
      <c r="K555" s="65"/>
      <c r="L555" s="65"/>
    </row>
    <row r="556" ht="15.75" customHeight="1">
      <c r="C556" s="65"/>
      <c r="D556" s="65"/>
      <c r="E556" s="65"/>
      <c r="F556" s="65"/>
      <c r="H556" s="65"/>
      <c r="J556" s="65"/>
      <c r="K556" s="65"/>
      <c r="L556" s="65"/>
    </row>
    <row r="557" ht="15.75" customHeight="1">
      <c r="C557" s="65"/>
      <c r="D557" s="65"/>
      <c r="E557" s="65"/>
      <c r="F557" s="65"/>
      <c r="H557" s="65"/>
      <c r="J557" s="65"/>
      <c r="K557" s="65"/>
      <c r="L557" s="65"/>
    </row>
    <row r="558" ht="15.75" customHeight="1">
      <c r="C558" s="65"/>
      <c r="D558" s="65"/>
      <c r="E558" s="65"/>
      <c r="F558" s="65"/>
      <c r="H558" s="65"/>
      <c r="J558" s="65"/>
      <c r="K558" s="65"/>
      <c r="L558" s="65"/>
    </row>
    <row r="559" ht="15.75" customHeight="1">
      <c r="C559" s="65"/>
      <c r="D559" s="65"/>
      <c r="E559" s="65"/>
      <c r="F559" s="65"/>
      <c r="H559" s="65"/>
      <c r="J559" s="65"/>
      <c r="K559" s="65"/>
      <c r="L559" s="65"/>
    </row>
    <row r="560" ht="15.75" customHeight="1">
      <c r="C560" s="65"/>
      <c r="D560" s="65"/>
      <c r="E560" s="65"/>
      <c r="F560" s="65"/>
      <c r="H560" s="65"/>
      <c r="J560" s="65"/>
      <c r="K560" s="65"/>
      <c r="L560" s="65"/>
    </row>
    <row r="561" ht="15.75" customHeight="1">
      <c r="C561" s="65"/>
      <c r="D561" s="65"/>
      <c r="E561" s="65"/>
      <c r="F561" s="65"/>
      <c r="H561" s="65"/>
      <c r="J561" s="65"/>
      <c r="K561" s="65"/>
      <c r="L561" s="65"/>
    </row>
    <row r="562" ht="15.75" customHeight="1">
      <c r="C562" s="65"/>
      <c r="D562" s="65"/>
      <c r="E562" s="65"/>
      <c r="F562" s="65"/>
      <c r="H562" s="65"/>
      <c r="J562" s="65"/>
      <c r="K562" s="65"/>
      <c r="L562" s="65"/>
    </row>
    <row r="563" ht="15.75" customHeight="1">
      <c r="C563" s="65"/>
      <c r="D563" s="65"/>
      <c r="E563" s="65"/>
      <c r="F563" s="65"/>
      <c r="H563" s="65"/>
      <c r="J563" s="65"/>
      <c r="K563" s="65"/>
      <c r="L563" s="65"/>
    </row>
    <row r="564" ht="15.75" customHeight="1">
      <c r="C564" s="65"/>
      <c r="D564" s="65"/>
      <c r="E564" s="65"/>
      <c r="F564" s="65"/>
      <c r="H564" s="65"/>
      <c r="J564" s="65"/>
      <c r="K564" s="65"/>
      <c r="L564" s="65"/>
    </row>
    <row r="565" ht="15.75" customHeight="1">
      <c r="C565" s="65"/>
      <c r="D565" s="65"/>
      <c r="E565" s="65"/>
      <c r="F565" s="65"/>
      <c r="H565" s="65"/>
      <c r="J565" s="65"/>
      <c r="K565" s="65"/>
      <c r="L565" s="65"/>
    </row>
    <row r="566" ht="15.75" customHeight="1">
      <c r="C566" s="65"/>
      <c r="D566" s="65"/>
      <c r="E566" s="65"/>
      <c r="F566" s="65"/>
      <c r="H566" s="65"/>
      <c r="J566" s="65"/>
      <c r="K566" s="65"/>
      <c r="L566" s="65"/>
    </row>
    <row r="567" ht="15.75" customHeight="1">
      <c r="C567" s="65"/>
      <c r="D567" s="65"/>
      <c r="E567" s="65"/>
      <c r="F567" s="65"/>
      <c r="H567" s="65"/>
      <c r="J567" s="65"/>
      <c r="K567" s="65"/>
      <c r="L567" s="65"/>
    </row>
    <row r="568" ht="15.75" customHeight="1">
      <c r="C568" s="65"/>
      <c r="D568" s="65"/>
      <c r="E568" s="65"/>
      <c r="F568" s="65"/>
      <c r="H568" s="65"/>
      <c r="J568" s="65"/>
      <c r="K568" s="65"/>
      <c r="L568" s="65"/>
    </row>
    <row r="569" ht="15.75" customHeight="1">
      <c r="C569" s="65"/>
      <c r="D569" s="65"/>
      <c r="E569" s="65"/>
      <c r="F569" s="65"/>
      <c r="H569" s="65"/>
      <c r="J569" s="65"/>
      <c r="K569" s="65"/>
      <c r="L569" s="65"/>
    </row>
    <row r="570" ht="15.75" customHeight="1">
      <c r="C570" s="65"/>
      <c r="D570" s="65"/>
      <c r="E570" s="65"/>
      <c r="F570" s="65"/>
      <c r="H570" s="65"/>
      <c r="J570" s="65"/>
      <c r="K570" s="65"/>
      <c r="L570" s="65"/>
    </row>
    <row r="571" ht="15.75" customHeight="1">
      <c r="C571" s="65"/>
      <c r="D571" s="65"/>
      <c r="E571" s="65"/>
      <c r="F571" s="65"/>
      <c r="H571" s="65"/>
      <c r="J571" s="65"/>
      <c r="K571" s="65"/>
      <c r="L571" s="65"/>
    </row>
    <row r="572" ht="15.75" customHeight="1">
      <c r="C572" s="65"/>
      <c r="D572" s="65"/>
      <c r="E572" s="65"/>
      <c r="F572" s="65"/>
      <c r="H572" s="65"/>
      <c r="J572" s="65"/>
      <c r="K572" s="65"/>
      <c r="L572" s="65"/>
    </row>
    <row r="573" ht="15.75" customHeight="1">
      <c r="C573" s="65"/>
      <c r="D573" s="65"/>
      <c r="E573" s="65"/>
      <c r="F573" s="65"/>
      <c r="H573" s="65"/>
      <c r="J573" s="65"/>
      <c r="K573" s="65"/>
      <c r="L573" s="65"/>
    </row>
    <row r="574" ht="15.75" customHeight="1">
      <c r="C574" s="65"/>
      <c r="D574" s="65"/>
      <c r="E574" s="65"/>
      <c r="F574" s="65"/>
      <c r="H574" s="65"/>
      <c r="J574" s="65"/>
      <c r="K574" s="65"/>
      <c r="L574" s="65"/>
    </row>
    <row r="575" ht="15.75" customHeight="1">
      <c r="C575" s="65"/>
      <c r="D575" s="65"/>
      <c r="E575" s="65"/>
      <c r="F575" s="65"/>
      <c r="H575" s="65"/>
      <c r="J575" s="65"/>
      <c r="K575" s="65"/>
      <c r="L575" s="65"/>
    </row>
    <row r="576" ht="15.75" customHeight="1">
      <c r="C576" s="65"/>
      <c r="D576" s="65"/>
      <c r="E576" s="65"/>
      <c r="F576" s="65"/>
      <c r="H576" s="65"/>
      <c r="J576" s="65"/>
      <c r="K576" s="65"/>
      <c r="L576" s="65"/>
    </row>
    <row r="577" ht="15.75" customHeight="1">
      <c r="C577" s="65"/>
      <c r="D577" s="65"/>
      <c r="E577" s="65"/>
      <c r="F577" s="65"/>
      <c r="H577" s="65"/>
      <c r="J577" s="65"/>
      <c r="K577" s="65"/>
      <c r="L577" s="65"/>
    </row>
    <row r="578" ht="15.75" customHeight="1">
      <c r="C578" s="65"/>
      <c r="D578" s="65"/>
      <c r="E578" s="65"/>
      <c r="F578" s="65"/>
      <c r="H578" s="65"/>
      <c r="J578" s="65"/>
      <c r="K578" s="65"/>
      <c r="L578" s="65"/>
    </row>
    <row r="579" ht="15.75" customHeight="1">
      <c r="C579" s="65"/>
      <c r="D579" s="65"/>
      <c r="E579" s="65"/>
      <c r="F579" s="65"/>
      <c r="H579" s="65"/>
      <c r="J579" s="65"/>
      <c r="K579" s="65"/>
      <c r="L579" s="65"/>
    </row>
    <row r="580" ht="15.75" customHeight="1">
      <c r="C580" s="65"/>
      <c r="D580" s="65"/>
      <c r="E580" s="65"/>
      <c r="F580" s="65"/>
      <c r="H580" s="65"/>
      <c r="J580" s="65"/>
      <c r="K580" s="65"/>
      <c r="L580" s="65"/>
    </row>
    <row r="581" ht="15.75" customHeight="1">
      <c r="C581" s="65"/>
      <c r="D581" s="65"/>
      <c r="E581" s="65"/>
      <c r="F581" s="65"/>
      <c r="H581" s="65"/>
      <c r="J581" s="65"/>
      <c r="K581" s="65"/>
      <c r="L581" s="65"/>
    </row>
    <row r="582" ht="15.75" customHeight="1">
      <c r="C582" s="65"/>
      <c r="D582" s="65"/>
      <c r="E582" s="65"/>
      <c r="F582" s="65"/>
      <c r="H582" s="65"/>
      <c r="J582" s="65"/>
      <c r="K582" s="65"/>
      <c r="L582" s="65"/>
    </row>
    <row r="583" ht="15.75" customHeight="1">
      <c r="C583" s="65"/>
      <c r="D583" s="65"/>
      <c r="E583" s="65"/>
      <c r="F583" s="65"/>
      <c r="H583" s="65"/>
      <c r="J583" s="65"/>
      <c r="K583" s="65"/>
      <c r="L583" s="65"/>
    </row>
    <row r="584" ht="15.75" customHeight="1">
      <c r="C584" s="65"/>
      <c r="D584" s="65"/>
      <c r="E584" s="65"/>
      <c r="F584" s="65"/>
      <c r="H584" s="65"/>
      <c r="J584" s="65"/>
      <c r="K584" s="65"/>
      <c r="L584" s="65"/>
    </row>
    <row r="585" ht="15.75" customHeight="1">
      <c r="C585" s="65"/>
      <c r="D585" s="65"/>
      <c r="E585" s="65"/>
      <c r="F585" s="65"/>
      <c r="H585" s="65"/>
      <c r="J585" s="65"/>
      <c r="K585" s="65"/>
      <c r="L585" s="65"/>
    </row>
    <row r="586" ht="15.75" customHeight="1">
      <c r="C586" s="65"/>
      <c r="D586" s="65"/>
      <c r="E586" s="65"/>
      <c r="F586" s="65"/>
      <c r="H586" s="65"/>
      <c r="J586" s="65"/>
      <c r="K586" s="65"/>
      <c r="L586" s="65"/>
    </row>
    <row r="587" ht="15.75" customHeight="1">
      <c r="C587" s="65"/>
      <c r="D587" s="65"/>
      <c r="E587" s="65"/>
      <c r="F587" s="65"/>
      <c r="H587" s="65"/>
      <c r="J587" s="65"/>
      <c r="K587" s="65"/>
      <c r="L587" s="65"/>
    </row>
    <row r="588" ht="15.75" customHeight="1">
      <c r="C588" s="65"/>
      <c r="D588" s="65"/>
      <c r="E588" s="65"/>
      <c r="F588" s="65"/>
      <c r="H588" s="65"/>
      <c r="J588" s="65"/>
      <c r="K588" s="65"/>
      <c r="L588" s="65"/>
    </row>
    <row r="589" ht="15.75" customHeight="1">
      <c r="C589" s="65"/>
      <c r="D589" s="65"/>
      <c r="E589" s="65"/>
      <c r="F589" s="65"/>
      <c r="H589" s="65"/>
      <c r="J589" s="65"/>
      <c r="K589" s="65"/>
      <c r="L589" s="65"/>
    </row>
    <row r="590" ht="15.75" customHeight="1">
      <c r="C590" s="65"/>
      <c r="D590" s="65"/>
      <c r="E590" s="65"/>
      <c r="F590" s="65"/>
      <c r="H590" s="65"/>
      <c r="J590" s="65"/>
      <c r="K590" s="65"/>
      <c r="L590" s="65"/>
    </row>
    <row r="591" ht="15.75" customHeight="1">
      <c r="C591" s="65"/>
      <c r="D591" s="65"/>
      <c r="E591" s="65"/>
      <c r="F591" s="65"/>
      <c r="H591" s="65"/>
      <c r="J591" s="65"/>
      <c r="K591" s="65"/>
      <c r="L591" s="65"/>
    </row>
    <row r="592" ht="15.75" customHeight="1">
      <c r="C592" s="65"/>
      <c r="D592" s="65"/>
      <c r="E592" s="65"/>
      <c r="F592" s="65"/>
      <c r="H592" s="65"/>
      <c r="J592" s="65"/>
      <c r="K592" s="65"/>
      <c r="L592" s="65"/>
    </row>
    <row r="593" ht="15.75" customHeight="1">
      <c r="C593" s="65"/>
      <c r="D593" s="65"/>
      <c r="E593" s="65"/>
      <c r="F593" s="65"/>
      <c r="H593" s="65"/>
      <c r="J593" s="65"/>
      <c r="K593" s="65"/>
      <c r="L593" s="65"/>
    </row>
    <row r="594" ht="15.75" customHeight="1">
      <c r="C594" s="65"/>
      <c r="D594" s="65"/>
      <c r="E594" s="65"/>
      <c r="F594" s="65"/>
      <c r="H594" s="65"/>
      <c r="J594" s="65"/>
      <c r="K594" s="65"/>
      <c r="L594" s="65"/>
    </row>
    <row r="595" ht="15.75" customHeight="1">
      <c r="C595" s="65"/>
      <c r="D595" s="65"/>
      <c r="E595" s="65"/>
      <c r="F595" s="65"/>
      <c r="H595" s="65"/>
      <c r="J595" s="65"/>
      <c r="K595" s="65"/>
      <c r="L595" s="65"/>
    </row>
    <row r="596" ht="15.75" customHeight="1">
      <c r="C596" s="65"/>
      <c r="D596" s="65"/>
      <c r="E596" s="65"/>
      <c r="F596" s="65"/>
      <c r="H596" s="65"/>
      <c r="J596" s="65"/>
      <c r="K596" s="65"/>
      <c r="L596" s="65"/>
    </row>
    <row r="597" ht="15.75" customHeight="1">
      <c r="C597" s="65"/>
      <c r="D597" s="65"/>
      <c r="E597" s="65"/>
      <c r="F597" s="65"/>
      <c r="H597" s="65"/>
      <c r="J597" s="65"/>
      <c r="K597" s="65"/>
      <c r="L597" s="65"/>
    </row>
    <row r="598" ht="15.75" customHeight="1">
      <c r="C598" s="65"/>
      <c r="D598" s="65"/>
      <c r="E598" s="65"/>
      <c r="F598" s="65"/>
      <c r="H598" s="65"/>
      <c r="J598" s="65"/>
      <c r="K598" s="65"/>
      <c r="L598" s="65"/>
    </row>
    <row r="599" ht="15.75" customHeight="1">
      <c r="C599" s="65"/>
      <c r="D599" s="65"/>
      <c r="E599" s="65"/>
      <c r="F599" s="65"/>
      <c r="H599" s="65"/>
      <c r="J599" s="65"/>
      <c r="K599" s="65"/>
      <c r="L599" s="65"/>
    </row>
    <row r="600" ht="15.75" customHeight="1">
      <c r="C600" s="65"/>
      <c r="D600" s="65"/>
      <c r="E600" s="65"/>
      <c r="F600" s="65"/>
      <c r="H600" s="65"/>
      <c r="J600" s="65"/>
      <c r="K600" s="65"/>
      <c r="L600" s="65"/>
    </row>
    <row r="601" ht="15.75" customHeight="1">
      <c r="C601" s="65"/>
      <c r="D601" s="65"/>
      <c r="E601" s="65"/>
      <c r="F601" s="65"/>
      <c r="H601" s="65"/>
      <c r="J601" s="65"/>
      <c r="K601" s="65"/>
      <c r="L601" s="65"/>
    </row>
    <row r="602" ht="15.75" customHeight="1">
      <c r="C602" s="65"/>
      <c r="D602" s="65"/>
      <c r="E602" s="65"/>
      <c r="F602" s="65"/>
      <c r="H602" s="65"/>
      <c r="J602" s="65"/>
      <c r="K602" s="65"/>
      <c r="L602" s="65"/>
    </row>
    <row r="603" ht="15.75" customHeight="1">
      <c r="C603" s="65"/>
      <c r="D603" s="65"/>
      <c r="E603" s="65"/>
      <c r="F603" s="65"/>
      <c r="H603" s="65"/>
      <c r="J603" s="65"/>
      <c r="K603" s="65"/>
      <c r="L603" s="65"/>
    </row>
    <row r="604" ht="15.75" customHeight="1">
      <c r="C604" s="65"/>
      <c r="D604" s="65"/>
      <c r="E604" s="65"/>
      <c r="F604" s="65"/>
      <c r="H604" s="65"/>
      <c r="J604" s="65"/>
      <c r="K604" s="65"/>
      <c r="L604" s="65"/>
    </row>
    <row r="605" ht="15.75" customHeight="1">
      <c r="C605" s="65"/>
      <c r="D605" s="65"/>
      <c r="E605" s="65"/>
      <c r="F605" s="65"/>
      <c r="H605" s="65"/>
      <c r="J605" s="65"/>
      <c r="K605" s="65"/>
      <c r="L605" s="65"/>
    </row>
    <row r="606" ht="15.75" customHeight="1">
      <c r="C606" s="65"/>
      <c r="D606" s="65"/>
      <c r="E606" s="65"/>
      <c r="F606" s="65"/>
      <c r="H606" s="65"/>
      <c r="J606" s="65"/>
      <c r="K606" s="65"/>
      <c r="L606" s="65"/>
    </row>
    <row r="607" ht="15.75" customHeight="1">
      <c r="C607" s="65"/>
      <c r="D607" s="65"/>
      <c r="E607" s="65"/>
      <c r="F607" s="65"/>
      <c r="H607" s="65"/>
      <c r="J607" s="65"/>
      <c r="K607" s="65"/>
      <c r="L607" s="65"/>
    </row>
    <row r="608" ht="15.75" customHeight="1">
      <c r="C608" s="65"/>
      <c r="D608" s="65"/>
      <c r="E608" s="65"/>
      <c r="F608" s="65"/>
      <c r="H608" s="65"/>
      <c r="J608" s="65"/>
      <c r="K608" s="65"/>
      <c r="L608" s="65"/>
    </row>
    <row r="609" ht="15.75" customHeight="1">
      <c r="C609" s="65"/>
      <c r="D609" s="65"/>
      <c r="E609" s="65"/>
      <c r="F609" s="65"/>
      <c r="H609" s="65"/>
      <c r="J609" s="65"/>
      <c r="K609" s="65"/>
      <c r="L609" s="65"/>
    </row>
    <row r="610" ht="15.75" customHeight="1">
      <c r="C610" s="65"/>
      <c r="D610" s="65"/>
      <c r="E610" s="65"/>
      <c r="F610" s="65"/>
      <c r="H610" s="65"/>
      <c r="J610" s="65"/>
      <c r="K610" s="65"/>
      <c r="L610" s="65"/>
    </row>
    <row r="611" ht="15.75" customHeight="1">
      <c r="C611" s="65"/>
      <c r="D611" s="65"/>
      <c r="E611" s="65"/>
      <c r="F611" s="65"/>
      <c r="H611" s="65"/>
      <c r="J611" s="65"/>
      <c r="K611" s="65"/>
      <c r="L611" s="65"/>
    </row>
    <row r="612" ht="15.75" customHeight="1">
      <c r="C612" s="65"/>
      <c r="D612" s="65"/>
      <c r="E612" s="65"/>
      <c r="F612" s="65"/>
      <c r="H612" s="65"/>
      <c r="J612" s="65"/>
      <c r="K612" s="65"/>
      <c r="L612" s="65"/>
    </row>
    <row r="613" ht="15.75" customHeight="1">
      <c r="C613" s="65"/>
      <c r="D613" s="65"/>
      <c r="E613" s="65"/>
      <c r="F613" s="65"/>
      <c r="H613" s="65"/>
      <c r="J613" s="65"/>
      <c r="K613" s="65"/>
      <c r="L613" s="65"/>
    </row>
    <row r="614" ht="15.75" customHeight="1">
      <c r="C614" s="65"/>
      <c r="D614" s="65"/>
      <c r="E614" s="65"/>
      <c r="F614" s="65"/>
      <c r="H614" s="65"/>
      <c r="J614" s="65"/>
      <c r="K614" s="65"/>
      <c r="L614" s="65"/>
    </row>
    <row r="615" ht="15.75" customHeight="1">
      <c r="C615" s="65"/>
      <c r="D615" s="65"/>
      <c r="E615" s="65"/>
      <c r="F615" s="65"/>
      <c r="H615" s="65"/>
      <c r="J615" s="65"/>
      <c r="K615" s="65"/>
      <c r="L615" s="65"/>
    </row>
    <row r="616" ht="15.75" customHeight="1">
      <c r="C616" s="65"/>
      <c r="D616" s="65"/>
      <c r="E616" s="65"/>
      <c r="F616" s="65"/>
      <c r="H616" s="65"/>
      <c r="J616" s="65"/>
      <c r="K616" s="65"/>
      <c r="L616" s="65"/>
    </row>
    <row r="617" ht="15.75" customHeight="1">
      <c r="C617" s="65"/>
      <c r="D617" s="65"/>
      <c r="E617" s="65"/>
      <c r="F617" s="65"/>
      <c r="H617" s="65"/>
      <c r="J617" s="65"/>
      <c r="K617" s="65"/>
      <c r="L617" s="65"/>
    </row>
    <row r="618" ht="15.75" customHeight="1">
      <c r="C618" s="65"/>
      <c r="D618" s="65"/>
      <c r="E618" s="65"/>
      <c r="F618" s="65"/>
      <c r="H618" s="65"/>
      <c r="J618" s="65"/>
      <c r="K618" s="65"/>
      <c r="L618" s="65"/>
    </row>
    <row r="619" ht="15.75" customHeight="1">
      <c r="C619" s="65"/>
      <c r="D619" s="65"/>
      <c r="E619" s="65"/>
      <c r="F619" s="65"/>
      <c r="H619" s="65"/>
      <c r="J619" s="65"/>
      <c r="K619" s="65"/>
      <c r="L619" s="65"/>
    </row>
    <row r="620" ht="15.75" customHeight="1">
      <c r="C620" s="65"/>
      <c r="D620" s="65"/>
      <c r="E620" s="65"/>
      <c r="F620" s="65"/>
      <c r="H620" s="65"/>
      <c r="J620" s="65"/>
      <c r="K620" s="65"/>
      <c r="L620" s="65"/>
    </row>
    <row r="621" ht="15.75" customHeight="1">
      <c r="C621" s="65"/>
      <c r="D621" s="65"/>
      <c r="E621" s="65"/>
      <c r="F621" s="65"/>
      <c r="H621" s="65"/>
      <c r="J621" s="65"/>
      <c r="K621" s="65"/>
      <c r="L621" s="65"/>
    </row>
    <row r="622" ht="15.75" customHeight="1">
      <c r="C622" s="65"/>
      <c r="D622" s="65"/>
      <c r="E622" s="65"/>
      <c r="F622" s="65"/>
      <c r="H622" s="65"/>
      <c r="J622" s="65"/>
      <c r="K622" s="65"/>
      <c r="L622" s="65"/>
    </row>
    <row r="623" ht="15.75" customHeight="1">
      <c r="C623" s="65"/>
      <c r="D623" s="65"/>
      <c r="E623" s="65"/>
      <c r="F623" s="65"/>
      <c r="H623" s="65"/>
      <c r="J623" s="65"/>
      <c r="K623" s="65"/>
      <c r="L623" s="65"/>
    </row>
    <row r="624" ht="15.75" customHeight="1">
      <c r="C624" s="65"/>
      <c r="D624" s="65"/>
      <c r="E624" s="65"/>
      <c r="F624" s="65"/>
      <c r="H624" s="65"/>
      <c r="J624" s="65"/>
      <c r="K624" s="65"/>
      <c r="L624" s="65"/>
    </row>
    <row r="625" ht="15.75" customHeight="1">
      <c r="C625" s="65"/>
      <c r="D625" s="65"/>
      <c r="E625" s="65"/>
      <c r="F625" s="65"/>
      <c r="H625" s="65"/>
      <c r="J625" s="65"/>
      <c r="K625" s="65"/>
      <c r="L625" s="65"/>
    </row>
    <row r="626" ht="15.75" customHeight="1">
      <c r="C626" s="65"/>
      <c r="D626" s="65"/>
      <c r="E626" s="65"/>
      <c r="F626" s="65"/>
      <c r="H626" s="65"/>
      <c r="J626" s="65"/>
      <c r="K626" s="65"/>
      <c r="L626" s="65"/>
    </row>
    <row r="627" ht="15.75" customHeight="1">
      <c r="C627" s="65"/>
      <c r="D627" s="65"/>
      <c r="E627" s="65"/>
      <c r="F627" s="65"/>
      <c r="H627" s="65"/>
      <c r="J627" s="65"/>
      <c r="K627" s="65"/>
      <c r="L627" s="65"/>
    </row>
    <row r="628" ht="15.75" customHeight="1">
      <c r="C628" s="65"/>
      <c r="D628" s="65"/>
      <c r="E628" s="65"/>
      <c r="F628" s="65"/>
      <c r="H628" s="65"/>
      <c r="J628" s="65"/>
      <c r="K628" s="65"/>
      <c r="L628" s="65"/>
    </row>
    <row r="629" ht="15.75" customHeight="1">
      <c r="C629" s="65"/>
      <c r="D629" s="65"/>
      <c r="E629" s="65"/>
      <c r="F629" s="65"/>
      <c r="H629" s="65"/>
      <c r="J629" s="65"/>
      <c r="K629" s="65"/>
      <c r="L629" s="65"/>
    </row>
    <row r="630" ht="15.75" customHeight="1">
      <c r="C630" s="65"/>
      <c r="D630" s="65"/>
      <c r="E630" s="65"/>
      <c r="F630" s="65"/>
      <c r="H630" s="65"/>
      <c r="J630" s="65"/>
      <c r="K630" s="65"/>
      <c r="L630" s="65"/>
    </row>
    <row r="631" ht="15.75" customHeight="1">
      <c r="C631" s="65"/>
      <c r="D631" s="65"/>
      <c r="E631" s="65"/>
      <c r="F631" s="65"/>
      <c r="H631" s="65"/>
      <c r="J631" s="65"/>
      <c r="K631" s="65"/>
      <c r="L631" s="65"/>
    </row>
    <row r="632" ht="15.75" customHeight="1">
      <c r="C632" s="65"/>
      <c r="D632" s="65"/>
      <c r="E632" s="65"/>
      <c r="F632" s="65"/>
      <c r="H632" s="65"/>
      <c r="J632" s="65"/>
      <c r="K632" s="65"/>
      <c r="L632" s="65"/>
    </row>
    <row r="633" ht="15.75" customHeight="1">
      <c r="C633" s="65"/>
      <c r="D633" s="65"/>
      <c r="E633" s="65"/>
      <c r="F633" s="65"/>
      <c r="H633" s="65"/>
      <c r="J633" s="65"/>
      <c r="K633" s="65"/>
      <c r="L633" s="65"/>
    </row>
    <row r="634" ht="15.75" customHeight="1">
      <c r="C634" s="65"/>
      <c r="D634" s="65"/>
      <c r="E634" s="65"/>
      <c r="F634" s="65"/>
      <c r="H634" s="65"/>
      <c r="J634" s="65"/>
      <c r="K634" s="65"/>
      <c r="L634" s="65"/>
    </row>
    <row r="635" ht="15.75" customHeight="1">
      <c r="C635" s="65"/>
      <c r="D635" s="65"/>
      <c r="E635" s="65"/>
      <c r="F635" s="65"/>
      <c r="H635" s="65"/>
      <c r="J635" s="65"/>
      <c r="K635" s="65"/>
      <c r="L635" s="65"/>
    </row>
    <row r="636" ht="15.75" customHeight="1">
      <c r="C636" s="65"/>
      <c r="D636" s="65"/>
      <c r="E636" s="65"/>
      <c r="F636" s="65"/>
      <c r="H636" s="65"/>
      <c r="J636" s="65"/>
      <c r="K636" s="65"/>
      <c r="L636" s="65"/>
    </row>
    <row r="637" ht="15.75" customHeight="1">
      <c r="C637" s="65"/>
      <c r="D637" s="65"/>
      <c r="E637" s="65"/>
      <c r="F637" s="65"/>
      <c r="H637" s="65"/>
      <c r="J637" s="65"/>
      <c r="K637" s="65"/>
      <c r="L637" s="65"/>
    </row>
    <row r="638" ht="15.75" customHeight="1">
      <c r="C638" s="65"/>
      <c r="D638" s="65"/>
      <c r="E638" s="65"/>
      <c r="F638" s="65"/>
      <c r="H638" s="65"/>
      <c r="J638" s="65"/>
      <c r="K638" s="65"/>
      <c r="L638" s="65"/>
    </row>
    <row r="639" ht="15.75" customHeight="1">
      <c r="C639" s="65"/>
      <c r="D639" s="65"/>
      <c r="E639" s="65"/>
      <c r="F639" s="65"/>
      <c r="H639" s="65"/>
      <c r="J639" s="65"/>
      <c r="K639" s="65"/>
      <c r="L639" s="65"/>
    </row>
    <row r="640" ht="15.75" customHeight="1">
      <c r="C640" s="65"/>
      <c r="D640" s="65"/>
      <c r="E640" s="65"/>
      <c r="F640" s="65"/>
      <c r="H640" s="65"/>
      <c r="J640" s="65"/>
      <c r="K640" s="65"/>
      <c r="L640" s="65"/>
    </row>
    <row r="641" ht="15.75" customHeight="1">
      <c r="C641" s="65"/>
      <c r="D641" s="65"/>
      <c r="E641" s="65"/>
      <c r="F641" s="65"/>
      <c r="H641" s="65"/>
      <c r="J641" s="65"/>
      <c r="K641" s="65"/>
      <c r="L641" s="65"/>
    </row>
    <row r="642" ht="15.75" customHeight="1">
      <c r="C642" s="65"/>
      <c r="D642" s="65"/>
      <c r="E642" s="65"/>
      <c r="F642" s="65"/>
      <c r="H642" s="65"/>
      <c r="J642" s="65"/>
      <c r="K642" s="65"/>
      <c r="L642" s="65"/>
    </row>
    <row r="643" ht="15.75" customHeight="1">
      <c r="C643" s="65"/>
      <c r="D643" s="65"/>
      <c r="E643" s="65"/>
      <c r="F643" s="65"/>
      <c r="H643" s="65"/>
      <c r="J643" s="65"/>
      <c r="K643" s="65"/>
      <c r="L643" s="65"/>
    </row>
    <row r="644" ht="15.75" customHeight="1">
      <c r="C644" s="65"/>
      <c r="D644" s="65"/>
      <c r="E644" s="65"/>
      <c r="F644" s="65"/>
      <c r="H644" s="65"/>
      <c r="J644" s="65"/>
      <c r="K644" s="65"/>
      <c r="L644" s="65"/>
    </row>
    <row r="645" ht="15.75" customHeight="1">
      <c r="C645" s="65"/>
      <c r="D645" s="65"/>
      <c r="E645" s="65"/>
      <c r="F645" s="65"/>
      <c r="H645" s="65"/>
      <c r="J645" s="65"/>
      <c r="K645" s="65"/>
      <c r="L645" s="65"/>
    </row>
    <row r="646" ht="15.75" customHeight="1">
      <c r="C646" s="65"/>
      <c r="D646" s="65"/>
      <c r="E646" s="65"/>
      <c r="F646" s="65"/>
      <c r="H646" s="65"/>
      <c r="J646" s="65"/>
      <c r="K646" s="65"/>
      <c r="L646" s="65"/>
    </row>
    <row r="647" ht="15.75" customHeight="1">
      <c r="C647" s="65"/>
      <c r="D647" s="65"/>
      <c r="E647" s="65"/>
      <c r="F647" s="65"/>
      <c r="H647" s="65"/>
      <c r="J647" s="65"/>
      <c r="K647" s="65"/>
      <c r="L647" s="65"/>
    </row>
    <row r="648" ht="15.75" customHeight="1">
      <c r="C648" s="65"/>
      <c r="D648" s="65"/>
      <c r="E648" s="65"/>
      <c r="F648" s="65"/>
      <c r="H648" s="65"/>
      <c r="J648" s="65"/>
      <c r="K648" s="65"/>
      <c r="L648" s="65"/>
    </row>
    <row r="649" ht="15.75" customHeight="1">
      <c r="C649" s="65"/>
      <c r="D649" s="65"/>
      <c r="E649" s="65"/>
      <c r="F649" s="65"/>
      <c r="H649" s="65"/>
      <c r="J649" s="65"/>
      <c r="K649" s="65"/>
      <c r="L649" s="65"/>
    </row>
    <row r="650" ht="15.75" customHeight="1">
      <c r="C650" s="65"/>
      <c r="D650" s="65"/>
      <c r="E650" s="65"/>
      <c r="F650" s="65"/>
      <c r="H650" s="65"/>
      <c r="J650" s="65"/>
      <c r="K650" s="65"/>
      <c r="L650" s="65"/>
    </row>
    <row r="651" ht="15.75" customHeight="1">
      <c r="C651" s="65"/>
      <c r="D651" s="65"/>
      <c r="E651" s="65"/>
      <c r="F651" s="65"/>
      <c r="H651" s="65"/>
      <c r="J651" s="65"/>
      <c r="K651" s="65"/>
      <c r="L651" s="65"/>
    </row>
    <row r="652" ht="15.75" customHeight="1">
      <c r="C652" s="65"/>
      <c r="D652" s="65"/>
      <c r="E652" s="65"/>
      <c r="F652" s="65"/>
      <c r="H652" s="65"/>
      <c r="J652" s="65"/>
      <c r="K652" s="65"/>
      <c r="L652" s="65"/>
    </row>
    <row r="653" ht="15.75" customHeight="1">
      <c r="C653" s="65"/>
      <c r="D653" s="65"/>
      <c r="E653" s="65"/>
      <c r="F653" s="65"/>
      <c r="H653" s="65"/>
      <c r="J653" s="65"/>
      <c r="K653" s="65"/>
      <c r="L653" s="65"/>
    </row>
    <row r="654" ht="15.75" customHeight="1">
      <c r="C654" s="65"/>
      <c r="D654" s="65"/>
      <c r="E654" s="65"/>
      <c r="F654" s="65"/>
      <c r="H654" s="65"/>
      <c r="J654" s="65"/>
      <c r="K654" s="65"/>
      <c r="L654" s="65"/>
    </row>
    <row r="655" ht="15.75" customHeight="1">
      <c r="C655" s="65"/>
      <c r="D655" s="65"/>
      <c r="E655" s="65"/>
      <c r="F655" s="65"/>
      <c r="H655" s="65"/>
      <c r="J655" s="65"/>
      <c r="K655" s="65"/>
      <c r="L655" s="65"/>
    </row>
    <row r="656" ht="15.75" customHeight="1">
      <c r="C656" s="65"/>
      <c r="D656" s="65"/>
      <c r="E656" s="65"/>
      <c r="F656" s="65"/>
      <c r="H656" s="65"/>
      <c r="J656" s="65"/>
      <c r="K656" s="65"/>
      <c r="L656" s="65"/>
    </row>
    <row r="657" ht="15.75" customHeight="1">
      <c r="C657" s="65"/>
      <c r="D657" s="65"/>
      <c r="E657" s="65"/>
      <c r="F657" s="65"/>
      <c r="H657" s="65"/>
      <c r="J657" s="65"/>
      <c r="K657" s="65"/>
      <c r="L657" s="65"/>
    </row>
    <row r="658" ht="15.75" customHeight="1">
      <c r="C658" s="65"/>
      <c r="D658" s="65"/>
      <c r="E658" s="65"/>
      <c r="F658" s="65"/>
      <c r="H658" s="65"/>
      <c r="J658" s="65"/>
      <c r="K658" s="65"/>
      <c r="L658" s="65"/>
    </row>
    <row r="659" ht="15.75" customHeight="1">
      <c r="C659" s="65"/>
      <c r="D659" s="65"/>
      <c r="E659" s="65"/>
      <c r="F659" s="65"/>
      <c r="H659" s="65"/>
      <c r="J659" s="65"/>
      <c r="K659" s="65"/>
      <c r="L659" s="65"/>
    </row>
    <row r="660" ht="15.75" customHeight="1">
      <c r="C660" s="65"/>
      <c r="D660" s="65"/>
      <c r="E660" s="65"/>
      <c r="F660" s="65"/>
      <c r="H660" s="65"/>
      <c r="J660" s="65"/>
      <c r="K660" s="65"/>
      <c r="L660" s="65"/>
    </row>
    <row r="661" ht="15.75" customHeight="1">
      <c r="C661" s="65"/>
      <c r="D661" s="65"/>
      <c r="E661" s="65"/>
      <c r="F661" s="65"/>
      <c r="H661" s="65"/>
      <c r="J661" s="65"/>
      <c r="K661" s="65"/>
      <c r="L661" s="65"/>
    </row>
    <row r="662" ht="15.75" customHeight="1">
      <c r="C662" s="65"/>
      <c r="D662" s="65"/>
      <c r="E662" s="65"/>
      <c r="F662" s="65"/>
      <c r="H662" s="65"/>
      <c r="J662" s="65"/>
      <c r="K662" s="65"/>
      <c r="L662" s="65"/>
    </row>
    <row r="663" ht="15.75" customHeight="1">
      <c r="C663" s="65"/>
      <c r="D663" s="65"/>
      <c r="E663" s="65"/>
      <c r="F663" s="65"/>
      <c r="H663" s="65"/>
      <c r="J663" s="65"/>
      <c r="K663" s="65"/>
      <c r="L663" s="65"/>
    </row>
    <row r="664" ht="15.75" customHeight="1">
      <c r="C664" s="65"/>
      <c r="D664" s="65"/>
      <c r="E664" s="65"/>
      <c r="F664" s="65"/>
      <c r="H664" s="65"/>
      <c r="J664" s="65"/>
      <c r="K664" s="65"/>
      <c r="L664" s="65"/>
    </row>
    <row r="665" ht="15.75" customHeight="1">
      <c r="C665" s="65"/>
      <c r="D665" s="65"/>
      <c r="E665" s="65"/>
      <c r="F665" s="65"/>
      <c r="H665" s="65"/>
      <c r="J665" s="65"/>
      <c r="K665" s="65"/>
      <c r="L665" s="65"/>
    </row>
    <row r="666" ht="15.75" customHeight="1">
      <c r="C666" s="65"/>
      <c r="D666" s="65"/>
      <c r="E666" s="65"/>
      <c r="F666" s="65"/>
      <c r="H666" s="65"/>
      <c r="J666" s="65"/>
      <c r="K666" s="65"/>
      <c r="L666" s="65"/>
    </row>
    <row r="667" ht="15.75" customHeight="1">
      <c r="C667" s="65"/>
      <c r="D667" s="65"/>
      <c r="E667" s="65"/>
      <c r="F667" s="65"/>
      <c r="H667" s="65"/>
      <c r="J667" s="65"/>
      <c r="K667" s="65"/>
      <c r="L667" s="65"/>
    </row>
    <row r="668" ht="15.75" customHeight="1">
      <c r="C668" s="65"/>
      <c r="D668" s="65"/>
      <c r="E668" s="65"/>
      <c r="F668" s="65"/>
      <c r="H668" s="65"/>
      <c r="J668" s="65"/>
      <c r="K668" s="65"/>
      <c r="L668" s="65"/>
    </row>
    <row r="669" ht="15.75" customHeight="1">
      <c r="C669" s="65"/>
      <c r="D669" s="65"/>
      <c r="E669" s="65"/>
      <c r="F669" s="65"/>
      <c r="H669" s="65"/>
      <c r="J669" s="65"/>
      <c r="K669" s="65"/>
      <c r="L669" s="65"/>
    </row>
    <row r="670" ht="15.75" customHeight="1">
      <c r="C670" s="65"/>
      <c r="D670" s="65"/>
      <c r="E670" s="65"/>
      <c r="F670" s="65"/>
      <c r="H670" s="65"/>
      <c r="J670" s="65"/>
      <c r="K670" s="65"/>
      <c r="L670" s="65"/>
    </row>
    <row r="671" ht="15.75" customHeight="1">
      <c r="C671" s="65"/>
      <c r="D671" s="65"/>
      <c r="E671" s="65"/>
      <c r="F671" s="65"/>
      <c r="H671" s="65"/>
      <c r="J671" s="65"/>
      <c r="K671" s="65"/>
      <c r="L671" s="65"/>
    </row>
    <row r="672" ht="15.75" customHeight="1">
      <c r="C672" s="65"/>
      <c r="D672" s="65"/>
      <c r="E672" s="65"/>
      <c r="F672" s="65"/>
      <c r="H672" s="65"/>
      <c r="J672" s="65"/>
      <c r="K672" s="65"/>
      <c r="L672" s="65"/>
    </row>
    <row r="673" ht="15.75" customHeight="1">
      <c r="C673" s="65"/>
      <c r="D673" s="65"/>
      <c r="E673" s="65"/>
      <c r="F673" s="65"/>
      <c r="H673" s="65"/>
      <c r="J673" s="65"/>
      <c r="K673" s="65"/>
      <c r="L673" s="65"/>
    </row>
    <row r="674" ht="15.75" customHeight="1">
      <c r="C674" s="65"/>
      <c r="D674" s="65"/>
      <c r="E674" s="65"/>
      <c r="F674" s="65"/>
      <c r="H674" s="65"/>
      <c r="J674" s="65"/>
      <c r="K674" s="65"/>
      <c r="L674" s="65"/>
    </row>
    <row r="675" ht="15.75" customHeight="1">
      <c r="C675" s="65"/>
      <c r="D675" s="65"/>
      <c r="E675" s="65"/>
      <c r="F675" s="65"/>
      <c r="H675" s="65"/>
      <c r="J675" s="65"/>
      <c r="K675" s="65"/>
      <c r="L675" s="65"/>
    </row>
    <row r="676" ht="15.75" customHeight="1">
      <c r="C676" s="65"/>
      <c r="D676" s="65"/>
      <c r="E676" s="65"/>
      <c r="F676" s="65"/>
      <c r="H676" s="65"/>
      <c r="J676" s="65"/>
      <c r="K676" s="65"/>
      <c r="L676" s="65"/>
    </row>
    <row r="677" ht="15.75" customHeight="1">
      <c r="C677" s="65"/>
      <c r="D677" s="65"/>
      <c r="E677" s="65"/>
      <c r="F677" s="65"/>
      <c r="H677" s="65"/>
      <c r="J677" s="65"/>
      <c r="K677" s="65"/>
      <c r="L677" s="65"/>
    </row>
    <row r="678" ht="15.75" customHeight="1">
      <c r="C678" s="65"/>
      <c r="D678" s="65"/>
      <c r="E678" s="65"/>
      <c r="F678" s="65"/>
      <c r="H678" s="65"/>
      <c r="J678" s="65"/>
      <c r="K678" s="65"/>
      <c r="L678" s="65"/>
    </row>
    <row r="679" ht="15.75" customHeight="1">
      <c r="C679" s="65"/>
      <c r="D679" s="65"/>
      <c r="E679" s="65"/>
      <c r="F679" s="65"/>
      <c r="H679" s="65"/>
      <c r="J679" s="65"/>
      <c r="K679" s="65"/>
      <c r="L679" s="65"/>
    </row>
    <row r="680" ht="15.75" customHeight="1">
      <c r="C680" s="65"/>
      <c r="D680" s="65"/>
      <c r="E680" s="65"/>
      <c r="F680" s="65"/>
      <c r="H680" s="65"/>
      <c r="J680" s="65"/>
      <c r="K680" s="65"/>
      <c r="L680" s="65"/>
    </row>
    <row r="681" ht="15.75" customHeight="1">
      <c r="C681" s="65"/>
      <c r="D681" s="65"/>
      <c r="E681" s="65"/>
      <c r="F681" s="65"/>
      <c r="H681" s="65"/>
      <c r="J681" s="65"/>
      <c r="K681" s="65"/>
      <c r="L681" s="65"/>
    </row>
    <row r="682" ht="15.75" customHeight="1">
      <c r="C682" s="65"/>
      <c r="D682" s="65"/>
      <c r="E682" s="65"/>
      <c r="F682" s="65"/>
      <c r="H682" s="65"/>
      <c r="J682" s="65"/>
      <c r="K682" s="65"/>
      <c r="L682" s="65"/>
    </row>
    <row r="683" ht="15.75" customHeight="1">
      <c r="C683" s="65"/>
      <c r="D683" s="65"/>
      <c r="E683" s="65"/>
      <c r="F683" s="65"/>
      <c r="H683" s="65"/>
      <c r="J683" s="65"/>
      <c r="K683" s="65"/>
      <c r="L683" s="65"/>
    </row>
    <row r="684" ht="15.75" customHeight="1">
      <c r="C684" s="65"/>
      <c r="D684" s="65"/>
      <c r="E684" s="65"/>
      <c r="F684" s="65"/>
      <c r="H684" s="65"/>
      <c r="J684" s="65"/>
      <c r="K684" s="65"/>
      <c r="L684" s="65"/>
    </row>
    <row r="685" ht="15.75" customHeight="1">
      <c r="C685" s="65"/>
      <c r="D685" s="65"/>
      <c r="E685" s="65"/>
      <c r="F685" s="65"/>
      <c r="H685" s="65"/>
      <c r="J685" s="65"/>
      <c r="K685" s="65"/>
      <c r="L685" s="65"/>
    </row>
    <row r="686" ht="15.75" customHeight="1">
      <c r="C686" s="65"/>
      <c r="D686" s="65"/>
      <c r="E686" s="65"/>
      <c r="F686" s="65"/>
      <c r="H686" s="65"/>
      <c r="J686" s="65"/>
      <c r="K686" s="65"/>
      <c r="L686" s="65"/>
    </row>
    <row r="687" ht="15.75" customHeight="1">
      <c r="C687" s="65"/>
      <c r="D687" s="65"/>
      <c r="E687" s="65"/>
      <c r="F687" s="65"/>
      <c r="H687" s="65"/>
      <c r="J687" s="65"/>
      <c r="K687" s="65"/>
      <c r="L687" s="65"/>
    </row>
    <row r="688" ht="15.75" customHeight="1">
      <c r="C688" s="65"/>
      <c r="D688" s="65"/>
      <c r="E688" s="65"/>
      <c r="F688" s="65"/>
      <c r="H688" s="65"/>
      <c r="J688" s="65"/>
      <c r="K688" s="65"/>
      <c r="L688" s="65"/>
    </row>
    <row r="689" ht="15.75" customHeight="1">
      <c r="C689" s="65"/>
      <c r="D689" s="65"/>
      <c r="E689" s="65"/>
      <c r="F689" s="65"/>
      <c r="H689" s="65"/>
      <c r="J689" s="65"/>
      <c r="K689" s="65"/>
      <c r="L689" s="65"/>
    </row>
    <row r="690" ht="15.75" customHeight="1">
      <c r="C690" s="65"/>
      <c r="D690" s="65"/>
      <c r="E690" s="65"/>
      <c r="F690" s="65"/>
      <c r="H690" s="65"/>
      <c r="J690" s="65"/>
      <c r="K690" s="65"/>
      <c r="L690" s="65"/>
    </row>
    <row r="691" ht="15.75" customHeight="1">
      <c r="C691" s="65"/>
      <c r="D691" s="65"/>
      <c r="E691" s="65"/>
      <c r="F691" s="65"/>
      <c r="H691" s="65"/>
      <c r="J691" s="65"/>
      <c r="K691" s="65"/>
      <c r="L691" s="65"/>
    </row>
    <row r="692" ht="15.75" customHeight="1">
      <c r="C692" s="65"/>
      <c r="D692" s="65"/>
      <c r="E692" s="65"/>
      <c r="F692" s="65"/>
      <c r="H692" s="65"/>
      <c r="J692" s="65"/>
      <c r="K692" s="65"/>
      <c r="L692" s="65"/>
    </row>
    <row r="693" ht="15.75" customHeight="1">
      <c r="C693" s="65"/>
      <c r="D693" s="65"/>
      <c r="E693" s="65"/>
      <c r="F693" s="65"/>
      <c r="H693" s="65"/>
      <c r="J693" s="65"/>
      <c r="K693" s="65"/>
      <c r="L693" s="65"/>
    </row>
    <row r="694" ht="15.75" customHeight="1">
      <c r="C694" s="65"/>
      <c r="D694" s="65"/>
      <c r="E694" s="65"/>
      <c r="F694" s="65"/>
      <c r="H694" s="65"/>
      <c r="J694" s="65"/>
      <c r="K694" s="65"/>
      <c r="L694" s="65"/>
    </row>
    <row r="695" ht="15.75" customHeight="1">
      <c r="C695" s="65"/>
      <c r="D695" s="65"/>
      <c r="E695" s="65"/>
      <c r="F695" s="65"/>
      <c r="H695" s="65"/>
      <c r="J695" s="65"/>
      <c r="K695" s="65"/>
      <c r="L695" s="65"/>
    </row>
    <row r="696" ht="15.75" customHeight="1">
      <c r="C696" s="65"/>
      <c r="D696" s="65"/>
      <c r="E696" s="65"/>
      <c r="F696" s="65"/>
      <c r="H696" s="65"/>
      <c r="J696" s="65"/>
      <c r="K696" s="65"/>
      <c r="L696" s="65"/>
    </row>
    <row r="697" ht="15.75" customHeight="1">
      <c r="C697" s="65"/>
      <c r="D697" s="65"/>
      <c r="E697" s="65"/>
      <c r="F697" s="65"/>
      <c r="H697" s="65"/>
      <c r="J697" s="65"/>
      <c r="K697" s="65"/>
      <c r="L697" s="65"/>
    </row>
    <row r="698" ht="15.75" customHeight="1">
      <c r="C698" s="65"/>
      <c r="D698" s="65"/>
      <c r="E698" s="65"/>
      <c r="F698" s="65"/>
      <c r="H698" s="65"/>
      <c r="J698" s="65"/>
      <c r="K698" s="65"/>
      <c r="L698" s="65"/>
    </row>
    <row r="699" ht="15.75" customHeight="1">
      <c r="C699" s="65"/>
      <c r="D699" s="65"/>
      <c r="E699" s="65"/>
      <c r="F699" s="65"/>
      <c r="H699" s="65"/>
      <c r="J699" s="65"/>
      <c r="K699" s="65"/>
      <c r="L699" s="65"/>
    </row>
    <row r="700" ht="15.75" customHeight="1">
      <c r="C700" s="65"/>
      <c r="D700" s="65"/>
      <c r="E700" s="65"/>
      <c r="F700" s="65"/>
      <c r="H700" s="65"/>
      <c r="J700" s="65"/>
      <c r="K700" s="65"/>
      <c r="L700" s="65"/>
    </row>
    <row r="701" ht="15.75" customHeight="1">
      <c r="C701" s="65"/>
      <c r="D701" s="65"/>
      <c r="E701" s="65"/>
      <c r="F701" s="65"/>
      <c r="H701" s="65"/>
      <c r="J701" s="65"/>
      <c r="K701" s="65"/>
      <c r="L701" s="65"/>
    </row>
    <row r="702" ht="15.75" customHeight="1">
      <c r="C702" s="65"/>
      <c r="D702" s="65"/>
      <c r="E702" s="65"/>
      <c r="F702" s="65"/>
      <c r="H702" s="65"/>
      <c r="J702" s="65"/>
      <c r="K702" s="65"/>
      <c r="L702" s="65"/>
    </row>
    <row r="703" ht="15.75" customHeight="1">
      <c r="C703" s="65"/>
      <c r="D703" s="65"/>
      <c r="E703" s="65"/>
      <c r="F703" s="65"/>
      <c r="H703" s="65"/>
      <c r="J703" s="65"/>
      <c r="K703" s="65"/>
      <c r="L703" s="65"/>
    </row>
    <row r="704" ht="15.75" customHeight="1">
      <c r="C704" s="65"/>
      <c r="D704" s="65"/>
      <c r="E704" s="65"/>
      <c r="F704" s="65"/>
      <c r="H704" s="65"/>
      <c r="J704" s="65"/>
      <c r="K704" s="65"/>
      <c r="L704" s="65"/>
    </row>
    <row r="705" ht="15.75" customHeight="1">
      <c r="C705" s="65"/>
      <c r="D705" s="65"/>
      <c r="E705" s="65"/>
      <c r="F705" s="65"/>
      <c r="H705" s="65"/>
      <c r="J705" s="65"/>
      <c r="K705" s="65"/>
      <c r="L705" s="65"/>
    </row>
    <row r="706" ht="15.75" customHeight="1">
      <c r="C706" s="65"/>
      <c r="D706" s="65"/>
      <c r="E706" s="65"/>
      <c r="F706" s="65"/>
      <c r="H706" s="65"/>
      <c r="J706" s="65"/>
      <c r="K706" s="65"/>
      <c r="L706" s="65"/>
    </row>
    <row r="707" ht="15.75" customHeight="1">
      <c r="C707" s="65"/>
      <c r="D707" s="65"/>
      <c r="E707" s="65"/>
      <c r="F707" s="65"/>
      <c r="H707" s="65"/>
      <c r="J707" s="65"/>
      <c r="K707" s="65"/>
      <c r="L707" s="65"/>
    </row>
    <row r="708" ht="15.75" customHeight="1">
      <c r="C708" s="65"/>
      <c r="D708" s="65"/>
      <c r="E708" s="65"/>
      <c r="F708" s="65"/>
      <c r="H708" s="65"/>
      <c r="J708" s="65"/>
      <c r="K708" s="65"/>
      <c r="L708" s="65"/>
    </row>
    <row r="709" ht="15.75" customHeight="1">
      <c r="C709" s="65"/>
      <c r="D709" s="65"/>
      <c r="E709" s="65"/>
      <c r="F709" s="65"/>
      <c r="H709" s="65"/>
      <c r="J709" s="65"/>
      <c r="K709" s="65"/>
      <c r="L709" s="65"/>
    </row>
    <row r="710" ht="15.75" customHeight="1">
      <c r="C710" s="65"/>
      <c r="D710" s="65"/>
      <c r="E710" s="65"/>
      <c r="F710" s="65"/>
      <c r="H710" s="65"/>
      <c r="J710" s="65"/>
      <c r="K710" s="65"/>
      <c r="L710" s="65"/>
    </row>
    <row r="711" ht="15.75" customHeight="1">
      <c r="C711" s="65"/>
      <c r="D711" s="65"/>
      <c r="E711" s="65"/>
      <c r="F711" s="65"/>
      <c r="H711" s="65"/>
      <c r="J711" s="65"/>
      <c r="K711" s="65"/>
      <c r="L711" s="65"/>
    </row>
    <row r="712" ht="15.75" customHeight="1">
      <c r="C712" s="65"/>
      <c r="D712" s="65"/>
      <c r="E712" s="65"/>
      <c r="F712" s="65"/>
      <c r="H712" s="65"/>
      <c r="J712" s="65"/>
      <c r="K712" s="65"/>
      <c r="L712" s="65"/>
    </row>
    <row r="713" ht="15.75" customHeight="1">
      <c r="C713" s="65"/>
      <c r="D713" s="65"/>
      <c r="E713" s="65"/>
      <c r="F713" s="65"/>
      <c r="H713" s="65"/>
      <c r="J713" s="65"/>
      <c r="K713" s="65"/>
      <c r="L713" s="65"/>
    </row>
    <row r="714" ht="15.75" customHeight="1">
      <c r="C714" s="65"/>
      <c r="D714" s="65"/>
      <c r="E714" s="65"/>
      <c r="F714" s="65"/>
      <c r="H714" s="65"/>
      <c r="J714" s="65"/>
      <c r="K714" s="65"/>
      <c r="L714" s="65"/>
    </row>
    <row r="715" ht="15.75" customHeight="1">
      <c r="C715" s="65"/>
      <c r="D715" s="65"/>
      <c r="E715" s="65"/>
      <c r="F715" s="65"/>
      <c r="H715" s="65"/>
      <c r="J715" s="65"/>
      <c r="K715" s="65"/>
      <c r="L715" s="65"/>
    </row>
    <row r="716" ht="15.75" customHeight="1">
      <c r="C716" s="65"/>
      <c r="D716" s="65"/>
      <c r="E716" s="65"/>
      <c r="F716" s="65"/>
      <c r="H716" s="65"/>
      <c r="J716" s="65"/>
      <c r="K716" s="65"/>
      <c r="L716" s="65"/>
    </row>
    <row r="717" ht="15.75" customHeight="1">
      <c r="C717" s="65"/>
      <c r="D717" s="65"/>
      <c r="E717" s="65"/>
      <c r="F717" s="65"/>
      <c r="H717" s="65"/>
      <c r="J717" s="65"/>
      <c r="K717" s="65"/>
      <c r="L717" s="65"/>
    </row>
    <row r="718" ht="15.75" customHeight="1">
      <c r="C718" s="65"/>
      <c r="D718" s="65"/>
      <c r="E718" s="65"/>
      <c r="F718" s="65"/>
      <c r="H718" s="65"/>
      <c r="J718" s="65"/>
      <c r="K718" s="65"/>
      <c r="L718" s="65"/>
    </row>
    <row r="719" ht="15.75" customHeight="1">
      <c r="C719" s="65"/>
      <c r="D719" s="65"/>
      <c r="E719" s="65"/>
      <c r="F719" s="65"/>
      <c r="H719" s="65"/>
      <c r="J719" s="65"/>
      <c r="K719" s="65"/>
      <c r="L719" s="65"/>
    </row>
    <row r="720" ht="15.75" customHeight="1">
      <c r="C720" s="65"/>
      <c r="D720" s="65"/>
      <c r="E720" s="65"/>
      <c r="F720" s="65"/>
      <c r="H720" s="65"/>
      <c r="J720" s="65"/>
      <c r="K720" s="65"/>
      <c r="L720" s="65"/>
    </row>
    <row r="721" ht="15.75" customHeight="1">
      <c r="C721" s="65"/>
      <c r="D721" s="65"/>
      <c r="E721" s="65"/>
      <c r="F721" s="65"/>
      <c r="H721" s="65"/>
      <c r="J721" s="65"/>
      <c r="K721" s="65"/>
      <c r="L721" s="65"/>
    </row>
    <row r="722" ht="15.75" customHeight="1">
      <c r="C722" s="65"/>
      <c r="D722" s="65"/>
      <c r="E722" s="65"/>
      <c r="F722" s="65"/>
      <c r="H722" s="65"/>
      <c r="J722" s="65"/>
      <c r="K722" s="65"/>
      <c r="L722" s="65"/>
    </row>
    <row r="723" ht="15.75" customHeight="1">
      <c r="C723" s="65"/>
      <c r="D723" s="65"/>
      <c r="E723" s="65"/>
      <c r="F723" s="65"/>
      <c r="H723" s="65"/>
      <c r="J723" s="65"/>
      <c r="K723" s="65"/>
      <c r="L723" s="65"/>
    </row>
    <row r="724" ht="15.75" customHeight="1">
      <c r="C724" s="65"/>
      <c r="D724" s="65"/>
      <c r="E724" s="65"/>
      <c r="F724" s="65"/>
      <c r="H724" s="65"/>
      <c r="J724" s="65"/>
      <c r="K724" s="65"/>
      <c r="L724" s="65"/>
    </row>
    <row r="725" ht="15.75" customHeight="1">
      <c r="C725" s="65"/>
      <c r="D725" s="65"/>
      <c r="E725" s="65"/>
      <c r="F725" s="65"/>
      <c r="H725" s="65"/>
      <c r="J725" s="65"/>
      <c r="K725" s="65"/>
      <c r="L725" s="65"/>
    </row>
    <row r="726" ht="15.75" customHeight="1">
      <c r="C726" s="65"/>
      <c r="D726" s="65"/>
      <c r="E726" s="65"/>
      <c r="F726" s="65"/>
      <c r="H726" s="65"/>
      <c r="J726" s="65"/>
      <c r="K726" s="65"/>
      <c r="L726" s="65"/>
    </row>
    <row r="727" ht="15.75" customHeight="1">
      <c r="C727" s="65"/>
      <c r="D727" s="65"/>
      <c r="E727" s="65"/>
      <c r="F727" s="65"/>
      <c r="H727" s="65"/>
      <c r="J727" s="65"/>
      <c r="K727" s="65"/>
      <c r="L727" s="65"/>
    </row>
    <row r="728" ht="15.75" customHeight="1">
      <c r="C728" s="65"/>
      <c r="D728" s="65"/>
      <c r="E728" s="65"/>
      <c r="F728" s="65"/>
      <c r="H728" s="65"/>
      <c r="J728" s="65"/>
      <c r="K728" s="65"/>
      <c r="L728" s="65"/>
    </row>
    <row r="729" ht="15.75" customHeight="1">
      <c r="C729" s="65"/>
      <c r="D729" s="65"/>
      <c r="E729" s="65"/>
      <c r="F729" s="65"/>
      <c r="H729" s="65"/>
      <c r="J729" s="65"/>
      <c r="K729" s="65"/>
      <c r="L729" s="65"/>
    </row>
    <row r="730" ht="15.75" customHeight="1">
      <c r="C730" s="65"/>
      <c r="D730" s="65"/>
      <c r="E730" s="65"/>
      <c r="F730" s="65"/>
      <c r="H730" s="65"/>
      <c r="J730" s="65"/>
      <c r="K730" s="65"/>
      <c r="L730" s="65"/>
    </row>
    <row r="731" ht="15.75" customHeight="1">
      <c r="C731" s="65"/>
      <c r="D731" s="65"/>
      <c r="E731" s="65"/>
      <c r="F731" s="65"/>
      <c r="H731" s="65"/>
      <c r="J731" s="65"/>
      <c r="K731" s="65"/>
      <c r="L731" s="65"/>
    </row>
    <row r="732" ht="15.75" customHeight="1">
      <c r="C732" s="65"/>
      <c r="D732" s="65"/>
      <c r="E732" s="65"/>
      <c r="F732" s="65"/>
      <c r="H732" s="65"/>
      <c r="J732" s="65"/>
      <c r="K732" s="65"/>
      <c r="L732" s="65"/>
    </row>
    <row r="733" ht="15.75" customHeight="1">
      <c r="C733" s="65"/>
      <c r="D733" s="65"/>
      <c r="E733" s="65"/>
      <c r="F733" s="65"/>
      <c r="H733" s="65"/>
      <c r="J733" s="65"/>
      <c r="K733" s="65"/>
      <c r="L733" s="65"/>
    </row>
    <row r="734" ht="15.75" customHeight="1">
      <c r="C734" s="65"/>
      <c r="D734" s="65"/>
      <c r="E734" s="65"/>
      <c r="F734" s="65"/>
      <c r="H734" s="65"/>
      <c r="J734" s="65"/>
      <c r="K734" s="65"/>
      <c r="L734" s="65"/>
    </row>
    <row r="735" ht="15.75" customHeight="1">
      <c r="C735" s="65"/>
      <c r="D735" s="65"/>
      <c r="E735" s="65"/>
      <c r="F735" s="65"/>
      <c r="H735" s="65"/>
      <c r="J735" s="65"/>
      <c r="K735" s="65"/>
      <c r="L735" s="65"/>
    </row>
    <row r="736" ht="15.75" customHeight="1">
      <c r="C736" s="65"/>
      <c r="D736" s="65"/>
      <c r="E736" s="65"/>
      <c r="F736" s="65"/>
      <c r="H736" s="65"/>
      <c r="J736" s="65"/>
      <c r="K736" s="65"/>
      <c r="L736" s="65"/>
    </row>
    <row r="737" ht="15.75" customHeight="1">
      <c r="C737" s="65"/>
      <c r="D737" s="65"/>
      <c r="E737" s="65"/>
      <c r="F737" s="65"/>
      <c r="H737" s="65"/>
      <c r="J737" s="65"/>
      <c r="K737" s="65"/>
      <c r="L737" s="65"/>
    </row>
    <row r="738" ht="15.75" customHeight="1">
      <c r="C738" s="65"/>
      <c r="D738" s="65"/>
      <c r="E738" s="65"/>
      <c r="F738" s="65"/>
      <c r="H738" s="65"/>
      <c r="J738" s="65"/>
      <c r="K738" s="65"/>
      <c r="L738" s="65"/>
    </row>
    <row r="739" ht="15.75" customHeight="1">
      <c r="C739" s="65"/>
      <c r="D739" s="65"/>
      <c r="E739" s="65"/>
      <c r="F739" s="65"/>
      <c r="H739" s="65"/>
      <c r="J739" s="65"/>
      <c r="K739" s="65"/>
      <c r="L739" s="65"/>
    </row>
    <row r="740" ht="15.75" customHeight="1">
      <c r="C740" s="65"/>
      <c r="D740" s="65"/>
      <c r="E740" s="65"/>
      <c r="F740" s="65"/>
      <c r="H740" s="65"/>
      <c r="J740" s="65"/>
      <c r="K740" s="65"/>
      <c r="L740" s="65"/>
    </row>
    <row r="741" ht="15.75" customHeight="1">
      <c r="C741" s="65"/>
      <c r="D741" s="65"/>
      <c r="E741" s="65"/>
      <c r="F741" s="65"/>
      <c r="H741" s="65"/>
      <c r="J741" s="65"/>
      <c r="K741" s="65"/>
      <c r="L741" s="65"/>
    </row>
    <row r="742" ht="15.75" customHeight="1">
      <c r="C742" s="65"/>
      <c r="D742" s="65"/>
      <c r="E742" s="65"/>
      <c r="F742" s="65"/>
      <c r="H742" s="65"/>
      <c r="J742" s="65"/>
      <c r="K742" s="65"/>
      <c r="L742" s="65"/>
    </row>
    <row r="743" ht="15.75" customHeight="1">
      <c r="C743" s="65"/>
      <c r="D743" s="65"/>
      <c r="E743" s="65"/>
      <c r="F743" s="65"/>
      <c r="H743" s="65"/>
      <c r="J743" s="65"/>
      <c r="K743" s="65"/>
      <c r="L743" s="65"/>
    </row>
    <row r="744" ht="15.75" customHeight="1">
      <c r="C744" s="65"/>
      <c r="D744" s="65"/>
      <c r="E744" s="65"/>
      <c r="F744" s="65"/>
      <c r="H744" s="65"/>
      <c r="J744" s="65"/>
      <c r="K744" s="65"/>
      <c r="L744" s="65"/>
    </row>
    <row r="745" ht="15.75" customHeight="1">
      <c r="C745" s="65"/>
      <c r="D745" s="65"/>
      <c r="E745" s="65"/>
      <c r="F745" s="65"/>
      <c r="H745" s="65"/>
      <c r="J745" s="65"/>
      <c r="K745" s="65"/>
      <c r="L745" s="65"/>
    </row>
    <row r="746" ht="15.75" customHeight="1">
      <c r="C746" s="65"/>
      <c r="D746" s="65"/>
      <c r="E746" s="65"/>
      <c r="F746" s="65"/>
      <c r="H746" s="65"/>
      <c r="J746" s="65"/>
      <c r="K746" s="65"/>
      <c r="L746" s="65"/>
    </row>
    <row r="747" ht="15.75" customHeight="1">
      <c r="C747" s="65"/>
      <c r="D747" s="65"/>
      <c r="E747" s="65"/>
      <c r="F747" s="65"/>
      <c r="H747" s="65"/>
      <c r="J747" s="65"/>
      <c r="K747" s="65"/>
      <c r="L747" s="65"/>
    </row>
    <row r="748" ht="15.75" customHeight="1">
      <c r="C748" s="65"/>
      <c r="D748" s="65"/>
      <c r="E748" s="65"/>
      <c r="F748" s="65"/>
      <c r="H748" s="65"/>
      <c r="J748" s="65"/>
      <c r="K748" s="65"/>
      <c r="L748" s="65"/>
    </row>
    <row r="749" ht="15.75" customHeight="1">
      <c r="C749" s="65"/>
      <c r="D749" s="65"/>
      <c r="E749" s="65"/>
      <c r="F749" s="65"/>
      <c r="H749" s="65"/>
      <c r="J749" s="65"/>
      <c r="K749" s="65"/>
      <c r="L749" s="65"/>
    </row>
    <row r="750" ht="15.75" customHeight="1">
      <c r="C750" s="65"/>
      <c r="D750" s="65"/>
      <c r="E750" s="65"/>
      <c r="F750" s="65"/>
      <c r="H750" s="65"/>
      <c r="J750" s="65"/>
      <c r="K750" s="65"/>
      <c r="L750" s="65"/>
    </row>
    <row r="751" ht="15.75" customHeight="1">
      <c r="C751" s="65"/>
      <c r="D751" s="65"/>
      <c r="E751" s="65"/>
      <c r="F751" s="65"/>
      <c r="H751" s="65"/>
      <c r="J751" s="65"/>
      <c r="K751" s="65"/>
      <c r="L751" s="65"/>
    </row>
    <row r="752" ht="15.75" customHeight="1">
      <c r="C752" s="65"/>
      <c r="D752" s="65"/>
      <c r="E752" s="65"/>
      <c r="F752" s="65"/>
      <c r="H752" s="65"/>
      <c r="J752" s="65"/>
      <c r="K752" s="65"/>
      <c r="L752" s="65"/>
    </row>
    <row r="753" ht="15.75" customHeight="1">
      <c r="C753" s="65"/>
      <c r="D753" s="65"/>
      <c r="E753" s="65"/>
      <c r="F753" s="65"/>
      <c r="H753" s="65"/>
      <c r="J753" s="65"/>
      <c r="K753" s="65"/>
      <c r="L753" s="65"/>
    </row>
    <row r="754" ht="15.75" customHeight="1">
      <c r="C754" s="65"/>
      <c r="D754" s="65"/>
      <c r="E754" s="65"/>
      <c r="F754" s="65"/>
      <c r="H754" s="65"/>
      <c r="J754" s="65"/>
      <c r="K754" s="65"/>
      <c r="L754" s="65"/>
    </row>
    <row r="755" ht="15.75" customHeight="1">
      <c r="C755" s="65"/>
      <c r="D755" s="65"/>
      <c r="E755" s="65"/>
      <c r="F755" s="65"/>
      <c r="H755" s="65"/>
      <c r="J755" s="65"/>
      <c r="K755" s="65"/>
      <c r="L755" s="65"/>
    </row>
    <row r="756" ht="15.75" customHeight="1">
      <c r="C756" s="65"/>
      <c r="D756" s="65"/>
      <c r="E756" s="65"/>
      <c r="F756" s="65"/>
      <c r="H756" s="65"/>
      <c r="J756" s="65"/>
      <c r="K756" s="65"/>
      <c r="L756" s="65"/>
    </row>
    <row r="757" ht="15.75" customHeight="1">
      <c r="C757" s="65"/>
      <c r="D757" s="65"/>
      <c r="E757" s="65"/>
      <c r="F757" s="65"/>
      <c r="H757" s="65"/>
      <c r="J757" s="65"/>
      <c r="K757" s="65"/>
      <c r="L757" s="65"/>
    </row>
    <row r="758" ht="15.75" customHeight="1">
      <c r="C758" s="65"/>
      <c r="D758" s="65"/>
      <c r="E758" s="65"/>
      <c r="F758" s="65"/>
      <c r="H758" s="65"/>
      <c r="J758" s="65"/>
      <c r="K758" s="65"/>
      <c r="L758" s="65"/>
    </row>
    <row r="759" ht="15.75" customHeight="1">
      <c r="C759" s="65"/>
      <c r="D759" s="65"/>
      <c r="E759" s="65"/>
      <c r="F759" s="65"/>
      <c r="H759" s="65"/>
      <c r="J759" s="65"/>
      <c r="K759" s="65"/>
      <c r="L759" s="65"/>
    </row>
    <row r="760" ht="15.75" customHeight="1">
      <c r="C760" s="65"/>
      <c r="D760" s="65"/>
      <c r="E760" s="65"/>
      <c r="F760" s="65"/>
      <c r="H760" s="65"/>
      <c r="J760" s="65"/>
      <c r="K760" s="65"/>
      <c r="L760" s="65"/>
    </row>
    <row r="761" ht="15.75" customHeight="1">
      <c r="C761" s="65"/>
      <c r="D761" s="65"/>
      <c r="E761" s="65"/>
      <c r="F761" s="65"/>
      <c r="H761" s="65"/>
      <c r="J761" s="65"/>
      <c r="K761" s="65"/>
      <c r="L761" s="65"/>
    </row>
    <row r="762" ht="15.75" customHeight="1">
      <c r="C762" s="65"/>
      <c r="D762" s="65"/>
      <c r="E762" s="65"/>
      <c r="F762" s="65"/>
      <c r="H762" s="65"/>
      <c r="J762" s="65"/>
      <c r="K762" s="65"/>
      <c r="L762" s="65"/>
    </row>
    <row r="763" ht="15.75" customHeight="1">
      <c r="C763" s="65"/>
      <c r="D763" s="65"/>
      <c r="E763" s="65"/>
      <c r="F763" s="65"/>
      <c r="H763" s="65"/>
      <c r="J763" s="65"/>
      <c r="K763" s="65"/>
      <c r="L763" s="65"/>
    </row>
    <row r="764" ht="15.75" customHeight="1">
      <c r="C764" s="65"/>
      <c r="D764" s="65"/>
      <c r="E764" s="65"/>
      <c r="F764" s="65"/>
      <c r="H764" s="65"/>
      <c r="J764" s="65"/>
      <c r="K764" s="65"/>
      <c r="L764" s="65"/>
    </row>
    <row r="765" ht="15.75" customHeight="1">
      <c r="C765" s="65"/>
      <c r="D765" s="65"/>
      <c r="E765" s="65"/>
      <c r="F765" s="65"/>
      <c r="H765" s="65"/>
      <c r="J765" s="65"/>
      <c r="K765" s="65"/>
      <c r="L765" s="65"/>
    </row>
    <row r="766" ht="15.75" customHeight="1">
      <c r="C766" s="65"/>
      <c r="D766" s="65"/>
      <c r="E766" s="65"/>
      <c r="F766" s="65"/>
      <c r="H766" s="65"/>
      <c r="J766" s="65"/>
      <c r="K766" s="65"/>
      <c r="L766" s="65"/>
    </row>
    <row r="767" ht="15.75" customHeight="1">
      <c r="C767" s="65"/>
      <c r="D767" s="65"/>
      <c r="E767" s="65"/>
      <c r="F767" s="65"/>
      <c r="H767" s="65"/>
      <c r="J767" s="65"/>
      <c r="K767" s="65"/>
      <c r="L767" s="65"/>
    </row>
    <row r="768" ht="15.75" customHeight="1">
      <c r="C768" s="65"/>
      <c r="D768" s="65"/>
      <c r="E768" s="65"/>
      <c r="F768" s="65"/>
      <c r="H768" s="65"/>
      <c r="J768" s="65"/>
      <c r="K768" s="65"/>
      <c r="L768" s="65"/>
    </row>
    <row r="769" ht="15.75" customHeight="1">
      <c r="C769" s="65"/>
      <c r="D769" s="65"/>
      <c r="E769" s="65"/>
      <c r="F769" s="65"/>
      <c r="H769" s="65"/>
      <c r="J769" s="65"/>
      <c r="K769" s="65"/>
      <c r="L769" s="65"/>
    </row>
    <row r="770" ht="15.75" customHeight="1">
      <c r="C770" s="65"/>
      <c r="D770" s="65"/>
      <c r="E770" s="65"/>
      <c r="F770" s="65"/>
      <c r="H770" s="65"/>
      <c r="J770" s="65"/>
      <c r="K770" s="65"/>
      <c r="L770" s="65"/>
    </row>
    <row r="771" ht="15.75" customHeight="1">
      <c r="C771" s="65"/>
      <c r="D771" s="65"/>
      <c r="E771" s="65"/>
      <c r="F771" s="65"/>
      <c r="H771" s="65"/>
      <c r="J771" s="65"/>
      <c r="K771" s="65"/>
      <c r="L771" s="65"/>
    </row>
    <row r="772" ht="15.75" customHeight="1">
      <c r="C772" s="65"/>
      <c r="D772" s="65"/>
      <c r="E772" s="65"/>
      <c r="F772" s="65"/>
      <c r="H772" s="65"/>
      <c r="J772" s="65"/>
      <c r="K772" s="65"/>
      <c r="L772" s="65"/>
    </row>
    <row r="773" ht="15.75" customHeight="1">
      <c r="C773" s="65"/>
      <c r="D773" s="65"/>
      <c r="E773" s="65"/>
      <c r="F773" s="65"/>
      <c r="H773" s="65"/>
      <c r="J773" s="65"/>
      <c r="K773" s="65"/>
      <c r="L773" s="65"/>
    </row>
    <row r="774" ht="15.75" customHeight="1">
      <c r="C774" s="65"/>
      <c r="D774" s="65"/>
      <c r="E774" s="65"/>
      <c r="F774" s="65"/>
      <c r="H774" s="65"/>
      <c r="J774" s="65"/>
      <c r="K774" s="65"/>
      <c r="L774" s="65"/>
    </row>
    <row r="775" ht="15.75" customHeight="1">
      <c r="C775" s="65"/>
      <c r="D775" s="65"/>
      <c r="E775" s="65"/>
      <c r="F775" s="65"/>
      <c r="H775" s="65"/>
      <c r="J775" s="65"/>
      <c r="K775" s="65"/>
      <c r="L775" s="65"/>
    </row>
    <row r="776" ht="15.75" customHeight="1">
      <c r="C776" s="65"/>
      <c r="D776" s="65"/>
      <c r="E776" s="65"/>
      <c r="F776" s="65"/>
      <c r="H776" s="65"/>
      <c r="J776" s="65"/>
      <c r="K776" s="65"/>
      <c r="L776" s="65"/>
    </row>
    <row r="777" ht="15.75" customHeight="1">
      <c r="C777" s="65"/>
      <c r="D777" s="65"/>
      <c r="E777" s="65"/>
      <c r="F777" s="65"/>
      <c r="H777" s="65"/>
      <c r="J777" s="65"/>
      <c r="K777" s="65"/>
      <c r="L777" s="65"/>
    </row>
    <row r="778" ht="15.75" customHeight="1">
      <c r="C778" s="65"/>
      <c r="D778" s="65"/>
      <c r="E778" s="65"/>
      <c r="F778" s="65"/>
      <c r="H778" s="65"/>
      <c r="J778" s="65"/>
      <c r="K778" s="65"/>
      <c r="L778" s="65"/>
    </row>
    <row r="779" ht="15.75" customHeight="1">
      <c r="C779" s="65"/>
      <c r="D779" s="65"/>
      <c r="E779" s="65"/>
      <c r="F779" s="65"/>
      <c r="H779" s="65"/>
      <c r="J779" s="65"/>
      <c r="K779" s="65"/>
      <c r="L779" s="65"/>
    </row>
    <row r="780" ht="15.75" customHeight="1">
      <c r="C780" s="65"/>
      <c r="D780" s="65"/>
      <c r="E780" s="65"/>
      <c r="F780" s="65"/>
      <c r="H780" s="65"/>
      <c r="J780" s="65"/>
      <c r="K780" s="65"/>
      <c r="L780" s="65"/>
    </row>
    <row r="781" ht="15.75" customHeight="1">
      <c r="C781" s="65"/>
      <c r="D781" s="65"/>
      <c r="E781" s="65"/>
      <c r="F781" s="65"/>
      <c r="H781" s="65"/>
      <c r="J781" s="65"/>
      <c r="K781" s="65"/>
      <c r="L781" s="65"/>
    </row>
    <row r="782" ht="15.75" customHeight="1">
      <c r="C782" s="65"/>
      <c r="D782" s="65"/>
      <c r="E782" s="65"/>
      <c r="F782" s="65"/>
      <c r="H782" s="65"/>
      <c r="J782" s="65"/>
      <c r="K782" s="65"/>
      <c r="L782" s="65"/>
    </row>
    <row r="783" ht="15.75" customHeight="1">
      <c r="C783" s="65"/>
      <c r="D783" s="65"/>
      <c r="E783" s="65"/>
      <c r="F783" s="65"/>
      <c r="H783" s="65"/>
      <c r="J783" s="65"/>
      <c r="K783" s="65"/>
      <c r="L783" s="65"/>
    </row>
    <row r="784" ht="15.75" customHeight="1">
      <c r="C784" s="65"/>
      <c r="D784" s="65"/>
      <c r="E784" s="65"/>
      <c r="F784" s="65"/>
      <c r="H784" s="65"/>
      <c r="J784" s="65"/>
      <c r="K784" s="65"/>
      <c r="L784" s="65"/>
    </row>
    <row r="785" ht="15.75" customHeight="1">
      <c r="C785" s="65"/>
      <c r="D785" s="65"/>
      <c r="E785" s="65"/>
      <c r="F785" s="65"/>
      <c r="H785" s="65"/>
      <c r="J785" s="65"/>
      <c r="K785" s="65"/>
      <c r="L785" s="65"/>
    </row>
    <row r="786" ht="15.75" customHeight="1">
      <c r="C786" s="65"/>
      <c r="D786" s="65"/>
      <c r="E786" s="65"/>
      <c r="F786" s="65"/>
      <c r="H786" s="65"/>
      <c r="J786" s="65"/>
      <c r="K786" s="65"/>
      <c r="L786" s="65"/>
    </row>
    <row r="787" ht="15.75" customHeight="1">
      <c r="C787" s="65"/>
      <c r="D787" s="65"/>
      <c r="E787" s="65"/>
      <c r="F787" s="65"/>
      <c r="H787" s="65"/>
      <c r="J787" s="65"/>
      <c r="K787" s="65"/>
      <c r="L787" s="65"/>
    </row>
    <row r="788" ht="15.75" customHeight="1">
      <c r="C788" s="65"/>
      <c r="D788" s="65"/>
      <c r="E788" s="65"/>
      <c r="F788" s="65"/>
      <c r="H788" s="65"/>
      <c r="J788" s="65"/>
      <c r="K788" s="65"/>
      <c r="L788" s="65"/>
    </row>
    <row r="789" ht="15.75" customHeight="1">
      <c r="C789" s="65"/>
      <c r="D789" s="65"/>
      <c r="E789" s="65"/>
      <c r="F789" s="65"/>
      <c r="H789" s="65"/>
      <c r="J789" s="65"/>
      <c r="K789" s="65"/>
      <c r="L789" s="65"/>
    </row>
    <row r="790" ht="15.75" customHeight="1">
      <c r="C790" s="65"/>
      <c r="D790" s="65"/>
      <c r="E790" s="65"/>
      <c r="F790" s="65"/>
      <c r="H790" s="65"/>
      <c r="J790" s="65"/>
      <c r="K790" s="65"/>
      <c r="L790" s="65"/>
    </row>
    <row r="791" ht="15.75" customHeight="1">
      <c r="C791" s="65"/>
      <c r="D791" s="65"/>
      <c r="E791" s="65"/>
      <c r="F791" s="65"/>
      <c r="H791" s="65"/>
      <c r="J791" s="65"/>
      <c r="K791" s="65"/>
      <c r="L791" s="65"/>
    </row>
    <row r="792" ht="15.75" customHeight="1">
      <c r="C792" s="65"/>
      <c r="D792" s="65"/>
      <c r="E792" s="65"/>
      <c r="F792" s="65"/>
      <c r="H792" s="65"/>
      <c r="J792" s="65"/>
      <c r="K792" s="65"/>
      <c r="L792" s="65"/>
    </row>
    <row r="793" ht="15.75" customHeight="1">
      <c r="C793" s="65"/>
      <c r="D793" s="65"/>
      <c r="E793" s="65"/>
      <c r="F793" s="65"/>
      <c r="H793" s="65"/>
      <c r="J793" s="65"/>
      <c r="K793" s="65"/>
      <c r="L793" s="65"/>
    </row>
    <row r="794" ht="15.75" customHeight="1">
      <c r="C794" s="65"/>
      <c r="D794" s="65"/>
      <c r="E794" s="65"/>
      <c r="F794" s="65"/>
      <c r="H794" s="65"/>
      <c r="J794" s="65"/>
      <c r="K794" s="65"/>
      <c r="L794" s="65"/>
    </row>
    <row r="795" ht="15.75" customHeight="1">
      <c r="C795" s="65"/>
      <c r="D795" s="65"/>
      <c r="E795" s="65"/>
      <c r="F795" s="65"/>
      <c r="H795" s="65"/>
      <c r="J795" s="65"/>
      <c r="K795" s="65"/>
      <c r="L795" s="65"/>
    </row>
    <row r="796" ht="15.75" customHeight="1">
      <c r="C796" s="65"/>
      <c r="D796" s="65"/>
      <c r="E796" s="65"/>
      <c r="F796" s="65"/>
      <c r="H796" s="65"/>
      <c r="J796" s="65"/>
      <c r="K796" s="65"/>
      <c r="L796" s="65"/>
    </row>
    <row r="797" ht="15.75" customHeight="1">
      <c r="C797" s="65"/>
      <c r="D797" s="65"/>
      <c r="E797" s="65"/>
      <c r="F797" s="65"/>
      <c r="H797" s="65"/>
      <c r="J797" s="65"/>
      <c r="K797" s="65"/>
      <c r="L797" s="65"/>
    </row>
    <row r="798" ht="15.75" customHeight="1">
      <c r="C798" s="65"/>
      <c r="D798" s="65"/>
      <c r="E798" s="65"/>
      <c r="F798" s="65"/>
      <c r="H798" s="65"/>
      <c r="J798" s="65"/>
      <c r="K798" s="65"/>
      <c r="L798" s="65"/>
    </row>
    <row r="799" ht="15.75" customHeight="1">
      <c r="C799" s="65"/>
      <c r="D799" s="65"/>
      <c r="E799" s="65"/>
      <c r="F799" s="65"/>
      <c r="H799" s="65"/>
      <c r="J799" s="65"/>
      <c r="K799" s="65"/>
      <c r="L799" s="65"/>
    </row>
    <row r="800" ht="15.75" customHeight="1">
      <c r="C800" s="65"/>
      <c r="D800" s="65"/>
      <c r="E800" s="65"/>
      <c r="F800" s="65"/>
      <c r="H800" s="65"/>
      <c r="J800" s="65"/>
      <c r="K800" s="65"/>
      <c r="L800" s="65"/>
    </row>
    <row r="801" ht="15.75" customHeight="1">
      <c r="C801" s="65"/>
      <c r="D801" s="65"/>
      <c r="E801" s="65"/>
      <c r="F801" s="65"/>
      <c r="H801" s="65"/>
      <c r="J801" s="65"/>
      <c r="K801" s="65"/>
      <c r="L801" s="65"/>
    </row>
    <row r="802" ht="15.75" customHeight="1">
      <c r="C802" s="65"/>
      <c r="D802" s="65"/>
      <c r="E802" s="65"/>
      <c r="F802" s="65"/>
      <c r="H802" s="65"/>
      <c r="J802" s="65"/>
      <c r="K802" s="65"/>
      <c r="L802" s="65"/>
    </row>
    <row r="803" ht="15.75" customHeight="1">
      <c r="C803" s="65"/>
      <c r="D803" s="65"/>
      <c r="E803" s="65"/>
      <c r="F803" s="65"/>
      <c r="H803" s="65"/>
      <c r="J803" s="65"/>
      <c r="K803" s="65"/>
      <c r="L803" s="65"/>
    </row>
    <row r="804" ht="15.75" customHeight="1">
      <c r="C804" s="65"/>
      <c r="D804" s="65"/>
      <c r="E804" s="65"/>
      <c r="F804" s="65"/>
      <c r="H804" s="65"/>
      <c r="J804" s="65"/>
      <c r="K804" s="65"/>
      <c r="L804" s="65"/>
    </row>
    <row r="805" ht="15.75" customHeight="1">
      <c r="C805" s="65"/>
      <c r="D805" s="65"/>
      <c r="E805" s="65"/>
      <c r="F805" s="65"/>
      <c r="H805" s="65"/>
      <c r="J805" s="65"/>
      <c r="K805" s="65"/>
      <c r="L805" s="65"/>
    </row>
    <row r="806" ht="15.75" customHeight="1">
      <c r="C806" s="65"/>
      <c r="D806" s="65"/>
      <c r="E806" s="65"/>
      <c r="F806" s="65"/>
      <c r="H806" s="65"/>
      <c r="J806" s="65"/>
      <c r="K806" s="65"/>
      <c r="L806" s="65"/>
    </row>
    <row r="807" ht="15.75" customHeight="1">
      <c r="C807" s="65"/>
      <c r="D807" s="65"/>
      <c r="E807" s="65"/>
      <c r="F807" s="65"/>
      <c r="H807" s="65"/>
      <c r="J807" s="65"/>
      <c r="K807" s="65"/>
      <c r="L807" s="65"/>
    </row>
    <row r="808" ht="15.75" customHeight="1">
      <c r="C808" s="65"/>
      <c r="D808" s="65"/>
      <c r="E808" s="65"/>
      <c r="F808" s="65"/>
      <c r="H808" s="65"/>
      <c r="J808" s="65"/>
      <c r="K808" s="65"/>
      <c r="L808" s="65"/>
    </row>
    <row r="809" ht="15.75" customHeight="1">
      <c r="C809" s="65"/>
      <c r="D809" s="65"/>
      <c r="E809" s="65"/>
      <c r="F809" s="65"/>
      <c r="H809" s="65"/>
      <c r="J809" s="65"/>
      <c r="K809" s="65"/>
      <c r="L809" s="65"/>
    </row>
    <row r="810" ht="15.75" customHeight="1">
      <c r="C810" s="65"/>
      <c r="D810" s="65"/>
      <c r="E810" s="65"/>
      <c r="F810" s="65"/>
      <c r="H810" s="65"/>
      <c r="J810" s="65"/>
      <c r="K810" s="65"/>
      <c r="L810" s="65"/>
    </row>
    <row r="811" ht="15.75" customHeight="1">
      <c r="C811" s="65"/>
      <c r="D811" s="65"/>
      <c r="E811" s="65"/>
      <c r="F811" s="65"/>
      <c r="H811" s="65"/>
      <c r="J811" s="65"/>
      <c r="K811" s="65"/>
      <c r="L811" s="65"/>
    </row>
    <row r="812" ht="15.75" customHeight="1">
      <c r="C812" s="65"/>
      <c r="D812" s="65"/>
      <c r="E812" s="65"/>
      <c r="F812" s="65"/>
      <c r="H812" s="65"/>
      <c r="J812" s="65"/>
      <c r="K812" s="65"/>
      <c r="L812" s="65"/>
    </row>
    <row r="813" ht="15.75" customHeight="1">
      <c r="C813" s="65"/>
      <c r="D813" s="65"/>
      <c r="E813" s="65"/>
      <c r="F813" s="65"/>
      <c r="H813" s="65"/>
      <c r="J813" s="65"/>
      <c r="K813" s="65"/>
      <c r="L813" s="65"/>
    </row>
    <row r="814" ht="15.75" customHeight="1">
      <c r="C814" s="65"/>
      <c r="D814" s="65"/>
      <c r="E814" s="65"/>
      <c r="F814" s="65"/>
      <c r="H814" s="65"/>
      <c r="J814" s="65"/>
      <c r="K814" s="65"/>
      <c r="L814" s="65"/>
    </row>
    <row r="815" ht="15.75" customHeight="1">
      <c r="C815" s="65"/>
      <c r="D815" s="65"/>
      <c r="E815" s="65"/>
      <c r="F815" s="65"/>
      <c r="H815" s="65"/>
      <c r="J815" s="65"/>
      <c r="K815" s="65"/>
      <c r="L815" s="65"/>
    </row>
    <row r="816" ht="15.75" customHeight="1">
      <c r="C816" s="65"/>
      <c r="D816" s="65"/>
      <c r="E816" s="65"/>
      <c r="F816" s="65"/>
      <c r="H816" s="65"/>
      <c r="J816" s="65"/>
      <c r="K816" s="65"/>
      <c r="L816" s="65"/>
    </row>
    <row r="817" ht="15.75" customHeight="1">
      <c r="C817" s="65"/>
      <c r="D817" s="65"/>
      <c r="E817" s="65"/>
      <c r="F817" s="65"/>
      <c r="H817" s="65"/>
      <c r="J817" s="65"/>
      <c r="K817" s="65"/>
      <c r="L817" s="65"/>
    </row>
    <row r="818" ht="15.75" customHeight="1">
      <c r="C818" s="65"/>
      <c r="D818" s="65"/>
      <c r="E818" s="65"/>
      <c r="F818" s="65"/>
      <c r="H818" s="65"/>
      <c r="J818" s="65"/>
      <c r="K818" s="65"/>
      <c r="L818" s="65"/>
    </row>
    <row r="819" ht="15.75" customHeight="1">
      <c r="C819" s="65"/>
      <c r="D819" s="65"/>
      <c r="E819" s="65"/>
      <c r="F819" s="65"/>
      <c r="H819" s="65"/>
      <c r="J819" s="65"/>
      <c r="K819" s="65"/>
      <c r="L819" s="65"/>
    </row>
    <row r="820" ht="15.75" customHeight="1">
      <c r="C820" s="65"/>
      <c r="D820" s="65"/>
      <c r="E820" s="65"/>
      <c r="F820" s="65"/>
      <c r="H820" s="65"/>
      <c r="J820" s="65"/>
      <c r="K820" s="65"/>
      <c r="L820" s="65"/>
    </row>
    <row r="821" ht="15.75" customHeight="1">
      <c r="C821" s="65"/>
      <c r="D821" s="65"/>
      <c r="E821" s="65"/>
      <c r="F821" s="65"/>
      <c r="H821" s="65"/>
      <c r="J821" s="65"/>
      <c r="K821" s="65"/>
      <c r="L821" s="65"/>
    </row>
    <row r="822" ht="15.75" customHeight="1">
      <c r="C822" s="65"/>
      <c r="D822" s="65"/>
      <c r="E822" s="65"/>
      <c r="F822" s="65"/>
      <c r="H822" s="65"/>
      <c r="J822" s="65"/>
      <c r="K822" s="65"/>
      <c r="L822" s="65"/>
    </row>
    <row r="823" ht="15.75" customHeight="1">
      <c r="C823" s="65"/>
      <c r="D823" s="65"/>
      <c r="E823" s="65"/>
      <c r="F823" s="65"/>
      <c r="H823" s="65"/>
      <c r="J823" s="65"/>
      <c r="K823" s="65"/>
      <c r="L823" s="65"/>
    </row>
    <row r="824" ht="15.75" customHeight="1">
      <c r="C824" s="65"/>
      <c r="D824" s="65"/>
      <c r="E824" s="65"/>
      <c r="F824" s="65"/>
      <c r="H824" s="65"/>
      <c r="J824" s="65"/>
      <c r="K824" s="65"/>
      <c r="L824" s="65"/>
    </row>
    <row r="825" ht="15.75" customHeight="1">
      <c r="C825" s="65"/>
      <c r="D825" s="65"/>
      <c r="E825" s="65"/>
      <c r="F825" s="65"/>
      <c r="H825" s="65"/>
      <c r="J825" s="65"/>
      <c r="K825" s="65"/>
      <c r="L825" s="65"/>
    </row>
    <row r="826" ht="15.75" customHeight="1">
      <c r="C826" s="65"/>
      <c r="D826" s="65"/>
      <c r="E826" s="65"/>
      <c r="F826" s="65"/>
      <c r="H826" s="65"/>
      <c r="J826" s="65"/>
      <c r="K826" s="65"/>
      <c r="L826" s="65"/>
    </row>
    <row r="827" ht="15.75" customHeight="1">
      <c r="C827" s="65"/>
      <c r="D827" s="65"/>
      <c r="E827" s="65"/>
      <c r="F827" s="65"/>
      <c r="H827" s="65"/>
      <c r="J827" s="65"/>
      <c r="K827" s="65"/>
      <c r="L827" s="65"/>
    </row>
    <row r="828" ht="15.75" customHeight="1">
      <c r="C828" s="65"/>
      <c r="D828" s="65"/>
      <c r="E828" s="65"/>
      <c r="F828" s="65"/>
      <c r="H828" s="65"/>
      <c r="J828" s="65"/>
      <c r="K828" s="65"/>
      <c r="L828" s="65"/>
    </row>
    <row r="829" ht="15.75" customHeight="1">
      <c r="C829" s="65"/>
      <c r="D829" s="65"/>
      <c r="E829" s="65"/>
      <c r="F829" s="65"/>
      <c r="H829" s="65"/>
      <c r="J829" s="65"/>
      <c r="K829" s="65"/>
      <c r="L829" s="65"/>
    </row>
    <row r="830" ht="15.75" customHeight="1">
      <c r="C830" s="65"/>
      <c r="D830" s="65"/>
      <c r="E830" s="65"/>
      <c r="F830" s="65"/>
      <c r="H830" s="65"/>
      <c r="J830" s="65"/>
      <c r="K830" s="65"/>
      <c r="L830" s="65"/>
    </row>
    <row r="831" ht="15.75" customHeight="1">
      <c r="C831" s="65"/>
      <c r="D831" s="65"/>
      <c r="E831" s="65"/>
      <c r="F831" s="65"/>
      <c r="H831" s="65"/>
      <c r="J831" s="65"/>
      <c r="K831" s="65"/>
      <c r="L831" s="65"/>
    </row>
    <row r="832" ht="15.75" customHeight="1">
      <c r="C832" s="65"/>
      <c r="D832" s="65"/>
      <c r="E832" s="65"/>
      <c r="F832" s="65"/>
      <c r="H832" s="65"/>
      <c r="J832" s="65"/>
      <c r="K832" s="65"/>
      <c r="L832" s="65"/>
    </row>
    <row r="833" ht="15.75" customHeight="1">
      <c r="C833" s="65"/>
      <c r="D833" s="65"/>
      <c r="E833" s="65"/>
      <c r="F833" s="65"/>
      <c r="H833" s="65"/>
      <c r="J833" s="65"/>
      <c r="K833" s="65"/>
      <c r="L833" s="65"/>
    </row>
    <row r="834" ht="15.75" customHeight="1">
      <c r="C834" s="65"/>
      <c r="D834" s="65"/>
      <c r="E834" s="65"/>
      <c r="F834" s="65"/>
      <c r="H834" s="65"/>
      <c r="J834" s="65"/>
      <c r="K834" s="65"/>
      <c r="L834" s="65"/>
    </row>
    <row r="835" ht="15.75" customHeight="1">
      <c r="C835" s="65"/>
      <c r="D835" s="65"/>
      <c r="E835" s="65"/>
      <c r="F835" s="65"/>
      <c r="H835" s="65"/>
      <c r="J835" s="65"/>
      <c r="K835" s="65"/>
      <c r="L835" s="65"/>
    </row>
    <row r="836" ht="15.75" customHeight="1">
      <c r="C836" s="65"/>
      <c r="D836" s="65"/>
      <c r="E836" s="65"/>
      <c r="F836" s="65"/>
      <c r="H836" s="65"/>
      <c r="J836" s="65"/>
      <c r="K836" s="65"/>
      <c r="L836" s="65"/>
    </row>
    <row r="837" ht="15.75" customHeight="1">
      <c r="C837" s="65"/>
      <c r="D837" s="65"/>
      <c r="E837" s="65"/>
      <c r="F837" s="65"/>
      <c r="H837" s="65"/>
      <c r="J837" s="65"/>
      <c r="K837" s="65"/>
      <c r="L837" s="65"/>
    </row>
    <row r="838" ht="15.75" customHeight="1">
      <c r="C838" s="65"/>
      <c r="D838" s="65"/>
      <c r="E838" s="65"/>
      <c r="F838" s="65"/>
      <c r="H838" s="65"/>
      <c r="J838" s="65"/>
      <c r="K838" s="65"/>
      <c r="L838" s="65"/>
    </row>
    <row r="839" ht="15.75" customHeight="1">
      <c r="C839" s="65"/>
      <c r="D839" s="65"/>
      <c r="E839" s="65"/>
      <c r="F839" s="65"/>
      <c r="H839" s="65"/>
      <c r="J839" s="65"/>
      <c r="K839" s="65"/>
      <c r="L839" s="65"/>
    </row>
    <row r="840" ht="15.75" customHeight="1">
      <c r="C840" s="65"/>
      <c r="D840" s="65"/>
      <c r="E840" s="65"/>
      <c r="F840" s="65"/>
      <c r="H840" s="65"/>
      <c r="J840" s="65"/>
      <c r="K840" s="65"/>
      <c r="L840" s="65"/>
    </row>
    <row r="841" ht="15.75" customHeight="1">
      <c r="C841" s="65"/>
      <c r="D841" s="65"/>
      <c r="E841" s="65"/>
      <c r="F841" s="65"/>
      <c r="H841" s="65"/>
      <c r="J841" s="65"/>
      <c r="K841" s="65"/>
      <c r="L841" s="65"/>
    </row>
    <row r="842" ht="15.75" customHeight="1">
      <c r="C842" s="65"/>
      <c r="D842" s="65"/>
      <c r="E842" s="65"/>
      <c r="F842" s="65"/>
      <c r="H842" s="65"/>
      <c r="J842" s="65"/>
      <c r="K842" s="65"/>
      <c r="L842" s="65"/>
    </row>
    <row r="843" ht="15.75" customHeight="1">
      <c r="C843" s="65"/>
      <c r="D843" s="65"/>
      <c r="E843" s="65"/>
      <c r="F843" s="65"/>
      <c r="H843" s="65"/>
      <c r="J843" s="65"/>
      <c r="K843" s="65"/>
      <c r="L843" s="65"/>
    </row>
    <row r="844" ht="15.75" customHeight="1">
      <c r="C844" s="65"/>
      <c r="D844" s="65"/>
      <c r="E844" s="65"/>
      <c r="F844" s="65"/>
      <c r="H844" s="65"/>
      <c r="J844" s="65"/>
      <c r="K844" s="65"/>
      <c r="L844" s="65"/>
    </row>
    <row r="845" ht="15.75" customHeight="1">
      <c r="C845" s="65"/>
      <c r="D845" s="65"/>
      <c r="E845" s="65"/>
      <c r="F845" s="65"/>
      <c r="H845" s="65"/>
      <c r="J845" s="65"/>
      <c r="K845" s="65"/>
      <c r="L845" s="65"/>
    </row>
    <row r="846" ht="15.75" customHeight="1">
      <c r="C846" s="65"/>
      <c r="D846" s="65"/>
      <c r="E846" s="65"/>
      <c r="F846" s="65"/>
      <c r="H846" s="65"/>
      <c r="J846" s="65"/>
      <c r="K846" s="65"/>
      <c r="L846" s="65"/>
    </row>
    <row r="847" ht="15.75" customHeight="1">
      <c r="C847" s="65"/>
      <c r="D847" s="65"/>
      <c r="E847" s="65"/>
      <c r="F847" s="65"/>
      <c r="H847" s="65"/>
      <c r="J847" s="65"/>
      <c r="K847" s="65"/>
      <c r="L847" s="65"/>
    </row>
    <row r="848" ht="15.75" customHeight="1">
      <c r="C848" s="65"/>
      <c r="D848" s="65"/>
      <c r="E848" s="65"/>
      <c r="F848" s="65"/>
      <c r="H848" s="65"/>
      <c r="J848" s="65"/>
      <c r="K848" s="65"/>
      <c r="L848" s="65"/>
    </row>
    <row r="849" ht="15.75" customHeight="1">
      <c r="C849" s="65"/>
      <c r="D849" s="65"/>
      <c r="E849" s="65"/>
      <c r="F849" s="65"/>
      <c r="H849" s="65"/>
      <c r="J849" s="65"/>
      <c r="K849" s="65"/>
      <c r="L849" s="65"/>
    </row>
    <row r="850" ht="15.75" customHeight="1">
      <c r="C850" s="65"/>
      <c r="D850" s="65"/>
      <c r="E850" s="65"/>
      <c r="F850" s="65"/>
      <c r="H850" s="65"/>
      <c r="J850" s="65"/>
      <c r="K850" s="65"/>
      <c r="L850" s="65"/>
    </row>
    <row r="851" ht="15.75" customHeight="1">
      <c r="C851" s="65"/>
      <c r="D851" s="65"/>
      <c r="E851" s="65"/>
      <c r="F851" s="65"/>
      <c r="H851" s="65"/>
      <c r="J851" s="65"/>
      <c r="K851" s="65"/>
      <c r="L851" s="65"/>
    </row>
    <row r="852" ht="15.75" customHeight="1">
      <c r="C852" s="65"/>
      <c r="D852" s="65"/>
      <c r="E852" s="65"/>
      <c r="F852" s="65"/>
      <c r="H852" s="65"/>
      <c r="J852" s="65"/>
      <c r="K852" s="65"/>
      <c r="L852" s="65"/>
    </row>
    <row r="853" ht="15.75" customHeight="1">
      <c r="C853" s="65"/>
      <c r="D853" s="65"/>
      <c r="E853" s="65"/>
      <c r="F853" s="65"/>
      <c r="H853" s="65"/>
      <c r="J853" s="65"/>
      <c r="K853" s="65"/>
      <c r="L853" s="65"/>
    </row>
    <row r="854" ht="15.75" customHeight="1">
      <c r="C854" s="65"/>
      <c r="D854" s="65"/>
      <c r="E854" s="65"/>
      <c r="F854" s="65"/>
      <c r="H854" s="65"/>
      <c r="J854" s="65"/>
      <c r="K854" s="65"/>
      <c r="L854" s="65"/>
    </row>
    <row r="855" ht="15.75" customHeight="1">
      <c r="C855" s="65"/>
      <c r="D855" s="65"/>
      <c r="E855" s="65"/>
      <c r="F855" s="65"/>
      <c r="H855" s="65"/>
      <c r="J855" s="65"/>
      <c r="K855" s="65"/>
      <c r="L855" s="65"/>
    </row>
    <row r="856" ht="15.75" customHeight="1">
      <c r="C856" s="65"/>
      <c r="D856" s="65"/>
      <c r="E856" s="65"/>
      <c r="F856" s="65"/>
      <c r="H856" s="65"/>
      <c r="J856" s="65"/>
      <c r="K856" s="65"/>
      <c r="L856" s="65"/>
    </row>
    <row r="857" ht="15.75" customHeight="1">
      <c r="C857" s="65"/>
      <c r="D857" s="65"/>
      <c r="E857" s="65"/>
      <c r="F857" s="65"/>
      <c r="H857" s="65"/>
      <c r="J857" s="65"/>
      <c r="K857" s="65"/>
      <c r="L857" s="65"/>
    </row>
    <row r="858" ht="15.75" customHeight="1">
      <c r="C858" s="65"/>
      <c r="D858" s="65"/>
      <c r="E858" s="65"/>
      <c r="F858" s="65"/>
      <c r="H858" s="65"/>
      <c r="J858" s="65"/>
      <c r="K858" s="65"/>
      <c r="L858" s="65"/>
    </row>
    <row r="859" ht="15.75" customHeight="1">
      <c r="C859" s="65"/>
      <c r="D859" s="65"/>
      <c r="E859" s="65"/>
      <c r="F859" s="65"/>
      <c r="H859" s="65"/>
      <c r="J859" s="65"/>
      <c r="K859" s="65"/>
      <c r="L859" s="65"/>
    </row>
    <row r="860" ht="15.75" customHeight="1">
      <c r="C860" s="65"/>
      <c r="D860" s="65"/>
      <c r="E860" s="65"/>
      <c r="F860" s="65"/>
      <c r="H860" s="65"/>
      <c r="J860" s="65"/>
      <c r="K860" s="65"/>
      <c r="L860" s="65"/>
    </row>
    <row r="861" ht="15.75" customHeight="1">
      <c r="C861" s="65"/>
      <c r="D861" s="65"/>
      <c r="E861" s="65"/>
      <c r="F861" s="65"/>
      <c r="H861" s="65"/>
      <c r="J861" s="65"/>
      <c r="K861" s="65"/>
      <c r="L861" s="65"/>
    </row>
    <row r="862" ht="15.75" customHeight="1">
      <c r="C862" s="65"/>
      <c r="D862" s="65"/>
      <c r="E862" s="65"/>
      <c r="F862" s="65"/>
      <c r="H862" s="65"/>
      <c r="J862" s="65"/>
      <c r="K862" s="65"/>
      <c r="L862" s="65"/>
    </row>
    <row r="863" ht="15.75" customHeight="1">
      <c r="C863" s="65"/>
      <c r="D863" s="65"/>
      <c r="E863" s="65"/>
      <c r="F863" s="65"/>
      <c r="H863" s="65"/>
      <c r="J863" s="65"/>
      <c r="K863" s="65"/>
      <c r="L863" s="65"/>
    </row>
    <row r="864" ht="15.75" customHeight="1">
      <c r="C864" s="65"/>
      <c r="D864" s="65"/>
      <c r="E864" s="65"/>
      <c r="F864" s="65"/>
      <c r="H864" s="65"/>
      <c r="J864" s="65"/>
      <c r="K864" s="65"/>
      <c r="L864" s="65"/>
    </row>
    <row r="865" ht="15.75" customHeight="1">
      <c r="C865" s="65"/>
      <c r="D865" s="65"/>
      <c r="E865" s="65"/>
      <c r="F865" s="65"/>
      <c r="H865" s="65"/>
      <c r="J865" s="65"/>
      <c r="K865" s="65"/>
      <c r="L865" s="65"/>
    </row>
    <row r="866" ht="15.75" customHeight="1">
      <c r="C866" s="65"/>
      <c r="D866" s="65"/>
      <c r="E866" s="65"/>
      <c r="F866" s="65"/>
      <c r="H866" s="65"/>
      <c r="J866" s="65"/>
      <c r="K866" s="65"/>
      <c r="L866" s="65"/>
    </row>
    <row r="867" ht="15.75" customHeight="1">
      <c r="C867" s="65"/>
      <c r="D867" s="65"/>
      <c r="E867" s="65"/>
      <c r="F867" s="65"/>
      <c r="H867" s="65"/>
      <c r="J867" s="65"/>
      <c r="K867" s="65"/>
      <c r="L867" s="65"/>
    </row>
    <row r="868" ht="15.75" customHeight="1">
      <c r="C868" s="65"/>
      <c r="D868" s="65"/>
      <c r="E868" s="65"/>
      <c r="F868" s="65"/>
      <c r="H868" s="65"/>
      <c r="J868" s="65"/>
      <c r="K868" s="65"/>
      <c r="L868" s="65"/>
    </row>
    <row r="869" ht="15.75" customHeight="1">
      <c r="C869" s="65"/>
      <c r="D869" s="65"/>
      <c r="E869" s="65"/>
      <c r="F869" s="65"/>
      <c r="H869" s="65"/>
      <c r="J869" s="65"/>
      <c r="K869" s="65"/>
      <c r="L869" s="65"/>
    </row>
    <row r="870" ht="15.75" customHeight="1">
      <c r="C870" s="65"/>
      <c r="D870" s="65"/>
      <c r="E870" s="65"/>
      <c r="F870" s="65"/>
      <c r="H870" s="65"/>
      <c r="J870" s="65"/>
      <c r="K870" s="65"/>
      <c r="L870" s="65"/>
    </row>
    <row r="871" ht="15.75" customHeight="1">
      <c r="C871" s="65"/>
      <c r="D871" s="65"/>
      <c r="E871" s="65"/>
      <c r="F871" s="65"/>
      <c r="H871" s="65"/>
      <c r="J871" s="65"/>
      <c r="K871" s="65"/>
      <c r="L871" s="65"/>
    </row>
    <row r="872" ht="15.75" customHeight="1">
      <c r="C872" s="65"/>
      <c r="D872" s="65"/>
      <c r="E872" s="65"/>
      <c r="F872" s="65"/>
      <c r="H872" s="65"/>
      <c r="J872" s="65"/>
      <c r="K872" s="65"/>
      <c r="L872" s="65"/>
    </row>
    <row r="873" ht="15.75" customHeight="1">
      <c r="C873" s="65"/>
      <c r="D873" s="65"/>
      <c r="E873" s="65"/>
      <c r="F873" s="65"/>
      <c r="H873" s="65"/>
      <c r="J873" s="65"/>
      <c r="K873" s="65"/>
      <c r="L873" s="65"/>
    </row>
    <row r="874" ht="15.75" customHeight="1">
      <c r="C874" s="65"/>
      <c r="D874" s="65"/>
      <c r="E874" s="65"/>
      <c r="F874" s="65"/>
      <c r="H874" s="65"/>
      <c r="J874" s="65"/>
      <c r="K874" s="65"/>
      <c r="L874" s="65"/>
    </row>
    <row r="875" ht="15.75" customHeight="1">
      <c r="C875" s="65"/>
      <c r="D875" s="65"/>
      <c r="E875" s="65"/>
      <c r="F875" s="65"/>
      <c r="H875" s="65"/>
      <c r="J875" s="65"/>
      <c r="K875" s="65"/>
      <c r="L875" s="65"/>
    </row>
    <row r="876" ht="15.75" customHeight="1">
      <c r="C876" s="65"/>
      <c r="D876" s="65"/>
      <c r="E876" s="65"/>
      <c r="F876" s="65"/>
      <c r="H876" s="65"/>
      <c r="J876" s="65"/>
      <c r="K876" s="65"/>
      <c r="L876" s="65"/>
    </row>
    <row r="877" ht="15.75" customHeight="1">
      <c r="C877" s="65"/>
      <c r="D877" s="65"/>
      <c r="E877" s="65"/>
      <c r="F877" s="65"/>
      <c r="H877" s="65"/>
      <c r="J877" s="65"/>
      <c r="K877" s="65"/>
      <c r="L877" s="65"/>
    </row>
    <row r="878" ht="15.75" customHeight="1">
      <c r="C878" s="65"/>
      <c r="D878" s="65"/>
      <c r="E878" s="65"/>
      <c r="F878" s="65"/>
      <c r="H878" s="65"/>
      <c r="J878" s="65"/>
      <c r="K878" s="65"/>
      <c r="L878" s="65"/>
    </row>
    <row r="879" ht="15.75" customHeight="1">
      <c r="C879" s="65"/>
      <c r="D879" s="65"/>
      <c r="E879" s="65"/>
      <c r="F879" s="65"/>
      <c r="H879" s="65"/>
      <c r="J879" s="65"/>
      <c r="K879" s="65"/>
      <c r="L879" s="65"/>
    </row>
    <row r="880" ht="15.75" customHeight="1">
      <c r="C880" s="65"/>
      <c r="D880" s="65"/>
      <c r="E880" s="65"/>
      <c r="F880" s="65"/>
      <c r="H880" s="65"/>
      <c r="J880" s="65"/>
      <c r="K880" s="65"/>
      <c r="L880" s="65"/>
    </row>
    <row r="881" ht="15.75" customHeight="1">
      <c r="C881" s="65"/>
      <c r="D881" s="65"/>
      <c r="E881" s="65"/>
      <c r="F881" s="65"/>
      <c r="H881" s="65"/>
      <c r="J881" s="65"/>
      <c r="K881" s="65"/>
      <c r="L881" s="65"/>
    </row>
    <row r="882" ht="15.75" customHeight="1">
      <c r="C882" s="65"/>
      <c r="D882" s="65"/>
      <c r="E882" s="65"/>
      <c r="F882" s="65"/>
      <c r="H882" s="65"/>
      <c r="J882" s="65"/>
      <c r="K882" s="65"/>
      <c r="L882" s="65"/>
    </row>
    <row r="883" ht="15.75" customHeight="1">
      <c r="C883" s="65"/>
      <c r="D883" s="65"/>
      <c r="E883" s="65"/>
      <c r="F883" s="65"/>
      <c r="H883" s="65"/>
      <c r="J883" s="65"/>
      <c r="K883" s="65"/>
      <c r="L883" s="65"/>
    </row>
    <row r="884" ht="15.75" customHeight="1">
      <c r="C884" s="65"/>
      <c r="D884" s="65"/>
      <c r="E884" s="65"/>
      <c r="F884" s="65"/>
      <c r="H884" s="65"/>
      <c r="J884" s="65"/>
      <c r="K884" s="65"/>
      <c r="L884" s="65"/>
    </row>
    <row r="885" ht="15.75" customHeight="1">
      <c r="C885" s="65"/>
      <c r="D885" s="65"/>
      <c r="E885" s="65"/>
      <c r="F885" s="65"/>
      <c r="H885" s="65"/>
      <c r="J885" s="65"/>
      <c r="K885" s="65"/>
      <c r="L885" s="65"/>
    </row>
    <row r="886" ht="15.75" customHeight="1">
      <c r="C886" s="65"/>
      <c r="D886" s="65"/>
      <c r="E886" s="65"/>
      <c r="F886" s="65"/>
      <c r="H886" s="65"/>
      <c r="J886" s="65"/>
      <c r="K886" s="65"/>
      <c r="L886" s="65"/>
    </row>
    <row r="887" ht="15.75" customHeight="1">
      <c r="C887" s="65"/>
      <c r="D887" s="65"/>
      <c r="E887" s="65"/>
      <c r="F887" s="65"/>
      <c r="H887" s="65"/>
      <c r="J887" s="65"/>
      <c r="K887" s="65"/>
      <c r="L887" s="65"/>
    </row>
    <row r="888" ht="15.75" customHeight="1">
      <c r="C888" s="65"/>
      <c r="D888" s="65"/>
      <c r="E888" s="65"/>
      <c r="F888" s="65"/>
      <c r="H888" s="65"/>
      <c r="J888" s="65"/>
      <c r="K888" s="65"/>
      <c r="L888" s="65"/>
    </row>
    <row r="889" ht="15.75" customHeight="1">
      <c r="C889" s="65"/>
      <c r="D889" s="65"/>
      <c r="E889" s="65"/>
      <c r="F889" s="65"/>
      <c r="H889" s="65"/>
      <c r="J889" s="65"/>
      <c r="K889" s="65"/>
      <c r="L889" s="65"/>
    </row>
    <row r="890" ht="15.75" customHeight="1">
      <c r="C890" s="65"/>
      <c r="D890" s="65"/>
      <c r="E890" s="65"/>
      <c r="F890" s="65"/>
      <c r="H890" s="65"/>
      <c r="J890" s="65"/>
      <c r="K890" s="65"/>
      <c r="L890" s="65"/>
    </row>
    <row r="891" ht="15.75" customHeight="1">
      <c r="C891" s="65"/>
      <c r="D891" s="65"/>
      <c r="E891" s="65"/>
      <c r="F891" s="65"/>
      <c r="H891" s="65"/>
      <c r="J891" s="65"/>
      <c r="K891" s="65"/>
      <c r="L891" s="65"/>
    </row>
    <row r="892" ht="15.75" customHeight="1">
      <c r="C892" s="65"/>
      <c r="D892" s="65"/>
      <c r="E892" s="65"/>
      <c r="F892" s="65"/>
      <c r="H892" s="65"/>
      <c r="J892" s="65"/>
      <c r="K892" s="65"/>
      <c r="L892" s="65"/>
    </row>
    <row r="893" ht="15.75" customHeight="1">
      <c r="C893" s="65"/>
      <c r="D893" s="65"/>
      <c r="E893" s="65"/>
      <c r="F893" s="65"/>
      <c r="H893" s="65"/>
      <c r="J893" s="65"/>
      <c r="K893" s="65"/>
      <c r="L893" s="65"/>
    </row>
    <row r="894" ht="15.75" customHeight="1">
      <c r="C894" s="65"/>
      <c r="D894" s="65"/>
      <c r="E894" s="65"/>
      <c r="F894" s="65"/>
      <c r="H894" s="65"/>
      <c r="J894" s="65"/>
      <c r="K894" s="65"/>
      <c r="L894" s="65"/>
    </row>
    <row r="895" ht="15.75" customHeight="1">
      <c r="C895" s="65"/>
      <c r="D895" s="65"/>
      <c r="E895" s="65"/>
      <c r="F895" s="65"/>
      <c r="H895" s="65"/>
      <c r="J895" s="65"/>
      <c r="K895" s="65"/>
      <c r="L895" s="65"/>
    </row>
    <row r="896" ht="15.75" customHeight="1">
      <c r="C896" s="65"/>
      <c r="D896" s="65"/>
      <c r="E896" s="65"/>
      <c r="F896" s="65"/>
      <c r="H896" s="65"/>
      <c r="J896" s="65"/>
      <c r="K896" s="65"/>
      <c r="L896" s="65"/>
    </row>
    <row r="897" ht="15.75" customHeight="1">
      <c r="C897" s="65"/>
      <c r="D897" s="65"/>
      <c r="E897" s="65"/>
      <c r="F897" s="65"/>
      <c r="H897" s="65"/>
      <c r="J897" s="65"/>
      <c r="K897" s="65"/>
      <c r="L897" s="65"/>
    </row>
    <row r="898" ht="15.75" customHeight="1">
      <c r="C898" s="65"/>
      <c r="D898" s="65"/>
      <c r="E898" s="65"/>
      <c r="F898" s="65"/>
      <c r="H898" s="65"/>
      <c r="J898" s="65"/>
      <c r="K898" s="65"/>
      <c r="L898" s="65"/>
    </row>
    <row r="899" ht="15.75" customHeight="1">
      <c r="C899" s="65"/>
      <c r="D899" s="65"/>
      <c r="E899" s="65"/>
      <c r="F899" s="65"/>
      <c r="H899" s="65"/>
      <c r="J899" s="65"/>
      <c r="K899" s="65"/>
      <c r="L899" s="65"/>
    </row>
    <row r="900" ht="15.75" customHeight="1">
      <c r="C900" s="65"/>
      <c r="D900" s="65"/>
      <c r="E900" s="65"/>
      <c r="F900" s="65"/>
      <c r="H900" s="65"/>
      <c r="J900" s="65"/>
      <c r="K900" s="65"/>
      <c r="L900" s="65"/>
    </row>
    <row r="901" ht="15.75" customHeight="1">
      <c r="C901" s="65"/>
      <c r="D901" s="65"/>
      <c r="E901" s="65"/>
      <c r="F901" s="65"/>
      <c r="H901" s="65"/>
      <c r="J901" s="65"/>
      <c r="K901" s="65"/>
      <c r="L901" s="65"/>
    </row>
    <row r="902" ht="15.75" customHeight="1">
      <c r="C902" s="65"/>
      <c r="D902" s="65"/>
      <c r="E902" s="65"/>
      <c r="F902" s="65"/>
      <c r="H902" s="65"/>
      <c r="J902" s="65"/>
      <c r="K902" s="65"/>
      <c r="L902" s="65"/>
    </row>
    <row r="903" ht="15.75" customHeight="1">
      <c r="C903" s="65"/>
      <c r="D903" s="65"/>
      <c r="E903" s="65"/>
      <c r="F903" s="65"/>
      <c r="H903" s="65"/>
      <c r="J903" s="65"/>
      <c r="K903" s="65"/>
      <c r="L903" s="65"/>
    </row>
    <row r="904" ht="15.75" customHeight="1">
      <c r="C904" s="65"/>
      <c r="D904" s="65"/>
      <c r="E904" s="65"/>
      <c r="F904" s="65"/>
      <c r="H904" s="65"/>
      <c r="J904" s="65"/>
      <c r="K904" s="65"/>
      <c r="L904" s="65"/>
    </row>
    <row r="905" ht="15.75" customHeight="1">
      <c r="C905" s="65"/>
      <c r="D905" s="65"/>
      <c r="E905" s="65"/>
      <c r="F905" s="65"/>
      <c r="H905" s="65"/>
      <c r="J905" s="65"/>
      <c r="K905" s="65"/>
      <c r="L905" s="65"/>
    </row>
    <row r="906" ht="15.75" customHeight="1">
      <c r="C906" s="65"/>
      <c r="D906" s="65"/>
      <c r="E906" s="65"/>
      <c r="F906" s="65"/>
      <c r="H906" s="65"/>
      <c r="J906" s="65"/>
      <c r="K906" s="65"/>
      <c r="L906" s="65"/>
    </row>
    <row r="907" ht="15.75" customHeight="1">
      <c r="C907" s="65"/>
      <c r="D907" s="65"/>
      <c r="E907" s="65"/>
      <c r="F907" s="65"/>
      <c r="H907" s="65"/>
      <c r="J907" s="65"/>
      <c r="K907" s="65"/>
      <c r="L907" s="65"/>
    </row>
    <row r="908" ht="15.75" customHeight="1">
      <c r="C908" s="65"/>
      <c r="D908" s="65"/>
      <c r="E908" s="65"/>
      <c r="F908" s="65"/>
      <c r="H908" s="65"/>
      <c r="J908" s="65"/>
      <c r="K908" s="65"/>
      <c r="L908" s="65"/>
    </row>
    <row r="909" ht="15.75" customHeight="1">
      <c r="C909" s="65"/>
      <c r="D909" s="65"/>
      <c r="E909" s="65"/>
      <c r="F909" s="65"/>
      <c r="H909" s="65"/>
      <c r="J909" s="65"/>
      <c r="K909" s="65"/>
      <c r="L909" s="65"/>
    </row>
    <row r="910" ht="15.75" customHeight="1">
      <c r="C910" s="65"/>
      <c r="D910" s="65"/>
      <c r="E910" s="65"/>
      <c r="F910" s="65"/>
      <c r="H910" s="65"/>
      <c r="J910" s="65"/>
      <c r="K910" s="65"/>
      <c r="L910" s="65"/>
    </row>
    <row r="911" ht="15.75" customHeight="1">
      <c r="C911" s="65"/>
      <c r="D911" s="65"/>
      <c r="E911" s="65"/>
      <c r="F911" s="65"/>
      <c r="H911" s="65"/>
      <c r="J911" s="65"/>
      <c r="K911" s="65"/>
      <c r="L911" s="65"/>
    </row>
    <row r="912" ht="15.75" customHeight="1">
      <c r="C912" s="65"/>
      <c r="D912" s="65"/>
      <c r="E912" s="65"/>
      <c r="F912" s="65"/>
      <c r="H912" s="65"/>
      <c r="J912" s="65"/>
      <c r="K912" s="65"/>
      <c r="L912" s="65"/>
    </row>
    <row r="913" ht="15.75" customHeight="1">
      <c r="C913" s="65"/>
      <c r="D913" s="65"/>
      <c r="E913" s="65"/>
      <c r="F913" s="65"/>
      <c r="H913" s="65"/>
      <c r="J913" s="65"/>
      <c r="K913" s="65"/>
      <c r="L913" s="65"/>
    </row>
    <row r="914" ht="15.75" customHeight="1">
      <c r="C914" s="65"/>
      <c r="D914" s="65"/>
      <c r="E914" s="65"/>
      <c r="F914" s="65"/>
      <c r="H914" s="65"/>
      <c r="J914" s="65"/>
      <c r="K914" s="65"/>
      <c r="L914" s="65"/>
    </row>
    <row r="915" ht="15.75" customHeight="1">
      <c r="C915" s="65"/>
      <c r="D915" s="65"/>
      <c r="E915" s="65"/>
      <c r="F915" s="65"/>
      <c r="H915" s="65"/>
      <c r="J915" s="65"/>
      <c r="K915" s="65"/>
      <c r="L915" s="65"/>
    </row>
    <row r="916" ht="15.75" customHeight="1">
      <c r="C916" s="65"/>
      <c r="D916" s="65"/>
      <c r="E916" s="65"/>
      <c r="F916" s="65"/>
      <c r="H916" s="65"/>
      <c r="J916" s="65"/>
      <c r="K916" s="65"/>
      <c r="L916" s="65"/>
    </row>
    <row r="917" ht="15.75" customHeight="1">
      <c r="C917" s="65"/>
      <c r="D917" s="65"/>
      <c r="E917" s="65"/>
      <c r="F917" s="65"/>
      <c r="H917" s="65"/>
      <c r="J917" s="65"/>
      <c r="K917" s="65"/>
      <c r="L917" s="65"/>
    </row>
    <row r="918" ht="15.75" customHeight="1">
      <c r="C918" s="65"/>
      <c r="D918" s="65"/>
      <c r="E918" s="65"/>
      <c r="F918" s="65"/>
      <c r="H918" s="65"/>
      <c r="J918" s="65"/>
      <c r="K918" s="65"/>
      <c r="L918" s="65"/>
    </row>
    <row r="919" ht="15.75" customHeight="1">
      <c r="C919" s="65"/>
      <c r="D919" s="65"/>
      <c r="E919" s="65"/>
      <c r="F919" s="65"/>
      <c r="H919" s="65"/>
      <c r="J919" s="65"/>
      <c r="K919" s="65"/>
      <c r="L919" s="65"/>
    </row>
    <row r="920" ht="15.75" customHeight="1">
      <c r="C920" s="65"/>
      <c r="D920" s="65"/>
      <c r="E920" s="65"/>
      <c r="F920" s="65"/>
      <c r="H920" s="65"/>
      <c r="J920" s="65"/>
      <c r="K920" s="65"/>
      <c r="L920" s="65"/>
    </row>
    <row r="921" ht="15.75" customHeight="1">
      <c r="C921" s="65"/>
      <c r="D921" s="65"/>
      <c r="E921" s="65"/>
      <c r="F921" s="65"/>
      <c r="H921" s="65"/>
      <c r="J921" s="65"/>
      <c r="K921" s="65"/>
      <c r="L921" s="65"/>
    </row>
    <row r="922" ht="15.75" customHeight="1">
      <c r="C922" s="65"/>
      <c r="D922" s="65"/>
      <c r="E922" s="65"/>
      <c r="F922" s="65"/>
      <c r="H922" s="65"/>
      <c r="J922" s="65"/>
      <c r="K922" s="65"/>
      <c r="L922" s="65"/>
    </row>
    <row r="923" ht="15.75" customHeight="1">
      <c r="C923" s="65"/>
      <c r="D923" s="65"/>
      <c r="E923" s="65"/>
      <c r="F923" s="65"/>
      <c r="H923" s="65"/>
      <c r="J923" s="65"/>
      <c r="K923" s="65"/>
      <c r="L923" s="65"/>
    </row>
    <row r="924" ht="15.75" customHeight="1">
      <c r="C924" s="65"/>
      <c r="D924" s="65"/>
      <c r="E924" s="65"/>
      <c r="F924" s="65"/>
      <c r="H924" s="65"/>
      <c r="J924" s="65"/>
      <c r="K924" s="65"/>
      <c r="L924" s="65"/>
    </row>
    <row r="925" ht="15.75" customHeight="1">
      <c r="C925" s="65"/>
      <c r="D925" s="65"/>
      <c r="E925" s="65"/>
      <c r="F925" s="65"/>
      <c r="H925" s="65"/>
      <c r="J925" s="65"/>
      <c r="K925" s="65"/>
      <c r="L925" s="65"/>
    </row>
    <row r="926" ht="15.75" customHeight="1">
      <c r="C926" s="65"/>
      <c r="D926" s="65"/>
      <c r="E926" s="65"/>
      <c r="F926" s="65"/>
      <c r="H926" s="65"/>
      <c r="J926" s="65"/>
      <c r="K926" s="65"/>
      <c r="L926" s="65"/>
    </row>
    <row r="927" ht="15.75" customHeight="1">
      <c r="C927" s="65"/>
      <c r="D927" s="65"/>
      <c r="E927" s="65"/>
      <c r="F927" s="65"/>
      <c r="H927" s="65"/>
      <c r="J927" s="65"/>
      <c r="K927" s="65"/>
      <c r="L927" s="65"/>
    </row>
    <row r="928" ht="15.75" customHeight="1">
      <c r="C928" s="65"/>
      <c r="D928" s="65"/>
      <c r="E928" s="65"/>
      <c r="F928" s="65"/>
      <c r="H928" s="65"/>
      <c r="J928" s="65"/>
      <c r="K928" s="65"/>
      <c r="L928" s="65"/>
    </row>
    <row r="929" ht="15.75" customHeight="1">
      <c r="C929" s="65"/>
      <c r="D929" s="65"/>
      <c r="E929" s="65"/>
      <c r="F929" s="65"/>
      <c r="H929" s="65"/>
      <c r="J929" s="65"/>
      <c r="K929" s="65"/>
      <c r="L929" s="65"/>
    </row>
    <row r="930" ht="15.75" customHeight="1">
      <c r="C930" s="65"/>
      <c r="D930" s="65"/>
      <c r="E930" s="65"/>
      <c r="F930" s="65"/>
      <c r="H930" s="65"/>
      <c r="J930" s="65"/>
      <c r="K930" s="65"/>
      <c r="L930" s="65"/>
    </row>
    <row r="931" ht="15.75" customHeight="1">
      <c r="C931" s="65"/>
      <c r="D931" s="65"/>
      <c r="E931" s="65"/>
      <c r="F931" s="65"/>
      <c r="H931" s="65"/>
      <c r="J931" s="65"/>
      <c r="K931" s="65"/>
      <c r="L931" s="65"/>
    </row>
    <row r="932" ht="15.75" customHeight="1">
      <c r="C932" s="65"/>
      <c r="D932" s="65"/>
      <c r="E932" s="65"/>
      <c r="F932" s="65"/>
      <c r="H932" s="65"/>
      <c r="J932" s="65"/>
      <c r="K932" s="65"/>
      <c r="L932" s="65"/>
    </row>
    <row r="933" ht="15.75" customHeight="1">
      <c r="C933" s="65"/>
      <c r="D933" s="65"/>
      <c r="E933" s="65"/>
      <c r="F933" s="65"/>
      <c r="H933" s="65"/>
      <c r="J933" s="65"/>
      <c r="K933" s="65"/>
      <c r="L933" s="65"/>
    </row>
    <row r="934" ht="15.75" customHeight="1">
      <c r="C934" s="65"/>
      <c r="D934" s="65"/>
      <c r="E934" s="65"/>
      <c r="F934" s="65"/>
      <c r="H934" s="65"/>
      <c r="J934" s="65"/>
      <c r="K934" s="65"/>
      <c r="L934" s="65"/>
    </row>
    <row r="935" ht="15.75" customHeight="1">
      <c r="C935" s="65"/>
      <c r="D935" s="65"/>
      <c r="E935" s="65"/>
      <c r="F935" s="65"/>
      <c r="H935" s="65"/>
      <c r="J935" s="65"/>
      <c r="K935" s="65"/>
      <c r="L935" s="65"/>
    </row>
    <row r="936" ht="15.75" customHeight="1">
      <c r="C936" s="65"/>
      <c r="D936" s="65"/>
      <c r="E936" s="65"/>
      <c r="F936" s="65"/>
      <c r="H936" s="65"/>
      <c r="J936" s="65"/>
      <c r="K936" s="65"/>
      <c r="L936" s="65"/>
    </row>
    <row r="937" ht="15.75" customHeight="1">
      <c r="C937" s="65"/>
      <c r="D937" s="65"/>
      <c r="E937" s="65"/>
      <c r="F937" s="65"/>
      <c r="H937" s="65"/>
      <c r="J937" s="65"/>
      <c r="K937" s="65"/>
      <c r="L937" s="65"/>
    </row>
    <row r="938" ht="15.75" customHeight="1">
      <c r="C938" s="65"/>
      <c r="D938" s="65"/>
      <c r="E938" s="65"/>
      <c r="F938" s="65"/>
      <c r="H938" s="65"/>
      <c r="J938" s="65"/>
      <c r="K938" s="65"/>
      <c r="L938" s="65"/>
    </row>
    <row r="939" ht="15.75" customHeight="1">
      <c r="C939" s="65"/>
      <c r="D939" s="65"/>
      <c r="E939" s="65"/>
      <c r="F939" s="65"/>
      <c r="H939" s="65"/>
      <c r="J939" s="65"/>
      <c r="K939" s="65"/>
      <c r="L939" s="65"/>
    </row>
    <row r="940" ht="15.75" customHeight="1">
      <c r="C940" s="65"/>
      <c r="D940" s="65"/>
      <c r="E940" s="65"/>
      <c r="F940" s="65"/>
      <c r="H940" s="65"/>
      <c r="J940" s="65"/>
      <c r="K940" s="65"/>
      <c r="L940" s="65"/>
    </row>
    <row r="941" ht="15.75" customHeight="1">
      <c r="C941" s="65"/>
      <c r="D941" s="65"/>
      <c r="E941" s="65"/>
      <c r="F941" s="65"/>
      <c r="H941" s="65"/>
      <c r="J941" s="65"/>
      <c r="K941" s="65"/>
      <c r="L941" s="65"/>
    </row>
    <row r="942" ht="15.75" customHeight="1">
      <c r="C942" s="65"/>
      <c r="D942" s="65"/>
      <c r="E942" s="65"/>
      <c r="F942" s="65"/>
      <c r="H942" s="65"/>
      <c r="J942" s="65"/>
      <c r="K942" s="65"/>
      <c r="L942" s="65"/>
    </row>
    <row r="943" ht="15.75" customHeight="1">
      <c r="C943" s="65"/>
      <c r="D943" s="65"/>
      <c r="E943" s="65"/>
      <c r="F943" s="65"/>
      <c r="H943" s="65"/>
      <c r="J943" s="65"/>
      <c r="K943" s="65"/>
      <c r="L943" s="65"/>
    </row>
    <row r="944" ht="15.75" customHeight="1">
      <c r="C944" s="65"/>
      <c r="D944" s="65"/>
      <c r="E944" s="65"/>
      <c r="F944" s="65"/>
      <c r="H944" s="65"/>
      <c r="J944" s="65"/>
      <c r="K944" s="65"/>
      <c r="L944" s="65"/>
    </row>
    <row r="945" ht="15.75" customHeight="1">
      <c r="C945" s="65"/>
      <c r="D945" s="65"/>
      <c r="E945" s="65"/>
      <c r="F945" s="65"/>
      <c r="H945" s="65"/>
      <c r="J945" s="65"/>
      <c r="K945" s="65"/>
      <c r="L945" s="65"/>
    </row>
    <row r="946" ht="15.75" customHeight="1">
      <c r="C946" s="65"/>
      <c r="D946" s="65"/>
      <c r="E946" s="65"/>
      <c r="F946" s="65"/>
      <c r="H946" s="65"/>
      <c r="J946" s="65"/>
      <c r="K946" s="65"/>
      <c r="L946" s="65"/>
    </row>
    <row r="947" ht="15.75" customHeight="1">
      <c r="C947" s="65"/>
      <c r="D947" s="65"/>
      <c r="E947" s="65"/>
      <c r="F947" s="65"/>
      <c r="H947" s="65"/>
      <c r="J947" s="65"/>
      <c r="K947" s="65"/>
      <c r="L947" s="65"/>
    </row>
    <row r="948" ht="15.75" customHeight="1">
      <c r="C948" s="65"/>
      <c r="D948" s="65"/>
      <c r="E948" s="65"/>
      <c r="F948" s="65"/>
      <c r="H948" s="65"/>
      <c r="J948" s="65"/>
      <c r="K948" s="65"/>
      <c r="L948" s="65"/>
    </row>
    <row r="949" ht="15.75" customHeight="1">
      <c r="C949" s="65"/>
      <c r="D949" s="65"/>
      <c r="E949" s="65"/>
      <c r="F949" s="65"/>
      <c r="H949" s="65"/>
      <c r="J949" s="65"/>
      <c r="K949" s="65"/>
      <c r="L949" s="65"/>
    </row>
    <row r="950" ht="15.75" customHeight="1">
      <c r="C950" s="65"/>
      <c r="D950" s="65"/>
      <c r="E950" s="65"/>
      <c r="F950" s="65"/>
      <c r="H950" s="65"/>
      <c r="J950" s="65"/>
      <c r="K950" s="65"/>
      <c r="L950" s="65"/>
    </row>
    <row r="951" ht="15.75" customHeight="1">
      <c r="C951" s="65"/>
      <c r="D951" s="65"/>
      <c r="E951" s="65"/>
      <c r="F951" s="65"/>
      <c r="H951" s="65"/>
      <c r="J951" s="65"/>
      <c r="K951" s="65"/>
      <c r="L951" s="65"/>
    </row>
    <row r="952" ht="15.75" customHeight="1">
      <c r="C952" s="65"/>
      <c r="D952" s="65"/>
      <c r="E952" s="65"/>
      <c r="F952" s="65"/>
      <c r="H952" s="65"/>
      <c r="J952" s="65"/>
      <c r="K952" s="65"/>
      <c r="L952" s="65"/>
    </row>
    <row r="953" ht="15.75" customHeight="1">
      <c r="C953" s="65"/>
      <c r="D953" s="65"/>
      <c r="E953" s="65"/>
      <c r="F953" s="65"/>
      <c r="H953" s="65"/>
      <c r="J953" s="65"/>
      <c r="K953" s="65"/>
      <c r="L953" s="65"/>
    </row>
    <row r="954" ht="15.75" customHeight="1">
      <c r="C954" s="65"/>
      <c r="D954" s="65"/>
      <c r="E954" s="65"/>
      <c r="F954" s="65"/>
      <c r="H954" s="65"/>
      <c r="J954" s="65"/>
      <c r="K954" s="65"/>
      <c r="L954" s="65"/>
    </row>
    <row r="955" ht="15.75" customHeight="1">
      <c r="C955" s="65"/>
      <c r="D955" s="65"/>
      <c r="E955" s="65"/>
      <c r="F955" s="65"/>
      <c r="H955" s="65"/>
      <c r="J955" s="65"/>
      <c r="K955" s="65"/>
      <c r="L955" s="65"/>
    </row>
    <row r="956" ht="15.75" customHeight="1">
      <c r="C956" s="65"/>
      <c r="D956" s="65"/>
      <c r="E956" s="65"/>
      <c r="F956" s="65"/>
      <c r="H956" s="65"/>
      <c r="J956" s="65"/>
      <c r="K956" s="65"/>
      <c r="L956" s="65"/>
    </row>
    <row r="957" ht="15.75" customHeight="1">
      <c r="C957" s="65"/>
      <c r="D957" s="65"/>
      <c r="E957" s="65"/>
      <c r="F957" s="65"/>
      <c r="H957" s="65"/>
      <c r="J957" s="65"/>
      <c r="K957" s="65"/>
      <c r="L957" s="65"/>
    </row>
    <row r="958" ht="15.75" customHeight="1">
      <c r="C958" s="65"/>
      <c r="D958" s="65"/>
      <c r="E958" s="65"/>
      <c r="F958" s="65"/>
      <c r="H958" s="65"/>
      <c r="J958" s="65"/>
      <c r="K958" s="65"/>
      <c r="L958" s="65"/>
    </row>
    <row r="959" ht="15.75" customHeight="1">
      <c r="C959" s="65"/>
      <c r="D959" s="65"/>
      <c r="E959" s="65"/>
      <c r="F959" s="65"/>
      <c r="H959" s="65"/>
      <c r="J959" s="65"/>
      <c r="K959" s="65"/>
      <c r="L959" s="65"/>
    </row>
    <row r="960" ht="15.75" customHeight="1">
      <c r="C960" s="65"/>
      <c r="D960" s="65"/>
      <c r="E960" s="65"/>
      <c r="F960" s="65"/>
      <c r="H960" s="65"/>
      <c r="J960" s="65"/>
      <c r="K960" s="65"/>
      <c r="L960" s="65"/>
    </row>
    <row r="961" ht="15.75" customHeight="1">
      <c r="C961" s="65"/>
      <c r="D961" s="65"/>
      <c r="E961" s="65"/>
      <c r="F961" s="65"/>
      <c r="H961" s="65"/>
      <c r="J961" s="65"/>
      <c r="K961" s="65"/>
      <c r="L961" s="65"/>
    </row>
    <row r="962" ht="15.75" customHeight="1">
      <c r="C962" s="65"/>
      <c r="D962" s="65"/>
      <c r="E962" s="65"/>
      <c r="F962" s="65"/>
      <c r="H962" s="65"/>
      <c r="J962" s="65"/>
      <c r="K962" s="65"/>
      <c r="L962" s="65"/>
    </row>
    <row r="963" ht="15.75" customHeight="1">
      <c r="C963" s="65"/>
      <c r="D963" s="65"/>
      <c r="E963" s="65"/>
      <c r="F963" s="65"/>
      <c r="H963" s="65"/>
      <c r="J963" s="65"/>
      <c r="K963" s="65"/>
      <c r="L963" s="65"/>
    </row>
    <row r="964" ht="15.75" customHeight="1">
      <c r="C964" s="65"/>
      <c r="D964" s="65"/>
      <c r="E964" s="65"/>
      <c r="F964" s="65"/>
      <c r="H964" s="65"/>
      <c r="J964" s="65"/>
      <c r="K964" s="65"/>
      <c r="L964" s="65"/>
    </row>
    <row r="965" ht="15.75" customHeight="1">
      <c r="C965" s="65"/>
      <c r="D965" s="65"/>
      <c r="E965" s="65"/>
      <c r="F965" s="65"/>
      <c r="H965" s="65"/>
      <c r="J965" s="65"/>
      <c r="K965" s="65"/>
      <c r="L965" s="65"/>
    </row>
    <row r="966" ht="15.75" customHeight="1">
      <c r="C966" s="65"/>
      <c r="D966" s="65"/>
      <c r="E966" s="65"/>
      <c r="F966" s="65"/>
      <c r="H966" s="65"/>
      <c r="J966" s="65"/>
      <c r="K966" s="65"/>
      <c r="L966" s="65"/>
    </row>
    <row r="967" ht="15.75" customHeight="1">
      <c r="C967" s="65"/>
      <c r="D967" s="65"/>
      <c r="E967" s="65"/>
      <c r="F967" s="65"/>
      <c r="H967" s="65"/>
      <c r="J967" s="65"/>
      <c r="K967" s="65"/>
      <c r="L967" s="65"/>
    </row>
    <row r="968" ht="15.75" customHeight="1">
      <c r="C968" s="65"/>
      <c r="D968" s="65"/>
      <c r="E968" s="65"/>
      <c r="F968" s="65"/>
      <c r="H968" s="65"/>
      <c r="J968" s="65"/>
      <c r="K968" s="65"/>
      <c r="L968" s="65"/>
    </row>
    <row r="969" ht="15.75" customHeight="1">
      <c r="C969" s="65"/>
      <c r="D969" s="65"/>
      <c r="E969" s="65"/>
      <c r="F969" s="65"/>
      <c r="H969" s="65"/>
      <c r="J969" s="65"/>
      <c r="K969" s="65"/>
      <c r="L969" s="65"/>
    </row>
    <row r="970" ht="15.75" customHeight="1">
      <c r="C970" s="65"/>
      <c r="D970" s="65"/>
      <c r="E970" s="65"/>
      <c r="F970" s="65"/>
      <c r="H970" s="65"/>
      <c r="J970" s="65"/>
      <c r="K970" s="65"/>
      <c r="L970" s="65"/>
    </row>
    <row r="971" ht="15.75" customHeight="1">
      <c r="C971" s="65"/>
      <c r="D971" s="65"/>
      <c r="E971" s="65"/>
      <c r="F971" s="65"/>
      <c r="H971" s="65"/>
      <c r="J971" s="65"/>
      <c r="K971" s="65"/>
      <c r="L971" s="65"/>
    </row>
    <row r="972" ht="15.75" customHeight="1">
      <c r="C972" s="65"/>
      <c r="D972" s="65"/>
      <c r="E972" s="65"/>
      <c r="F972" s="65"/>
      <c r="H972" s="65"/>
      <c r="J972" s="65"/>
      <c r="K972" s="65"/>
      <c r="L972" s="65"/>
    </row>
    <row r="973" ht="15.75" customHeight="1">
      <c r="C973" s="65"/>
      <c r="D973" s="65"/>
      <c r="E973" s="65"/>
      <c r="F973" s="65"/>
      <c r="H973" s="65"/>
      <c r="J973" s="65"/>
      <c r="K973" s="65"/>
      <c r="L973" s="65"/>
    </row>
    <row r="974" ht="15.75" customHeight="1">
      <c r="C974" s="65"/>
      <c r="D974" s="65"/>
      <c r="E974" s="65"/>
      <c r="F974" s="65"/>
      <c r="H974" s="65"/>
      <c r="J974" s="65"/>
      <c r="K974" s="65"/>
      <c r="L974" s="65"/>
    </row>
    <row r="975" ht="15.75" customHeight="1">
      <c r="C975" s="65"/>
      <c r="D975" s="65"/>
      <c r="E975" s="65"/>
      <c r="F975" s="65"/>
      <c r="H975" s="65"/>
      <c r="J975" s="65"/>
      <c r="K975" s="65"/>
      <c r="L975" s="65"/>
    </row>
    <row r="976" ht="15.75" customHeight="1">
      <c r="C976" s="65"/>
      <c r="D976" s="65"/>
      <c r="E976" s="65"/>
      <c r="F976" s="65"/>
      <c r="H976" s="65"/>
      <c r="J976" s="65"/>
      <c r="K976" s="65"/>
      <c r="L976" s="65"/>
    </row>
    <row r="977" ht="15.75" customHeight="1">
      <c r="C977" s="65"/>
      <c r="D977" s="65"/>
      <c r="E977" s="65"/>
      <c r="F977" s="65"/>
      <c r="H977" s="65"/>
      <c r="J977" s="65"/>
      <c r="K977" s="65"/>
      <c r="L977" s="65"/>
    </row>
    <row r="978" ht="15.75" customHeight="1">
      <c r="C978" s="65"/>
      <c r="D978" s="65"/>
      <c r="E978" s="65"/>
      <c r="F978" s="65"/>
      <c r="H978" s="65"/>
      <c r="J978" s="65"/>
      <c r="K978" s="65"/>
      <c r="L978" s="65"/>
    </row>
    <row r="979" ht="15.75" customHeight="1">
      <c r="C979" s="65"/>
      <c r="D979" s="65"/>
      <c r="E979" s="65"/>
      <c r="F979" s="65"/>
      <c r="H979" s="65"/>
      <c r="J979" s="65"/>
      <c r="K979" s="65"/>
      <c r="L979" s="65"/>
    </row>
    <row r="980" ht="15.75" customHeight="1">
      <c r="C980" s="65"/>
      <c r="D980" s="65"/>
      <c r="E980" s="65"/>
      <c r="F980" s="65"/>
      <c r="H980" s="65"/>
      <c r="J980" s="65"/>
      <c r="K980" s="65"/>
      <c r="L980" s="65"/>
    </row>
    <row r="981" ht="15.75" customHeight="1">
      <c r="C981" s="65"/>
      <c r="D981" s="65"/>
      <c r="E981" s="65"/>
      <c r="F981" s="65"/>
      <c r="H981" s="65"/>
      <c r="J981" s="65"/>
      <c r="K981" s="65"/>
      <c r="L981" s="65"/>
    </row>
    <row r="982" ht="15.75" customHeight="1">
      <c r="C982" s="65"/>
      <c r="D982" s="65"/>
      <c r="E982" s="65"/>
      <c r="F982" s="65"/>
      <c r="H982" s="65"/>
      <c r="J982" s="65"/>
      <c r="K982" s="65"/>
      <c r="L982" s="65"/>
    </row>
    <row r="983" ht="15.75" customHeight="1">
      <c r="C983" s="65"/>
      <c r="D983" s="65"/>
      <c r="E983" s="65"/>
      <c r="F983" s="65"/>
      <c r="H983" s="65"/>
      <c r="J983" s="65"/>
      <c r="K983" s="65"/>
      <c r="L983" s="65"/>
    </row>
    <row r="984" ht="15.75" customHeight="1">
      <c r="C984" s="65"/>
      <c r="D984" s="65"/>
      <c r="E984" s="65"/>
      <c r="F984" s="65"/>
      <c r="H984" s="65"/>
      <c r="J984" s="65"/>
      <c r="K984" s="65"/>
      <c r="L984" s="65"/>
    </row>
    <row r="985" ht="15.75" customHeight="1">
      <c r="C985" s="65"/>
      <c r="D985" s="65"/>
      <c r="E985" s="65"/>
      <c r="F985" s="65"/>
      <c r="H985" s="65"/>
      <c r="J985" s="65"/>
      <c r="K985" s="65"/>
      <c r="L985" s="65"/>
    </row>
    <row r="986" ht="15.75" customHeight="1">
      <c r="C986" s="65"/>
      <c r="D986" s="65"/>
      <c r="E986" s="65"/>
      <c r="F986" s="65"/>
      <c r="H986" s="65"/>
      <c r="J986" s="65"/>
      <c r="K986" s="65"/>
      <c r="L986" s="65"/>
    </row>
    <row r="987" ht="15.75" customHeight="1">
      <c r="C987" s="65"/>
      <c r="D987" s="65"/>
      <c r="E987" s="65"/>
      <c r="F987" s="65"/>
      <c r="H987" s="65"/>
      <c r="J987" s="65"/>
      <c r="K987" s="65"/>
      <c r="L987" s="65"/>
    </row>
    <row r="988" ht="15.75" customHeight="1">
      <c r="C988" s="65"/>
      <c r="D988" s="65"/>
      <c r="E988" s="65"/>
      <c r="F988" s="65"/>
      <c r="H988" s="65"/>
      <c r="J988" s="65"/>
      <c r="K988" s="65"/>
      <c r="L988" s="65"/>
    </row>
    <row r="989" ht="15.75" customHeight="1">
      <c r="C989" s="65"/>
      <c r="D989" s="65"/>
      <c r="E989" s="65"/>
      <c r="F989" s="65"/>
      <c r="H989" s="65"/>
      <c r="J989" s="65"/>
      <c r="K989" s="65"/>
      <c r="L989" s="65"/>
    </row>
    <row r="990" ht="15.75" customHeight="1">
      <c r="C990" s="65"/>
      <c r="D990" s="65"/>
      <c r="E990" s="65"/>
      <c r="F990" s="65"/>
      <c r="H990" s="65"/>
      <c r="J990" s="65"/>
      <c r="K990" s="65"/>
      <c r="L990" s="65"/>
    </row>
    <row r="991" ht="15.75" customHeight="1">
      <c r="C991" s="65"/>
      <c r="D991" s="65"/>
      <c r="E991" s="65"/>
      <c r="F991" s="65"/>
      <c r="H991" s="65"/>
      <c r="J991" s="65"/>
      <c r="K991" s="65"/>
      <c r="L991" s="65"/>
    </row>
    <row r="992" ht="15.75" customHeight="1">
      <c r="C992" s="65"/>
      <c r="D992" s="65"/>
      <c r="E992" s="65"/>
      <c r="F992" s="65"/>
      <c r="H992" s="65"/>
      <c r="J992" s="65"/>
      <c r="K992" s="65"/>
      <c r="L992" s="65"/>
    </row>
    <row r="993" ht="15.75" customHeight="1">
      <c r="C993" s="65"/>
      <c r="D993" s="65"/>
      <c r="E993" s="65"/>
      <c r="F993" s="65"/>
      <c r="H993" s="65"/>
      <c r="J993" s="65"/>
      <c r="K993" s="65"/>
      <c r="L993" s="65"/>
    </row>
    <row r="994" ht="15.75" customHeight="1">
      <c r="C994" s="65"/>
      <c r="D994" s="65"/>
      <c r="E994" s="65"/>
      <c r="F994" s="65"/>
      <c r="H994" s="65"/>
      <c r="J994" s="65"/>
      <c r="K994" s="65"/>
      <c r="L994" s="65"/>
    </row>
    <row r="995" ht="15.75" customHeight="1">
      <c r="C995" s="65"/>
      <c r="D995" s="65"/>
      <c r="E995" s="65"/>
      <c r="F995" s="65"/>
      <c r="H995" s="65"/>
      <c r="J995" s="65"/>
      <c r="K995" s="65"/>
      <c r="L995" s="65"/>
    </row>
    <row r="996" ht="15.75" customHeight="1">
      <c r="C996" s="65"/>
      <c r="D996" s="65"/>
      <c r="E996" s="65"/>
      <c r="F996" s="65"/>
      <c r="H996" s="65"/>
      <c r="J996" s="65"/>
      <c r="K996" s="65"/>
      <c r="L996" s="65"/>
    </row>
    <row r="997" ht="15.75" customHeight="1">
      <c r="C997" s="65"/>
      <c r="D997" s="65"/>
      <c r="E997" s="65"/>
      <c r="F997" s="65"/>
      <c r="H997" s="65"/>
      <c r="J997" s="65"/>
      <c r="K997" s="65"/>
      <c r="L997" s="65"/>
    </row>
    <row r="998" ht="15.75" customHeight="1">
      <c r="C998" s="65"/>
      <c r="D998" s="65"/>
      <c r="E998" s="65"/>
      <c r="F998" s="65"/>
      <c r="H998" s="65"/>
      <c r="J998" s="65"/>
      <c r="K998" s="65"/>
      <c r="L998" s="65"/>
    </row>
    <row r="999" ht="15.75" customHeight="1">
      <c r="C999" s="65"/>
      <c r="D999" s="65"/>
      <c r="E999" s="65"/>
      <c r="F999" s="65"/>
      <c r="H999" s="65"/>
      <c r="J999" s="65"/>
      <c r="K999" s="65"/>
      <c r="L999" s="65"/>
    </row>
  </sheetData>
  <autoFilter ref="$A$1:$M$45"/>
  <dataValidations>
    <dataValidation type="list" allowBlank="1" sqref="K2:K999">
      <formula1>"SCRUM-1,SCRUM-193,SCRUM-189,SCRUM-208,SCRUM-204,SCRUM-203,SCRUM-215,SCRUM-207,SCRUM-206,SCRUM-205,SCRUM-55,SCRUM-196,SCRUM-98,SCRUM-93,SCRUM-91,SCRUM-90,SCRUM-9,SCRUM-100,SCRUM-99,SCRUM-248,SCRUM-247,SCRUM-245,SCRUM-244,SCRUM-243,SCRUM-242,SCRUM-239,SCRUM"&amp;"-240,SCRUM-252,SCRUM-251,SCRUM-115,SCRUM-118,SCRUM-117,SCRUM-116,SCRUM-10,SCRUM-123,SCRUM-122,SCRUM-121,SCRUM-120,SCRUM-119,SCRUM-11,SCRUM-113,SCRUM-112,SCRUM-110,SCRUM-109"</formula1>
    </dataValidation>
    <dataValidation type="list" allowBlank="1" sqref="L2:L999">
      <formula1>'_Lists'!$A$2:$A$43</formula1>
    </dataValidation>
    <dataValidation type="date" operator="greaterThanOrEqual" allowBlank="1" showInputMessage="1" prompt="Due Date - Enter a date (YYYY-MM-DD)" sqref="H2:H999">
      <formula1>2020-1-1</formula1>
    </dataValidation>
    <dataValidation type="list" allowBlank="1" sqref="F2:F999">
      <formula1>"Amy Tripp,Napadech,Nattapat Suwansipaisan,Nutgritta Prasomthongsuk,Thiraphat Panthong"</formula1>
    </dataValidation>
    <dataValidation type="list" allowBlank="1" sqref="D2:D999">
      <formula1>"To Do,In Progress,Done,Closed,Resolved"</formula1>
    </dataValidation>
    <dataValidation type="list" allowBlank="1" sqref="E2:E999">
      <formula1>"Highest,High,Medium,Low,Lowest"</formula1>
    </dataValidation>
    <dataValidation type="list" allowBlank="1" sqref="J2:J999">
      <formula1>"SCRUM Sprint 1,SCRUM Sprint 2,SCRUM Sprint 3,SCRUM Sprint 4"</formula1>
    </dataValidation>
    <dataValidation type="list" allowBlank="1" sqref="C2:C999">
      <formula1>"Epic,Task,Test,Subtask"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2.0"/>
    <col customWidth="1" min="2" max="2" width="45.0"/>
    <col customWidth="1" min="3" max="3" width="13.0"/>
    <col customWidth="1" min="4" max="4" width="14.0"/>
    <col customWidth="1" min="5" max="5" width="11.0"/>
    <col customWidth="1" min="6" max="6" width="25.0"/>
    <col customWidth="1" min="7" max="7" width="14.57"/>
    <col customWidth="1" min="8" max="9" width="13.0"/>
    <col customWidth="1" min="10" max="11" width="16.0"/>
    <col customWidth="1" min="12" max="12" width="26.29"/>
    <col customWidth="1" min="13" max="13" width="29.0"/>
  </cols>
  <sheetData>
    <row r="1" ht="30.0" customHeight="1">
      <c r="A1" s="17" t="s">
        <v>52</v>
      </c>
      <c r="B1" s="17" t="s">
        <v>53</v>
      </c>
      <c r="C1" s="17" t="s">
        <v>54</v>
      </c>
      <c r="D1" s="17" t="s">
        <v>38</v>
      </c>
      <c r="E1" s="17" t="s">
        <v>55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37</v>
      </c>
      <c r="K1" s="17" t="s">
        <v>60</v>
      </c>
      <c r="L1" s="17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4" t="s">
        <v>26</v>
      </c>
      <c r="B2" s="44" t="s">
        <v>27</v>
      </c>
      <c r="C2" s="45" t="s">
        <v>62</v>
      </c>
      <c r="D2" s="24" t="s">
        <v>44</v>
      </c>
      <c r="E2" s="66" t="s">
        <v>186</v>
      </c>
      <c r="F2" s="47"/>
      <c r="G2" s="47" t="s">
        <v>64</v>
      </c>
      <c r="H2" s="48" t="s">
        <v>303</v>
      </c>
      <c r="I2" s="47"/>
      <c r="J2" s="47"/>
      <c r="K2" s="47"/>
      <c r="L2" s="4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 outlineLevel="1">
      <c r="A3" s="49" t="s">
        <v>493</v>
      </c>
      <c r="B3" s="49" t="s">
        <v>494</v>
      </c>
      <c r="C3" s="50" t="s">
        <v>68</v>
      </c>
      <c r="D3" s="19" t="s">
        <v>14</v>
      </c>
      <c r="E3" s="46" t="s">
        <v>63</v>
      </c>
      <c r="F3" s="52" t="s">
        <v>70</v>
      </c>
      <c r="G3" s="52" t="s">
        <v>495</v>
      </c>
      <c r="H3" s="53" t="s">
        <v>202</v>
      </c>
      <c r="I3" s="52"/>
      <c r="J3" s="52" t="s">
        <v>39</v>
      </c>
      <c r="K3" s="52" t="s">
        <v>26</v>
      </c>
      <c r="L3" s="52" t="s">
        <v>27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customHeight="1" outlineLevel="1">
      <c r="A4" s="49" t="s">
        <v>496</v>
      </c>
      <c r="B4" s="49" t="s">
        <v>497</v>
      </c>
      <c r="C4" s="50" t="s">
        <v>68</v>
      </c>
      <c r="D4" s="19" t="s">
        <v>14</v>
      </c>
      <c r="E4" s="46" t="s">
        <v>63</v>
      </c>
      <c r="F4" s="52" t="s">
        <v>70</v>
      </c>
      <c r="G4" s="52" t="s">
        <v>64</v>
      </c>
      <c r="H4" s="53" t="s">
        <v>202</v>
      </c>
      <c r="I4" s="52"/>
      <c r="J4" s="52" t="s">
        <v>41</v>
      </c>
      <c r="K4" s="52" t="s">
        <v>26</v>
      </c>
      <c r="L4" s="52" t="s">
        <v>27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 outlineLevel="1">
      <c r="A5" s="49" t="s">
        <v>498</v>
      </c>
      <c r="B5" s="49" t="s">
        <v>499</v>
      </c>
      <c r="C5" s="50" t="s">
        <v>68</v>
      </c>
      <c r="D5" s="19" t="s">
        <v>14</v>
      </c>
      <c r="E5" s="51" t="s">
        <v>69</v>
      </c>
      <c r="F5" s="52" t="s">
        <v>70</v>
      </c>
      <c r="G5" s="52" t="s">
        <v>149</v>
      </c>
      <c r="H5" s="53" t="s">
        <v>455</v>
      </c>
      <c r="I5" s="52"/>
      <c r="J5" s="52" t="s">
        <v>41</v>
      </c>
      <c r="K5" s="52" t="s">
        <v>26</v>
      </c>
      <c r="L5" s="52" t="s">
        <v>27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customHeight="1" outlineLevel="1">
      <c r="A6" s="49" t="s">
        <v>500</v>
      </c>
      <c r="B6" s="49" t="s">
        <v>501</v>
      </c>
      <c r="C6" s="50" t="s">
        <v>68</v>
      </c>
      <c r="D6" s="19" t="s">
        <v>14</v>
      </c>
      <c r="E6" s="66" t="s">
        <v>186</v>
      </c>
      <c r="F6" s="52" t="s">
        <v>70</v>
      </c>
      <c r="G6" s="52" t="s">
        <v>64</v>
      </c>
      <c r="H6" s="53" t="s">
        <v>455</v>
      </c>
      <c r="I6" s="52"/>
      <c r="J6" s="52" t="s">
        <v>41</v>
      </c>
      <c r="K6" s="52" t="s">
        <v>26</v>
      </c>
      <c r="L6" s="52" t="s">
        <v>27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9.5" customHeight="1" outlineLevel="1">
      <c r="A7" s="49" t="s">
        <v>502</v>
      </c>
      <c r="B7" s="49" t="s">
        <v>503</v>
      </c>
      <c r="C7" s="50" t="s">
        <v>68</v>
      </c>
      <c r="D7" s="19" t="s">
        <v>14</v>
      </c>
      <c r="E7" s="66" t="s">
        <v>186</v>
      </c>
      <c r="F7" s="52" t="s">
        <v>70</v>
      </c>
      <c r="G7" s="52" t="s">
        <v>149</v>
      </c>
      <c r="H7" s="53" t="s">
        <v>128</v>
      </c>
      <c r="I7" s="52"/>
      <c r="J7" s="52" t="s">
        <v>41</v>
      </c>
      <c r="K7" s="52" t="s">
        <v>26</v>
      </c>
      <c r="L7" s="52" t="s">
        <v>27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customHeight="1" outlineLevel="1">
      <c r="A8" s="49" t="s">
        <v>504</v>
      </c>
      <c r="B8" s="49" t="s">
        <v>505</v>
      </c>
      <c r="C8" s="50" t="s">
        <v>68</v>
      </c>
      <c r="D8" s="19" t="s">
        <v>14</v>
      </c>
      <c r="E8" s="46" t="s">
        <v>63</v>
      </c>
      <c r="F8" s="52" t="s">
        <v>70</v>
      </c>
      <c r="G8" s="52" t="s">
        <v>149</v>
      </c>
      <c r="H8" s="53" t="s">
        <v>128</v>
      </c>
      <c r="I8" s="52"/>
      <c r="J8" s="52" t="s">
        <v>41</v>
      </c>
      <c r="K8" s="52" t="s">
        <v>26</v>
      </c>
      <c r="L8" s="52" t="s">
        <v>27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9.5" customHeight="1" outlineLevel="1">
      <c r="A9" s="49" t="s">
        <v>506</v>
      </c>
      <c r="B9" s="49" t="s">
        <v>507</v>
      </c>
      <c r="C9" s="50" t="s">
        <v>68</v>
      </c>
      <c r="D9" s="19" t="s">
        <v>14</v>
      </c>
      <c r="E9" s="46" t="s">
        <v>63</v>
      </c>
      <c r="F9" s="52" t="s">
        <v>70</v>
      </c>
      <c r="G9" s="52" t="s">
        <v>64</v>
      </c>
      <c r="H9" s="53" t="s">
        <v>128</v>
      </c>
      <c r="I9" s="52"/>
      <c r="J9" s="52" t="s">
        <v>41</v>
      </c>
      <c r="K9" s="52" t="s">
        <v>26</v>
      </c>
      <c r="L9" s="52" t="s">
        <v>27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9.5" customHeight="1" outlineLevel="1">
      <c r="A10" s="49" t="s">
        <v>508</v>
      </c>
      <c r="B10" s="49" t="s">
        <v>509</v>
      </c>
      <c r="C10" s="50" t="s">
        <v>68</v>
      </c>
      <c r="D10" s="19" t="s">
        <v>14</v>
      </c>
      <c r="E10" s="66" t="s">
        <v>186</v>
      </c>
      <c r="F10" s="52" t="s">
        <v>70</v>
      </c>
      <c r="G10" s="52" t="s">
        <v>149</v>
      </c>
      <c r="H10" s="53" t="s">
        <v>510</v>
      </c>
      <c r="I10" s="52"/>
      <c r="J10" s="52" t="s">
        <v>41</v>
      </c>
      <c r="K10" s="52" t="s">
        <v>26</v>
      </c>
      <c r="L10" s="52" t="s">
        <v>27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.5" customHeight="1" outlineLevel="1">
      <c r="A11" s="49" t="s">
        <v>511</v>
      </c>
      <c r="B11" s="49" t="s">
        <v>512</v>
      </c>
      <c r="C11" s="50" t="s">
        <v>68</v>
      </c>
      <c r="D11" s="19" t="s">
        <v>14</v>
      </c>
      <c r="E11" s="51" t="s">
        <v>69</v>
      </c>
      <c r="F11" s="52" t="s">
        <v>70</v>
      </c>
      <c r="G11" s="52" t="s">
        <v>149</v>
      </c>
      <c r="H11" s="53" t="s">
        <v>510</v>
      </c>
      <c r="I11" s="52"/>
      <c r="J11" s="52" t="s">
        <v>41</v>
      </c>
      <c r="K11" s="52" t="s">
        <v>26</v>
      </c>
      <c r="L11" s="52" t="s">
        <v>27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9.5" customHeight="1" outlineLevel="1">
      <c r="A12" s="49" t="s">
        <v>513</v>
      </c>
      <c r="B12" s="49" t="s">
        <v>514</v>
      </c>
      <c r="C12" s="50" t="s">
        <v>68</v>
      </c>
      <c r="D12" s="19" t="s">
        <v>14</v>
      </c>
      <c r="E12" s="66" t="s">
        <v>186</v>
      </c>
      <c r="F12" s="52" t="s">
        <v>87</v>
      </c>
      <c r="G12" s="52" t="s">
        <v>128</v>
      </c>
      <c r="H12" s="53" t="s">
        <v>318</v>
      </c>
      <c r="I12" s="52"/>
      <c r="J12" s="52" t="s">
        <v>41</v>
      </c>
      <c r="K12" s="52" t="s">
        <v>26</v>
      </c>
      <c r="L12" s="52" t="s">
        <v>27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.5" customHeight="1" outlineLevel="2">
      <c r="A13" s="57" t="s">
        <v>515</v>
      </c>
      <c r="B13" s="57" t="s">
        <v>516</v>
      </c>
      <c r="C13" s="55" t="s">
        <v>75</v>
      </c>
      <c r="D13" s="19" t="s">
        <v>14</v>
      </c>
      <c r="E13" s="51" t="s">
        <v>69</v>
      </c>
      <c r="F13" s="58" t="s">
        <v>87</v>
      </c>
      <c r="G13" s="58" t="s">
        <v>128</v>
      </c>
      <c r="H13" s="60" t="s">
        <v>517</v>
      </c>
      <c r="I13" s="58"/>
      <c r="J13" s="58" t="s">
        <v>41</v>
      </c>
      <c r="K13" s="58" t="s">
        <v>513</v>
      </c>
      <c r="L13" s="58" t="s">
        <v>514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9.5" customHeight="1" outlineLevel="2">
      <c r="A14" s="54" t="s">
        <v>518</v>
      </c>
      <c r="B14" s="54" t="s">
        <v>499</v>
      </c>
      <c r="C14" s="55" t="s">
        <v>75</v>
      </c>
      <c r="D14" s="19" t="s">
        <v>14</v>
      </c>
      <c r="E14" s="51" t="s">
        <v>69</v>
      </c>
      <c r="F14" s="56" t="s">
        <v>87</v>
      </c>
      <c r="G14" s="56" t="s">
        <v>128</v>
      </c>
      <c r="H14" s="59" t="s">
        <v>291</v>
      </c>
      <c r="I14" s="56"/>
      <c r="J14" s="56" t="s">
        <v>41</v>
      </c>
      <c r="K14" s="56" t="s">
        <v>513</v>
      </c>
      <c r="L14" s="56" t="s">
        <v>514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9.5" customHeight="1" outlineLevel="2">
      <c r="A15" s="57" t="s">
        <v>519</v>
      </c>
      <c r="B15" s="57" t="s">
        <v>520</v>
      </c>
      <c r="C15" s="55" t="s">
        <v>75</v>
      </c>
      <c r="D15" s="19" t="s">
        <v>14</v>
      </c>
      <c r="E15" s="51" t="s">
        <v>69</v>
      </c>
      <c r="F15" s="58" t="s">
        <v>87</v>
      </c>
      <c r="G15" s="58" t="s">
        <v>128</v>
      </c>
      <c r="H15" s="60" t="s">
        <v>291</v>
      </c>
      <c r="I15" s="58"/>
      <c r="J15" s="58" t="s">
        <v>41</v>
      </c>
      <c r="K15" s="58" t="s">
        <v>513</v>
      </c>
      <c r="L15" s="58" t="s">
        <v>514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9.5" customHeight="1" outlineLevel="1">
      <c r="A16" s="49" t="s">
        <v>521</v>
      </c>
      <c r="B16" s="49" t="s">
        <v>522</v>
      </c>
      <c r="C16" s="50" t="s">
        <v>68</v>
      </c>
      <c r="D16" s="19" t="s">
        <v>14</v>
      </c>
      <c r="E16" s="46" t="s">
        <v>63</v>
      </c>
      <c r="F16" s="52" t="s">
        <v>87</v>
      </c>
      <c r="G16" s="52" t="s">
        <v>64</v>
      </c>
      <c r="H16" s="53" t="s">
        <v>291</v>
      </c>
      <c r="I16" s="52"/>
      <c r="J16" s="52" t="s">
        <v>41</v>
      </c>
      <c r="K16" s="52" t="s">
        <v>26</v>
      </c>
      <c r="L16" s="52" t="s">
        <v>27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9.5" customHeight="1" outlineLevel="2">
      <c r="A17" s="57" t="s">
        <v>523</v>
      </c>
      <c r="B17" s="57" t="s">
        <v>524</v>
      </c>
      <c r="C17" s="55" t="s">
        <v>75</v>
      </c>
      <c r="D17" s="19" t="s">
        <v>14</v>
      </c>
      <c r="E17" s="51" t="s">
        <v>69</v>
      </c>
      <c r="F17" s="58" t="s">
        <v>87</v>
      </c>
      <c r="G17" s="58" t="s">
        <v>128</v>
      </c>
      <c r="H17" s="60" t="s">
        <v>517</v>
      </c>
      <c r="I17" s="58"/>
      <c r="J17" s="58" t="s">
        <v>41</v>
      </c>
      <c r="K17" s="58" t="s">
        <v>521</v>
      </c>
      <c r="L17" s="58" t="s">
        <v>522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9.5" customHeight="1" outlineLevel="2">
      <c r="A18" s="54" t="s">
        <v>525</v>
      </c>
      <c r="B18" s="54" t="s">
        <v>526</v>
      </c>
      <c r="C18" s="55" t="s">
        <v>75</v>
      </c>
      <c r="D18" s="19" t="s">
        <v>14</v>
      </c>
      <c r="E18" s="51" t="s">
        <v>69</v>
      </c>
      <c r="F18" s="56" t="s">
        <v>87</v>
      </c>
      <c r="G18" s="56" t="s">
        <v>128</v>
      </c>
      <c r="H18" s="59" t="s">
        <v>517</v>
      </c>
      <c r="I18" s="56"/>
      <c r="J18" s="56" t="s">
        <v>41</v>
      </c>
      <c r="K18" s="56" t="s">
        <v>521</v>
      </c>
      <c r="L18" s="56" t="s">
        <v>522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9.5" customHeight="1" outlineLevel="2">
      <c r="A19" s="57" t="s">
        <v>527</v>
      </c>
      <c r="B19" s="57" t="s">
        <v>528</v>
      </c>
      <c r="C19" s="55" t="s">
        <v>75</v>
      </c>
      <c r="D19" s="19" t="s">
        <v>14</v>
      </c>
      <c r="E19" s="51" t="s">
        <v>69</v>
      </c>
      <c r="F19" s="58" t="s">
        <v>87</v>
      </c>
      <c r="G19" s="58" t="s">
        <v>128</v>
      </c>
      <c r="H19" s="60" t="s">
        <v>517</v>
      </c>
      <c r="I19" s="58"/>
      <c r="J19" s="58" t="s">
        <v>41</v>
      </c>
      <c r="K19" s="58" t="s">
        <v>521</v>
      </c>
      <c r="L19" s="58" t="s">
        <v>522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9.5" customHeight="1" outlineLevel="2">
      <c r="A20" s="54" t="s">
        <v>529</v>
      </c>
      <c r="B20" s="54" t="s">
        <v>530</v>
      </c>
      <c r="C20" s="55" t="s">
        <v>75</v>
      </c>
      <c r="D20" s="19" t="s">
        <v>14</v>
      </c>
      <c r="E20" s="51" t="s">
        <v>69</v>
      </c>
      <c r="F20" s="56" t="s">
        <v>87</v>
      </c>
      <c r="G20" s="56" t="s">
        <v>128</v>
      </c>
      <c r="H20" s="59" t="s">
        <v>517</v>
      </c>
      <c r="I20" s="56"/>
      <c r="J20" s="56" t="s">
        <v>41</v>
      </c>
      <c r="K20" s="56" t="s">
        <v>521</v>
      </c>
      <c r="L20" s="56" t="s">
        <v>522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9.5" customHeight="1" outlineLevel="2">
      <c r="A21" s="57" t="s">
        <v>531</v>
      </c>
      <c r="B21" s="57" t="s">
        <v>532</v>
      </c>
      <c r="C21" s="55" t="s">
        <v>75</v>
      </c>
      <c r="D21" s="19" t="s">
        <v>14</v>
      </c>
      <c r="E21" s="51" t="s">
        <v>69</v>
      </c>
      <c r="F21" s="58" t="s">
        <v>87</v>
      </c>
      <c r="G21" s="58" t="s">
        <v>128</v>
      </c>
      <c r="H21" s="60" t="s">
        <v>517</v>
      </c>
      <c r="I21" s="58"/>
      <c r="J21" s="58" t="s">
        <v>41</v>
      </c>
      <c r="K21" s="58" t="s">
        <v>521</v>
      </c>
      <c r="L21" s="58" t="s">
        <v>522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9.5" customHeight="1" outlineLevel="2">
      <c r="A22" s="54" t="s">
        <v>533</v>
      </c>
      <c r="B22" s="54" t="s">
        <v>534</v>
      </c>
      <c r="C22" s="55" t="s">
        <v>75</v>
      </c>
      <c r="D22" s="19" t="s">
        <v>14</v>
      </c>
      <c r="E22" s="51" t="s">
        <v>69</v>
      </c>
      <c r="F22" s="56" t="s">
        <v>87</v>
      </c>
      <c r="G22" s="56" t="s">
        <v>128</v>
      </c>
      <c r="H22" s="59" t="s">
        <v>517</v>
      </c>
      <c r="I22" s="56"/>
      <c r="J22" s="56" t="s">
        <v>41</v>
      </c>
      <c r="K22" s="56" t="s">
        <v>521</v>
      </c>
      <c r="L22" s="56" t="s">
        <v>522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9.5" customHeight="1" outlineLevel="2">
      <c r="A23" s="57" t="s">
        <v>535</v>
      </c>
      <c r="B23" s="57" t="s">
        <v>536</v>
      </c>
      <c r="C23" s="55" t="s">
        <v>75</v>
      </c>
      <c r="D23" s="19" t="s">
        <v>14</v>
      </c>
      <c r="E23" s="51" t="s">
        <v>69</v>
      </c>
      <c r="F23" s="58" t="s">
        <v>87</v>
      </c>
      <c r="G23" s="58" t="s">
        <v>128</v>
      </c>
      <c r="H23" s="60" t="s">
        <v>517</v>
      </c>
      <c r="I23" s="58"/>
      <c r="J23" s="58" t="s">
        <v>41</v>
      </c>
      <c r="K23" s="58" t="s">
        <v>521</v>
      </c>
      <c r="L23" s="58" t="s">
        <v>522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9.5" customHeight="1" outlineLevel="1">
      <c r="A24" s="49" t="s">
        <v>537</v>
      </c>
      <c r="B24" s="49" t="s">
        <v>538</v>
      </c>
      <c r="C24" s="50" t="s">
        <v>68</v>
      </c>
      <c r="D24" s="19" t="s">
        <v>14</v>
      </c>
      <c r="E24" s="51" t="s">
        <v>69</v>
      </c>
      <c r="F24" s="52" t="s">
        <v>70</v>
      </c>
      <c r="G24" s="52" t="s">
        <v>149</v>
      </c>
      <c r="H24" s="53" t="s">
        <v>539</v>
      </c>
      <c r="I24" s="52"/>
      <c r="J24" s="52" t="s">
        <v>41</v>
      </c>
      <c r="K24" s="52" t="s">
        <v>26</v>
      </c>
      <c r="L24" s="52" t="s">
        <v>27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9.5" customHeight="1" outlineLevel="2">
      <c r="A25" s="57" t="s">
        <v>540</v>
      </c>
      <c r="B25" s="57" t="s">
        <v>541</v>
      </c>
      <c r="C25" s="55" t="s">
        <v>75</v>
      </c>
      <c r="D25" s="19" t="s">
        <v>14</v>
      </c>
      <c r="E25" s="51" t="s">
        <v>69</v>
      </c>
      <c r="F25" s="58" t="s">
        <v>70</v>
      </c>
      <c r="G25" s="58" t="s">
        <v>334</v>
      </c>
      <c r="H25" s="60" t="s">
        <v>291</v>
      </c>
      <c r="I25" s="58"/>
      <c r="J25" s="58" t="s">
        <v>41</v>
      </c>
      <c r="K25" s="58" t="s">
        <v>537</v>
      </c>
      <c r="L25" s="58" t="s">
        <v>538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9.5" customHeight="1" outlineLevel="2">
      <c r="A26" s="54" t="s">
        <v>542</v>
      </c>
      <c r="B26" s="54" t="s">
        <v>543</v>
      </c>
      <c r="C26" s="55" t="s">
        <v>75</v>
      </c>
      <c r="D26" s="19" t="s">
        <v>14</v>
      </c>
      <c r="E26" s="51" t="s">
        <v>69</v>
      </c>
      <c r="F26" s="56" t="s">
        <v>70</v>
      </c>
      <c r="G26" s="56" t="s">
        <v>334</v>
      </c>
      <c r="H26" s="59" t="s">
        <v>291</v>
      </c>
      <c r="I26" s="56"/>
      <c r="J26" s="56" t="s">
        <v>41</v>
      </c>
      <c r="K26" s="56" t="s">
        <v>537</v>
      </c>
      <c r="L26" s="56" t="s">
        <v>538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9.5" customHeight="1" outlineLevel="2">
      <c r="A27" s="57" t="s">
        <v>544</v>
      </c>
      <c r="B27" s="57" t="s">
        <v>27</v>
      </c>
      <c r="C27" s="55" t="s">
        <v>75</v>
      </c>
      <c r="D27" s="19" t="s">
        <v>14</v>
      </c>
      <c r="E27" s="51" t="s">
        <v>69</v>
      </c>
      <c r="F27" s="58" t="s">
        <v>70</v>
      </c>
      <c r="G27" s="58" t="s">
        <v>334</v>
      </c>
      <c r="H27" s="60" t="s">
        <v>291</v>
      </c>
      <c r="I27" s="58"/>
      <c r="J27" s="58" t="s">
        <v>41</v>
      </c>
      <c r="K27" s="58" t="s">
        <v>537</v>
      </c>
      <c r="L27" s="58" t="s">
        <v>538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9.5" customHeight="1" outlineLevel="1">
      <c r="A28" s="49" t="s">
        <v>545</v>
      </c>
      <c r="B28" s="49" t="s">
        <v>546</v>
      </c>
      <c r="C28" s="50" t="s">
        <v>68</v>
      </c>
      <c r="D28" s="27" t="s">
        <v>235</v>
      </c>
      <c r="E28" s="51" t="s">
        <v>69</v>
      </c>
      <c r="F28" s="52" t="s">
        <v>70</v>
      </c>
      <c r="G28" s="52" t="s">
        <v>330</v>
      </c>
      <c r="H28" s="53">
        <v>46087.0</v>
      </c>
      <c r="I28" s="52"/>
      <c r="J28" s="52" t="s">
        <v>42</v>
      </c>
      <c r="K28" s="52" t="s">
        <v>26</v>
      </c>
      <c r="L28" s="52" t="s">
        <v>27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C229" s="65"/>
      <c r="D229" s="65"/>
      <c r="E229" s="65"/>
      <c r="F229" s="65"/>
      <c r="H229" s="65"/>
      <c r="J229" s="65"/>
      <c r="K229" s="65"/>
      <c r="L229" s="65"/>
    </row>
    <row r="230" ht="15.75" customHeight="1">
      <c r="C230" s="65"/>
      <c r="D230" s="65"/>
      <c r="E230" s="65"/>
      <c r="F230" s="65"/>
      <c r="H230" s="65"/>
      <c r="J230" s="65"/>
      <c r="K230" s="65"/>
      <c r="L230" s="65"/>
    </row>
    <row r="231" ht="15.75" customHeight="1">
      <c r="C231" s="65"/>
      <c r="D231" s="65"/>
      <c r="E231" s="65"/>
      <c r="F231" s="65"/>
      <c r="H231" s="65"/>
      <c r="J231" s="65"/>
      <c r="K231" s="65"/>
      <c r="L231" s="65"/>
    </row>
    <row r="232" ht="15.75" customHeight="1">
      <c r="C232" s="65"/>
      <c r="D232" s="65"/>
      <c r="E232" s="65"/>
      <c r="F232" s="65"/>
      <c r="H232" s="65"/>
      <c r="J232" s="65"/>
      <c r="K232" s="65"/>
      <c r="L232" s="65"/>
    </row>
    <row r="233" ht="15.75" customHeight="1">
      <c r="C233" s="65"/>
      <c r="D233" s="65"/>
      <c r="E233" s="65"/>
      <c r="F233" s="65"/>
      <c r="H233" s="65"/>
      <c r="J233" s="65"/>
      <c r="K233" s="65"/>
      <c r="L233" s="65"/>
    </row>
    <row r="234" ht="15.75" customHeight="1">
      <c r="C234" s="65"/>
      <c r="D234" s="65"/>
      <c r="E234" s="65"/>
      <c r="F234" s="65"/>
      <c r="H234" s="65"/>
      <c r="J234" s="65"/>
      <c r="K234" s="65"/>
      <c r="L234" s="65"/>
    </row>
    <row r="235" ht="15.75" customHeight="1">
      <c r="C235" s="65"/>
      <c r="D235" s="65"/>
      <c r="E235" s="65"/>
      <c r="F235" s="65"/>
      <c r="H235" s="65"/>
      <c r="J235" s="65"/>
      <c r="K235" s="65"/>
      <c r="L235" s="65"/>
    </row>
    <row r="236" ht="15.75" customHeight="1">
      <c r="C236" s="65"/>
      <c r="D236" s="65"/>
      <c r="E236" s="65"/>
      <c r="F236" s="65"/>
      <c r="H236" s="65"/>
      <c r="J236" s="65"/>
      <c r="K236" s="65"/>
      <c r="L236" s="65"/>
    </row>
    <row r="237" ht="15.75" customHeight="1">
      <c r="C237" s="65"/>
      <c r="D237" s="65"/>
      <c r="E237" s="65"/>
      <c r="F237" s="65"/>
      <c r="H237" s="65"/>
      <c r="J237" s="65"/>
      <c r="K237" s="65"/>
      <c r="L237" s="65"/>
    </row>
    <row r="238" ht="15.75" customHeight="1">
      <c r="C238" s="65"/>
      <c r="D238" s="65"/>
      <c r="E238" s="65"/>
      <c r="F238" s="65"/>
      <c r="H238" s="65"/>
      <c r="J238" s="65"/>
      <c r="K238" s="65"/>
      <c r="L238" s="65"/>
    </row>
    <row r="239" ht="15.75" customHeight="1">
      <c r="C239" s="65"/>
      <c r="D239" s="65"/>
      <c r="E239" s="65"/>
      <c r="F239" s="65"/>
      <c r="H239" s="65"/>
      <c r="J239" s="65"/>
      <c r="K239" s="65"/>
      <c r="L239" s="65"/>
    </row>
    <row r="240" ht="15.75" customHeight="1">
      <c r="C240" s="65"/>
      <c r="D240" s="65"/>
      <c r="E240" s="65"/>
      <c r="F240" s="65"/>
      <c r="H240" s="65"/>
      <c r="J240" s="65"/>
      <c r="K240" s="65"/>
      <c r="L240" s="65"/>
    </row>
    <row r="241" ht="15.75" customHeight="1">
      <c r="C241" s="65"/>
      <c r="D241" s="65"/>
      <c r="E241" s="65"/>
      <c r="F241" s="65"/>
      <c r="H241" s="65"/>
      <c r="J241" s="65"/>
      <c r="K241" s="65"/>
      <c r="L241" s="65"/>
    </row>
    <row r="242" ht="15.75" customHeight="1">
      <c r="C242" s="65"/>
      <c r="D242" s="65"/>
      <c r="E242" s="65"/>
      <c r="F242" s="65"/>
      <c r="H242" s="65"/>
      <c r="J242" s="65"/>
      <c r="K242" s="65"/>
      <c r="L242" s="65"/>
    </row>
    <row r="243" ht="15.75" customHeight="1">
      <c r="C243" s="65"/>
      <c r="D243" s="65"/>
      <c r="E243" s="65"/>
      <c r="F243" s="65"/>
      <c r="H243" s="65"/>
      <c r="J243" s="65"/>
      <c r="K243" s="65"/>
      <c r="L243" s="65"/>
    </row>
    <row r="244" ht="15.75" customHeight="1">
      <c r="C244" s="65"/>
      <c r="D244" s="65"/>
      <c r="E244" s="65"/>
      <c r="F244" s="65"/>
      <c r="H244" s="65"/>
      <c r="J244" s="65"/>
      <c r="K244" s="65"/>
      <c r="L244" s="65"/>
    </row>
    <row r="245" ht="15.75" customHeight="1">
      <c r="C245" s="65"/>
      <c r="D245" s="65"/>
      <c r="E245" s="65"/>
      <c r="F245" s="65"/>
      <c r="H245" s="65"/>
      <c r="J245" s="65"/>
      <c r="K245" s="65"/>
      <c r="L245" s="65"/>
    </row>
    <row r="246" ht="15.75" customHeight="1">
      <c r="C246" s="65"/>
      <c r="D246" s="65"/>
      <c r="E246" s="65"/>
      <c r="F246" s="65"/>
      <c r="H246" s="65"/>
      <c r="J246" s="65"/>
      <c r="K246" s="65"/>
      <c r="L246" s="65"/>
    </row>
    <row r="247" ht="15.75" customHeight="1">
      <c r="C247" s="65"/>
      <c r="D247" s="65"/>
      <c r="E247" s="65"/>
      <c r="F247" s="65"/>
      <c r="H247" s="65"/>
      <c r="J247" s="65"/>
      <c r="K247" s="65"/>
      <c r="L247" s="65"/>
    </row>
    <row r="248" ht="15.75" customHeight="1">
      <c r="C248" s="65"/>
      <c r="D248" s="65"/>
      <c r="E248" s="65"/>
      <c r="F248" s="65"/>
      <c r="H248" s="65"/>
      <c r="J248" s="65"/>
      <c r="K248" s="65"/>
      <c r="L248" s="65"/>
    </row>
    <row r="249" ht="15.75" customHeight="1">
      <c r="C249" s="65"/>
      <c r="D249" s="65"/>
      <c r="E249" s="65"/>
      <c r="F249" s="65"/>
      <c r="H249" s="65"/>
      <c r="J249" s="65"/>
      <c r="K249" s="65"/>
      <c r="L249" s="65"/>
    </row>
    <row r="250" ht="15.75" customHeight="1">
      <c r="C250" s="65"/>
      <c r="D250" s="65"/>
      <c r="E250" s="65"/>
      <c r="F250" s="65"/>
      <c r="H250" s="65"/>
      <c r="J250" s="65"/>
      <c r="K250" s="65"/>
      <c r="L250" s="65"/>
    </row>
    <row r="251" ht="15.75" customHeight="1">
      <c r="C251" s="65"/>
      <c r="D251" s="65"/>
      <c r="E251" s="65"/>
      <c r="F251" s="65"/>
      <c r="H251" s="65"/>
      <c r="J251" s="65"/>
      <c r="K251" s="65"/>
      <c r="L251" s="65"/>
    </row>
    <row r="252" ht="15.75" customHeight="1">
      <c r="C252" s="65"/>
      <c r="D252" s="65"/>
      <c r="E252" s="65"/>
      <c r="F252" s="65"/>
      <c r="H252" s="65"/>
      <c r="J252" s="65"/>
      <c r="K252" s="65"/>
      <c r="L252" s="65"/>
    </row>
    <row r="253" ht="15.75" customHeight="1">
      <c r="C253" s="65"/>
      <c r="D253" s="65"/>
      <c r="E253" s="65"/>
      <c r="F253" s="65"/>
      <c r="H253" s="65"/>
      <c r="J253" s="65"/>
      <c r="K253" s="65"/>
      <c r="L253" s="65"/>
    </row>
    <row r="254" ht="15.75" customHeight="1">
      <c r="C254" s="65"/>
      <c r="D254" s="65"/>
      <c r="E254" s="65"/>
      <c r="F254" s="65"/>
      <c r="H254" s="65"/>
      <c r="J254" s="65"/>
      <c r="K254" s="65"/>
      <c r="L254" s="65"/>
    </row>
    <row r="255" ht="15.75" customHeight="1">
      <c r="C255" s="65"/>
      <c r="D255" s="65"/>
      <c r="E255" s="65"/>
      <c r="F255" s="65"/>
      <c r="H255" s="65"/>
      <c r="J255" s="65"/>
      <c r="K255" s="65"/>
      <c r="L255" s="65"/>
    </row>
    <row r="256" ht="15.75" customHeight="1">
      <c r="C256" s="65"/>
      <c r="D256" s="65"/>
      <c r="E256" s="65"/>
      <c r="F256" s="65"/>
      <c r="H256" s="65"/>
      <c r="J256" s="65"/>
      <c r="K256" s="65"/>
      <c r="L256" s="65"/>
    </row>
    <row r="257" ht="15.75" customHeight="1">
      <c r="C257" s="65"/>
      <c r="D257" s="65"/>
      <c r="E257" s="65"/>
      <c r="F257" s="65"/>
      <c r="H257" s="65"/>
      <c r="J257" s="65"/>
      <c r="K257" s="65"/>
      <c r="L257" s="65"/>
    </row>
    <row r="258" ht="15.75" customHeight="1">
      <c r="C258" s="65"/>
      <c r="D258" s="65"/>
      <c r="E258" s="65"/>
      <c r="F258" s="65"/>
      <c r="H258" s="65"/>
      <c r="J258" s="65"/>
      <c r="K258" s="65"/>
      <c r="L258" s="65"/>
    </row>
    <row r="259" ht="15.75" customHeight="1">
      <c r="C259" s="65"/>
      <c r="D259" s="65"/>
      <c r="E259" s="65"/>
      <c r="F259" s="65"/>
      <c r="H259" s="65"/>
      <c r="J259" s="65"/>
      <c r="K259" s="65"/>
      <c r="L259" s="65"/>
    </row>
    <row r="260" ht="15.75" customHeight="1">
      <c r="C260" s="65"/>
      <c r="D260" s="65"/>
      <c r="E260" s="65"/>
      <c r="F260" s="65"/>
      <c r="H260" s="65"/>
      <c r="J260" s="65"/>
      <c r="K260" s="65"/>
      <c r="L260" s="65"/>
    </row>
    <row r="261" ht="15.75" customHeight="1">
      <c r="C261" s="65"/>
      <c r="D261" s="65"/>
      <c r="E261" s="65"/>
      <c r="F261" s="65"/>
      <c r="H261" s="65"/>
      <c r="J261" s="65"/>
      <c r="K261" s="65"/>
      <c r="L261" s="65"/>
    </row>
    <row r="262" ht="15.75" customHeight="1">
      <c r="C262" s="65"/>
      <c r="D262" s="65"/>
      <c r="E262" s="65"/>
      <c r="F262" s="65"/>
      <c r="H262" s="65"/>
      <c r="J262" s="65"/>
      <c r="K262" s="65"/>
      <c r="L262" s="65"/>
    </row>
    <row r="263" ht="15.75" customHeight="1">
      <c r="C263" s="65"/>
      <c r="D263" s="65"/>
      <c r="E263" s="65"/>
      <c r="F263" s="65"/>
      <c r="H263" s="65"/>
      <c r="J263" s="65"/>
      <c r="K263" s="65"/>
      <c r="L263" s="65"/>
    </row>
    <row r="264" ht="15.75" customHeight="1">
      <c r="C264" s="65"/>
      <c r="D264" s="65"/>
      <c r="E264" s="65"/>
      <c r="F264" s="65"/>
      <c r="H264" s="65"/>
      <c r="J264" s="65"/>
      <c r="K264" s="65"/>
      <c r="L264" s="65"/>
    </row>
    <row r="265" ht="15.75" customHeight="1">
      <c r="C265" s="65"/>
      <c r="D265" s="65"/>
      <c r="E265" s="65"/>
      <c r="F265" s="65"/>
      <c r="H265" s="65"/>
      <c r="J265" s="65"/>
      <c r="K265" s="65"/>
      <c r="L265" s="65"/>
    </row>
    <row r="266" ht="15.75" customHeight="1">
      <c r="C266" s="65"/>
      <c r="D266" s="65"/>
      <c r="E266" s="65"/>
      <c r="F266" s="65"/>
      <c r="H266" s="65"/>
      <c r="J266" s="65"/>
      <c r="K266" s="65"/>
      <c r="L266" s="65"/>
    </row>
    <row r="267" ht="15.75" customHeight="1">
      <c r="C267" s="65"/>
      <c r="D267" s="65"/>
      <c r="E267" s="65"/>
      <c r="F267" s="65"/>
      <c r="H267" s="65"/>
      <c r="J267" s="65"/>
      <c r="K267" s="65"/>
      <c r="L267" s="65"/>
    </row>
    <row r="268" ht="15.75" customHeight="1">
      <c r="C268" s="65"/>
      <c r="D268" s="65"/>
      <c r="E268" s="65"/>
      <c r="F268" s="65"/>
      <c r="H268" s="65"/>
      <c r="J268" s="65"/>
      <c r="K268" s="65"/>
      <c r="L268" s="65"/>
    </row>
    <row r="269" ht="15.75" customHeight="1">
      <c r="C269" s="65"/>
      <c r="D269" s="65"/>
      <c r="E269" s="65"/>
      <c r="F269" s="65"/>
      <c r="H269" s="65"/>
      <c r="J269" s="65"/>
      <c r="K269" s="65"/>
      <c r="L269" s="65"/>
    </row>
    <row r="270" ht="15.75" customHeight="1">
      <c r="C270" s="65"/>
      <c r="D270" s="65"/>
      <c r="E270" s="65"/>
      <c r="F270" s="65"/>
      <c r="H270" s="65"/>
      <c r="J270" s="65"/>
      <c r="K270" s="65"/>
      <c r="L270" s="65"/>
    </row>
    <row r="271" ht="15.75" customHeight="1">
      <c r="C271" s="65"/>
      <c r="D271" s="65"/>
      <c r="E271" s="65"/>
      <c r="F271" s="65"/>
      <c r="H271" s="65"/>
      <c r="J271" s="65"/>
      <c r="K271" s="65"/>
      <c r="L271" s="65"/>
    </row>
    <row r="272" ht="15.75" customHeight="1">
      <c r="C272" s="65"/>
      <c r="D272" s="65"/>
      <c r="E272" s="65"/>
      <c r="F272" s="65"/>
      <c r="H272" s="65"/>
      <c r="J272" s="65"/>
      <c r="K272" s="65"/>
      <c r="L272" s="65"/>
    </row>
    <row r="273" ht="15.75" customHeight="1">
      <c r="C273" s="65"/>
      <c r="D273" s="65"/>
      <c r="E273" s="65"/>
      <c r="F273" s="65"/>
      <c r="H273" s="65"/>
      <c r="J273" s="65"/>
      <c r="K273" s="65"/>
      <c r="L273" s="65"/>
    </row>
    <row r="274" ht="15.75" customHeight="1">
      <c r="C274" s="65"/>
      <c r="D274" s="65"/>
      <c r="E274" s="65"/>
      <c r="F274" s="65"/>
      <c r="H274" s="65"/>
      <c r="J274" s="65"/>
      <c r="K274" s="65"/>
      <c r="L274" s="65"/>
    </row>
    <row r="275" ht="15.75" customHeight="1">
      <c r="C275" s="65"/>
      <c r="D275" s="65"/>
      <c r="E275" s="65"/>
      <c r="F275" s="65"/>
      <c r="H275" s="65"/>
      <c r="J275" s="65"/>
      <c r="K275" s="65"/>
      <c r="L275" s="65"/>
    </row>
    <row r="276" ht="15.75" customHeight="1">
      <c r="C276" s="65"/>
      <c r="D276" s="65"/>
      <c r="E276" s="65"/>
      <c r="F276" s="65"/>
      <c r="H276" s="65"/>
      <c r="J276" s="65"/>
      <c r="K276" s="65"/>
      <c r="L276" s="65"/>
    </row>
    <row r="277" ht="15.75" customHeight="1">
      <c r="C277" s="65"/>
      <c r="D277" s="65"/>
      <c r="E277" s="65"/>
      <c r="F277" s="65"/>
      <c r="H277" s="65"/>
      <c r="J277" s="65"/>
      <c r="K277" s="65"/>
      <c r="L277" s="65"/>
    </row>
    <row r="278" ht="15.75" customHeight="1">
      <c r="C278" s="65"/>
      <c r="D278" s="65"/>
      <c r="E278" s="65"/>
      <c r="F278" s="65"/>
      <c r="H278" s="65"/>
      <c r="J278" s="65"/>
      <c r="K278" s="65"/>
      <c r="L278" s="65"/>
    </row>
    <row r="279" ht="15.75" customHeight="1">
      <c r="C279" s="65"/>
      <c r="D279" s="65"/>
      <c r="E279" s="65"/>
      <c r="F279" s="65"/>
      <c r="H279" s="65"/>
      <c r="J279" s="65"/>
      <c r="K279" s="65"/>
      <c r="L279" s="65"/>
    </row>
    <row r="280" ht="15.75" customHeight="1">
      <c r="C280" s="65"/>
      <c r="D280" s="65"/>
      <c r="E280" s="65"/>
      <c r="F280" s="65"/>
      <c r="H280" s="65"/>
      <c r="J280" s="65"/>
      <c r="K280" s="65"/>
      <c r="L280" s="65"/>
    </row>
    <row r="281" ht="15.75" customHeight="1">
      <c r="C281" s="65"/>
      <c r="D281" s="65"/>
      <c r="E281" s="65"/>
      <c r="F281" s="65"/>
      <c r="H281" s="65"/>
      <c r="J281" s="65"/>
      <c r="K281" s="65"/>
      <c r="L281" s="65"/>
    </row>
    <row r="282" ht="15.75" customHeight="1">
      <c r="C282" s="65"/>
      <c r="D282" s="65"/>
      <c r="E282" s="65"/>
      <c r="F282" s="65"/>
      <c r="H282" s="65"/>
      <c r="J282" s="65"/>
      <c r="K282" s="65"/>
      <c r="L282" s="65"/>
    </row>
    <row r="283" ht="15.75" customHeight="1">
      <c r="C283" s="65"/>
      <c r="D283" s="65"/>
      <c r="E283" s="65"/>
      <c r="F283" s="65"/>
      <c r="H283" s="65"/>
      <c r="J283" s="65"/>
      <c r="K283" s="65"/>
      <c r="L283" s="65"/>
    </row>
    <row r="284" ht="15.75" customHeight="1">
      <c r="C284" s="65"/>
      <c r="D284" s="65"/>
      <c r="E284" s="65"/>
      <c r="F284" s="65"/>
      <c r="H284" s="65"/>
      <c r="J284" s="65"/>
      <c r="K284" s="65"/>
      <c r="L284" s="65"/>
    </row>
    <row r="285" ht="15.75" customHeight="1">
      <c r="C285" s="65"/>
      <c r="D285" s="65"/>
      <c r="E285" s="65"/>
      <c r="F285" s="65"/>
      <c r="H285" s="65"/>
      <c r="J285" s="65"/>
      <c r="K285" s="65"/>
      <c r="L285" s="65"/>
    </row>
    <row r="286" ht="15.75" customHeight="1">
      <c r="C286" s="65"/>
      <c r="D286" s="65"/>
      <c r="E286" s="65"/>
      <c r="F286" s="65"/>
      <c r="H286" s="65"/>
      <c r="J286" s="65"/>
      <c r="K286" s="65"/>
      <c r="L286" s="65"/>
    </row>
    <row r="287" ht="15.75" customHeight="1">
      <c r="C287" s="65"/>
      <c r="D287" s="65"/>
      <c r="E287" s="65"/>
      <c r="F287" s="65"/>
      <c r="H287" s="65"/>
      <c r="J287" s="65"/>
      <c r="K287" s="65"/>
      <c r="L287" s="65"/>
    </row>
    <row r="288" ht="15.75" customHeight="1">
      <c r="C288" s="65"/>
      <c r="D288" s="65"/>
      <c r="E288" s="65"/>
      <c r="F288" s="65"/>
      <c r="H288" s="65"/>
      <c r="J288" s="65"/>
      <c r="K288" s="65"/>
      <c r="L288" s="65"/>
    </row>
    <row r="289" ht="15.75" customHeight="1">
      <c r="C289" s="65"/>
      <c r="D289" s="65"/>
      <c r="E289" s="65"/>
      <c r="F289" s="65"/>
      <c r="H289" s="65"/>
      <c r="J289" s="65"/>
      <c r="K289" s="65"/>
      <c r="L289" s="65"/>
    </row>
    <row r="290" ht="15.75" customHeight="1">
      <c r="C290" s="65"/>
      <c r="D290" s="65"/>
      <c r="E290" s="65"/>
      <c r="F290" s="65"/>
      <c r="H290" s="65"/>
      <c r="J290" s="65"/>
      <c r="K290" s="65"/>
      <c r="L290" s="65"/>
    </row>
    <row r="291" ht="15.75" customHeight="1">
      <c r="C291" s="65"/>
      <c r="D291" s="65"/>
      <c r="E291" s="65"/>
      <c r="F291" s="65"/>
      <c r="H291" s="65"/>
      <c r="J291" s="65"/>
      <c r="K291" s="65"/>
      <c r="L291" s="65"/>
    </row>
    <row r="292" ht="15.75" customHeight="1">
      <c r="C292" s="65"/>
      <c r="D292" s="65"/>
      <c r="E292" s="65"/>
      <c r="F292" s="65"/>
      <c r="H292" s="65"/>
      <c r="J292" s="65"/>
      <c r="K292" s="65"/>
      <c r="L292" s="65"/>
    </row>
    <row r="293" ht="15.75" customHeight="1">
      <c r="C293" s="65"/>
      <c r="D293" s="65"/>
      <c r="E293" s="65"/>
      <c r="F293" s="65"/>
      <c r="H293" s="65"/>
      <c r="J293" s="65"/>
      <c r="K293" s="65"/>
      <c r="L293" s="65"/>
    </row>
    <row r="294" ht="15.75" customHeight="1">
      <c r="C294" s="65"/>
      <c r="D294" s="65"/>
      <c r="E294" s="65"/>
      <c r="F294" s="65"/>
      <c r="H294" s="65"/>
      <c r="J294" s="65"/>
      <c r="K294" s="65"/>
      <c r="L294" s="65"/>
    </row>
    <row r="295" ht="15.75" customHeight="1">
      <c r="C295" s="65"/>
      <c r="D295" s="65"/>
      <c r="E295" s="65"/>
      <c r="F295" s="65"/>
      <c r="H295" s="65"/>
      <c r="J295" s="65"/>
      <c r="K295" s="65"/>
      <c r="L295" s="65"/>
    </row>
    <row r="296" ht="15.75" customHeight="1">
      <c r="C296" s="65"/>
      <c r="D296" s="65"/>
      <c r="E296" s="65"/>
      <c r="F296" s="65"/>
      <c r="H296" s="65"/>
      <c r="J296" s="65"/>
      <c r="K296" s="65"/>
      <c r="L296" s="65"/>
    </row>
    <row r="297" ht="15.75" customHeight="1">
      <c r="C297" s="65"/>
      <c r="D297" s="65"/>
      <c r="E297" s="65"/>
      <c r="F297" s="65"/>
      <c r="H297" s="65"/>
      <c r="J297" s="65"/>
      <c r="K297" s="65"/>
      <c r="L297" s="65"/>
    </row>
    <row r="298" ht="15.75" customHeight="1">
      <c r="C298" s="65"/>
      <c r="D298" s="65"/>
      <c r="E298" s="65"/>
      <c r="F298" s="65"/>
      <c r="H298" s="65"/>
      <c r="J298" s="65"/>
      <c r="K298" s="65"/>
      <c r="L298" s="65"/>
    </row>
    <row r="299" ht="15.75" customHeight="1">
      <c r="C299" s="65"/>
      <c r="D299" s="65"/>
      <c r="E299" s="65"/>
      <c r="F299" s="65"/>
      <c r="H299" s="65"/>
      <c r="J299" s="65"/>
      <c r="K299" s="65"/>
      <c r="L299" s="65"/>
    </row>
    <row r="300" ht="15.75" customHeight="1">
      <c r="C300" s="65"/>
      <c r="D300" s="65"/>
      <c r="E300" s="65"/>
      <c r="F300" s="65"/>
      <c r="H300" s="65"/>
      <c r="J300" s="65"/>
      <c r="K300" s="65"/>
      <c r="L300" s="65"/>
    </row>
    <row r="301" ht="15.75" customHeight="1">
      <c r="C301" s="65"/>
      <c r="D301" s="65"/>
      <c r="E301" s="65"/>
      <c r="F301" s="65"/>
      <c r="H301" s="65"/>
      <c r="J301" s="65"/>
      <c r="K301" s="65"/>
      <c r="L301" s="65"/>
    </row>
    <row r="302" ht="15.75" customHeight="1">
      <c r="C302" s="65"/>
      <c r="D302" s="65"/>
      <c r="E302" s="65"/>
      <c r="F302" s="65"/>
      <c r="H302" s="65"/>
      <c r="J302" s="65"/>
      <c r="K302" s="65"/>
      <c r="L302" s="65"/>
    </row>
    <row r="303" ht="15.75" customHeight="1">
      <c r="C303" s="65"/>
      <c r="D303" s="65"/>
      <c r="E303" s="65"/>
      <c r="F303" s="65"/>
      <c r="H303" s="65"/>
      <c r="J303" s="65"/>
      <c r="K303" s="65"/>
      <c r="L303" s="65"/>
    </row>
    <row r="304" ht="15.75" customHeight="1">
      <c r="C304" s="65"/>
      <c r="D304" s="65"/>
      <c r="E304" s="65"/>
      <c r="F304" s="65"/>
      <c r="H304" s="65"/>
      <c r="J304" s="65"/>
      <c r="K304" s="65"/>
      <c r="L304" s="65"/>
    </row>
    <row r="305" ht="15.75" customHeight="1">
      <c r="C305" s="65"/>
      <c r="D305" s="65"/>
      <c r="E305" s="65"/>
      <c r="F305" s="65"/>
      <c r="H305" s="65"/>
      <c r="J305" s="65"/>
      <c r="K305" s="65"/>
      <c r="L305" s="65"/>
    </row>
    <row r="306" ht="15.75" customHeight="1">
      <c r="C306" s="65"/>
      <c r="D306" s="65"/>
      <c r="E306" s="65"/>
      <c r="F306" s="65"/>
      <c r="H306" s="65"/>
      <c r="J306" s="65"/>
      <c r="K306" s="65"/>
      <c r="L306" s="65"/>
    </row>
    <row r="307" ht="15.75" customHeight="1">
      <c r="C307" s="65"/>
      <c r="D307" s="65"/>
      <c r="E307" s="65"/>
      <c r="F307" s="65"/>
      <c r="H307" s="65"/>
      <c r="J307" s="65"/>
      <c r="K307" s="65"/>
      <c r="L307" s="65"/>
    </row>
    <row r="308" ht="15.75" customHeight="1">
      <c r="C308" s="65"/>
      <c r="D308" s="65"/>
      <c r="E308" s="65"/>
      <c r="F308" s="65"/>
      <c r="H308" s="65"/>
      <c r="J308" s="65"/>
      <c r="K308" s="65"/>
      <c r="L308" s="65"/>
    </row>
    <row r="309" ht="15.75" customHeight="1">
      <c r="C309" s="65"/>
      <c r="D309" s="65"/>
      <c r="E309" s="65"/>
      <c r="F309" s="65"/>
      <c r="H309" s="65"/>
      <c r="J309" s="65"/>
      <c r="K309" s="65"/>
      <c r="L309" s="65"/>
    </row>
    <row r="310" ht="15.75" customHeight="1">
      <c r="C310" s="65"/>
      <c r="D310" s="65"/>
      <c r="E310" s="65"/>
      <c r="F310" s="65"/>
      <c r="H310" s="65"/>
      <c r="J310" s="65"/>
      <c r="K310" s="65"/>
      <c r="L310" s="65"/>
    </row>
    <row r="311" ht="15.75" customHeight="1">
      <c r="C311" s="65"/>
      <c r="D311" s="65"/>
      <c r="E311" s="65"/>
      <c r="F311" s="65"/>
      <c r="H311" s="65"/>
      <c r="J311" s="65"/>
      <c r="K311" s="65"/>
      <c r="L311" s="65"/>
    </row>
    <row r="312" ht="15.75" customHeight="1">
      <c r="C312" s="65"/>
      <c r="D312" s="65"/>
      <c r="E312" s="65"/>
      <c r="F312" s="65"/>
      <c r="H312" s="65"/>
      <c r="J312" s="65"/>
      <c r="K312" s="65"/>
      <c r="L312" s="65"/>
    </row>
    <row r="313" ht="15.75" customHeight="1">
      <c r="C313" s="65"/>
      <c r="D313" s="65"/>
      <c r="E313" s="65"/>
      <c r="F313" s="65"/>
      <c r="H313" s="65"/>
      <c r="J313" s="65"/>
      <c r="K313" s="65"/>
      <c r="L313" s="65"/>
    </row>
    <row r="314" ht="15.75" customHeight="1">
      <c r="C314" s="65"/>
      <c r="D314" s="65"/>
      <c r="E314" s="65"/>
      <c r="F314" s="65"/>
      <c r="H314" s="65"/>
      <c r="J314" s="65"/>
      <c r="K314" s="65"/>
      <c r="L314" s="65"/>
    </row>
    <row r="315" ht="15.75" customHeight="1">
      <c r="C315" s="65"/>
      <c r="D315" s="65"/>
      <c r="E315" s="65"/>
      <c r="F315" s="65"/>
      <c r="H315" s="65"/>
      <c r="J315" s="65"/>
      <c r="K315" s="65"/>
      <c r="L315" s="65"/>
    </row>
    <row r="316" ht="15.75" customHeight="1">
      <c r="C316" s="65"/>
      <c r="D316" s="65"/>
      <c r="E316" s="65"/>
      <c r="F316" s="65"/>
      <c r="H316" s="65"/>
      <c r="J316" s="65"/>
      <c r="K316" s="65"/>
      <c r="L316" s="65"/>
    </row>
    <row r="317" ht="15.75" customHeight="1">
      <c r="C317" s="65"/>
      <c r="D317" s="65"/>
      <c r="E317" s="65"/>
      <c r="F317" s="65"/>
      <c r="H317" s="65"/>
      <c r="J317" s="65"/>
      <c r="K317" s="65"/>
      <c r="L317" s="65"/>
    </row>
    <row r="318" ht="15.75" customHeight="1">
      <c r="C318" s="65"/>
      <c r="D318" s="65"/>
      <c r="E318" s="65"/>
      <c r="F318" s="65"/>
      <c r="H318" s="65"/>
      <c r="J318" s="65"/>
      <c r="K318" s="65"/>
      <c r="L318" s="65"/>
    </row>
    <row r="319" ht="15.75" customHeight="1">
      <c r="C319" s="65"/>
      <c r="D319" s="65"/>
      <c r="E319" s="65"/>
      <c r="F319" s="65"/>
      <c r="H319" s="65"/>
      <c r="J319" s="65"/>
      <c r="K319" s="65"/>
      <c r="L319" s="65"/>
    </row>
    <row r="320" ht="15.75" customHeight="1">
      <c r="C320" s="65"/>
      <c r="D320" s="65"/>
      <c r="E320" s="65"/>
      <c r="F320" s="65"/>
      <c r="H320" s="65"/>
      <c r="J320" s="65"/>
      <c r="K320" s="65"/>
      <c r="L320" s="65"/>
    </row>
    <row r="321" ht="15.75" customHeight="1">
      <c r="C321" s="65"/>
      <c r="D321" s="65"/>
      <c r="E321" s="65"/>
      <c r="F321" s="65"/>
      <c r="H321" s="65"/>
      <c r="J321" s="65"/>
      <c r="K321" s="65"/>
      <c r="L321" s="65"/>
    </row>
    <row r="322" ht="15.75" customHeight="1">
      <c r="C322" s="65"/>
      <c r="D322" s="65"/>
      <c r="E322" s="65"/>
      <c r="F322" s="65"/>
      <c r="H322" s="65"/>
      <c r="J322" s="65"/>
      <c r="K322" s="65"/>
      <c r="L322" s="65"/>
    </row>
    <row r="323" ht="15.75" customHeight="1">
      <c r="C323" s="65"/>
      <c r="D323" s="65"/>
      <c r="E323" s="65"/>
      <c r="F323" s="65"/>
      <c r="H323" s="65"/>
      <c r="J323" s="65"/>
      <c r="K323" s="65"/>
      <c r="L323" s="65"/>
    </row>
    <row r="324" ht="15.75" customHeight="1">
      <c r="C324" s="65"/>
      <c r="D324" s="65"/>
      <c r="E324" s="65"/>
      <c r="F324" s="65"/>
      <c r="H324" s="65"/>
      <c r="J324" s="65"/>
      <c r="K324" s="65"/>
      <c r="L324" s="65"/>
    </row>
    <row r="325" ht="15.75" customHeight="1">
      <c r="C325" s="65"/>
      <c r="D325" s="65"/>
      <c r="E325" s="65"/>
      <c r="F325" s="65"/>
      <c r="H325" s="65"/>
      <c r="J325" s="65"/>
      <c r="K325" s="65"/>
      <c r="L325" s="65"/>
    </row>
    <row r="326" ht="15.75" customHeight="1">
      <c r="C326" s="65"/>
      <c r="D326" s="65"/>
      <c r="E326" s="65"/>
      <c r="F326" s="65"/>
      <c r="H326" s="65"/>
      <c r="J326" s="65"/>
      <c r="K326" s="65"/>
      <c r="L326" s="65"/>
    </row>
    <row r="327" ht="15.75" customHeight="1">
      <c r="C327" s="65"/>
      <c r="D327" s="65"/>
      <c r="E327" s="65"/>
      <c r="F327" s="65"/>
      <c r="H327" s="65"/>
      <c r="J327" s="65"/>
      <c r="K327" s="65"/>
      <c r="L327" s="65"/>
    </row>
    <row r="328" ht="15.75" customHeight="1">
      <c r="C328" s="65"/>
      <c r="D328" s="65"/>
      <c r="E328" s="65"/>
      <c r="F328" s="65"/>
      <c r="H328" s="65"/>
      <c r="J328" s="65"/>
      <c r="K328" s="65"/>
      <c r="L328" s="65"/>
    </row>
    <row r="329" ht="15.75" customHeight="1">
      <c r="C329" s="65"/>
      <c r="D329" s="65"/>
      <c r="E329" s="65"/>
      <c r="F329" s="65"/>
      <c r="H329" s="65"/>
      <c r="J329" s="65"/>
      <c r="K329" s="65"/>
      <c r="L329" s="65"/>
    </row>
    <row r="330" ht="15.75" customHeight="1">
      <c r="C330" s="65"/>
      <c r="D330" s="65"/>
      <c r="E330" s="65"/>
      <c r="F330" s="65"/>
      <c r="H330" s="65"/>
      <c r="J330" s="65"/>
      <c r="K330" s="65"/>
      <c r="L330" s="65"/>
    </row>
    <row r="331" ht="15.75" customHeight="1">
      <c r="C331" s="65"/>
      <c r="D331" s="65"/>
      <c r="E331" s="65"/>
      <c r="F331" s="65"/>
      <c r="H331" s="65"/>
      <c r="J331" s="65"/>
      <c r="K331" s="65"/>
      <c r="L331" s="65"/>
    </row>
    <row r="332" ht="15.75" customHeight="1">
      <c r="C332" s="65"/>
      <c r="D332" s="65"/>
      <c r="E332" s="65"/>
      <c r="F332" s="65"/>
      <c r="H332" s="65"/>
      <c r="J332" s="65"/>
      <c r="K332" s="65"/>
      <c r="L332" s="65"/>
    </row>
    <row r="333" ht="15.75" customHeight="1">
      <c r="C333" s="65"/>
      <c r="D333" s="65"/>
      <c r="E333" s="65"/>
      <c r="F333" s="65"/>
      <c r="H333" s="65"/>
      <c r="J333" s="65"/>
      <c r="K333" s="65"/>
      <c r="L333" s="65"/>
    </row>
    <row r="334" ht="15.75" customHeight="1">
      <c r="C334" s="65"/>
      <c r="D334" s="65"/>
      <c r="E334" s="65"/>
      <c r="F334" s="65"/>
      <c r="H334" s="65"/>
      <c r="J334" s="65"/>
      <c r="K334" s="65"/>
      <c r="L334" s="65"/>
    </row>
    <row r="335" ht="15.75" customHeight="1">
      <c r="C335" s="65"/>
      <c r="D335" s="65"/>
      <c r="E335" s="65"/>
      <c r="F335" s="65"/>
      <c r="H335" s="65"/>
      <c r="J335" s="65"/>
      <c r="K335" s="65"/>
      <c r="L335" s="65"/>
    </row>
    <row r="336" ht="15.75" customHeight="1">
      <c r="C336" s="65"/>
      <c r="D336" s="65"/>
      <c r="E336" s="65"/>
      <c r="F336" s="65"/>
      <c r="H336" s="65"/>
      <c r="J336" s="65"/>
      <c r="K336" s="65"/>
      <c r="L336" s="65"/>
    </row>
    <row r="337" ht="15.75" customHeight="1">
      <c r="C337" s="65"/>
      <c r="D337" s="65"/>
      <c r="E337" s="65"/>
      <c r="F337" s="65"/>
      <c r="H337" s="65"/>
      <c r="J337" s="65"/>
      <c r="K337" s="65"/>
      <c r="L337" s="65"/>
    </row>
    <row r="338" ht="15.75" customHeight="1">
      <c r="C338" s="65"/>
      <c r="D338" s="65"/>
      <c r="E338" s="65"/>
      <c r="F338" s="65"/>
      <c r="H338" s="65"/>
      <c r="J338" s="65"/>
      <c r="K338" s="65"/>
      <c r="L338" s="65"/>
    </row>
    <row r="339" ht="15.75" customHeight="1">
      <c r="C339" s="65"/>
      <c r="D339" s="65"/>
      <c r="E339" s="65"/>
      <c r="F339" s="65"/>
      <c r="H339" s="65"/>
      <c r="J339" s="65"/>
      <c r="K339" s="65"/>
      <c r="L339" s="65"/>
    </row>
    <row r="340" ht="15.75" customHeight="1">
      <c r="C340" s="65"/>
      <c r="D340" s="65"/>
      <c r="E340" s="65"/>
      <c r="F340" s="65"/>
      <c r="H340" s="65"/>
      <c r="J340" s="65"/>
      <c r="K340" s="65"/>
      <c r="L340" s="65"/>
    </row>
    <row r="341" ht="15.75" customHeight="1">
      <c r="C341" s="65"/>
      <c r="D341" s="65"/>
      <c r="E341" s="65"/>
      <c r="F341" s="65"/>
      <c r="H341" s="65"/>
      <c r="J341" s="65"/>
      <c r="K341" s="65"/>
      <c r="L341" s="65"/>
    </row>
    <row r="342" ht="15.75" customHeight="1">
      <c r="C342" s="65"/>
      <c r="D342" s="65"/>
      <c r="E342" s="65"/>
      <c r="F342" s="65"/>
      <c r="H342" s="65"/>
      <c r="J342" s="65"/>
      <c r="K342" s="65"/>
      <c r="L342" s="65"/>
    </row>
    <row r="343" ht="15.75" customHeight="1">
      <c r="C343" s="65"/>
      <c r="D343" s="65"/>
      <c r="E343" s="65"/>
      <c r="F343" s="65"/>
      <c r="H343" s="65"/>
      <c r="J343" s="65"/>
      <c r="K343" s="65"/>
      <c r="L343" s="65"/>
    </row>
    <row r="344" ht="15.75" customHeight="1">
      <c r="C344" s="65"/>
      <c r="D344" s="65"/>
      <c r="E344" s="65"/>
      <c r="F344" s="65"/>
      <c r="H344" s="65"/>
      <c r="J344" s="65"/>
      <c r="K344" s="65"/>
      <c r="L344" s="65"/>
    </row>
    <row r="345" ht="15.75" customHeight="1">
      <c r="C345" s="65"/>
      <c r="D345" s="65"/>
      <c r="E345" s="65"/>
      <c r="F345" s="65"/>
      <c r="H345" s="65"/>
      <c r="J345" s="65"/>
      <c r="K345" s="65"/>
      <c r="L345" s="65"/>
    </row>
    <row r="346" ht="15.75" customHeight="1">
      <c r="C346" s="65"/>
      <c r="D346" s="65"/>
      <c r="E346" s="65"/>
      <c r="F346" s="65"/>
      <c r="H346" s="65"/>
      <c r="J346" s="65"/>
      <c r="K346" s="65"/>
      <c r="L346" s="65"/>
    </row>
    <row r="347" ht="15.75" customHeight="1">
      <c r="C347" s="65"/>
      <c r="D347" s="65"/>
      <c r="E347" s="65"/>
      <c r="F347" s="65"/>
      <c r="H347" s="65"/>
      <c r="J347" s="65"/>
      <c r="K347" s="65"/>
      <c r="L347" s="65"/>
    </row>
    <row r="348" ht="15.75" customHeight="1">
      <c r="C348" s="65"/>
      <c r="D348" s="65"/>
      <c r="E348" s="65"/>
      <c r="F348" s="65"/>
      <c r="H348" s="65"/>
      <c r="J348" s="65"/>
      <c r="K348" s="65"/>
      <c r="L348" s="65"/>
    </row>
    <row r="349" ht="15.75" customHeight="1">
      <c r="C349" s="65"/>
      <c r="D349" s="65"/>
      <c r="E349" s="65"/>
      <c r="F349" s="65"/>
      <c r="H349" s="65"/>
      <c r="J349" s="65"/>
      <c r="K349" s="65"/>
      <c r="L349" s="65"/>
    </row>
    <row r="350" ht="15.75" customHeight="1">
      <c r="C350" s="65"/>
      <c r="D350" s="65"/>
      <c r="E350" s="65"/>
      <c r="F350" s="65"/>
      <c r="H350" s="65"/>
      <c r="J350" s="65"/>
      <c r="K350" s="65"/>
      <c r="L350" s="65"/>
    </row>
    <row r="351" ht="15.75" customHeight="1">
      <c r="C351" s="65"/>
      <c r="D351" s="65"/>
      <c r="E351" s="65"/>
      <c r="F351" s="65"/>
      <c r="H351" s="65"/>
      <c r="J351" s="65"/>
      <c r="K351" s="65"/>
      <c r="L351" s="65"/>
    </row>
    <row r="352" ht="15.75" customHeight="1">
      <c r="C352" s="65"/>
      <c r="D352" s="65"/>
      <c r="E352" s="65"/>
      <c r="F352" s="65"/>
      <c r="H352" s="65"/>
      <c r="J352" s="65"/>
      <c r="K352" s="65"/>
      <c r="L352" s="65"/>
    </row>
    <row r="353" ht="15.75" customHeight="1">
      <c r="C353" s="65"/>
      <c r="D353" s="65"/>
      <c r="E353" s="65"/>
      <c r="F353" s="65"/>
      <c r="H353" s="65"/>
      <c r="J353" s="65"/>
      <c r="K353" s="65"/>
      <c r="L353" s="65"/>
    </row>
    <row r="354" ht="15.75" customHeight="1">
      <c r="C354" s="65"/>
      <c r="D354" s="65"/>
      <c r="E354" s="65"/>
      <c r="F354" s="65"/>
      <c r="H354" s="65"/>
      <c r="J354" s="65"/>
      <c r="K354" s="65"/>
      <c r="L354" s="65"/>
    </row>
    <row r="355" ht="15.75" customHeight="1">
      <c r="C355" s="65"/>
      <c r="D355" s="65"/>
      <c r="E355" s="65"/>
      <c r="F355" s="65"/>
      <c r="H355" s="65"/>
      <c r="J355" s="65"/>
      <c r="K355" s="65"/>
      <c r="L355" s="65"/>
    </row>
    <row r="356" ht="15.75" customHeight="1">
      <c r="C356" s="65"/>
      <c r="D356" s="65"/>
      <c r="E356" s="65"/>
      <c r="F356" s="65"/>
      <c r="H356" s="65"/>
      <c r="J356" s="65"/>
      <c r="K356" s="65"/>
      <c r="L356" s="65"/>
    </row>
    <row r="357" ht="15.75" customHeight="1">
      <c r="C357" s="65"/>
      <c r="D357" s="65"/>
      <c r="E357" s="65"/>
      <c r="F357" s="65"/>
      <c r="H357" s="65"/>
      <c r="J357" s="65"/>
      <c r="K357" s="65"/>
      <c r="L357" s="65"/>
    </row>
    <row r="358" ht="15.75" customHeight="1">
      <c r="C358" s="65"/>
      <c r="D358" s="65"/>
      <c r="E358" s="65"/>
      <c r="F358" s="65"/>
      <c r="H358" s="65"/>
      <c r="J358" s="65"/>
      <c r="K358" s="65"/>
      <c r="L358" s="65"/>
    </row>
    <row r="359" ht="15.75" customHeight="1">
      <c r="C359" s="65"/>
      <c r="D359" s="65"/>
      <c r="E359" s="65"/>
      <c r="F359" s="65"/>
      <c r="H359" s="65"/>
      <c r="J359" s="65"/>
      <c r="K359" s="65"/>
      <c r="L359" s="65"/>
    </row>
    <row r="360" ht="15.75" customHeight="1">
      <c r="C360" s="65"/>
      <c r="D360" s="65"/>
      <c r="E360" s="65"/>
      <c r="F360" s="65"/>
      <c r="H360" s="65"/>
      <c r="J360" s="65"/>
      <c r="K360" s="65"/>
      <c r="L360" s="65"/>
    </row>
    <row r="361" ht="15.75" customHeight="1">
      <c r="C361" s="65"/>
      <c r="D361" s="65"/>
      <c r="E361" s="65"/>
      <c r="F361" s="65"/>
      <c r="H361" s="65"/>
      <c r="J361" s="65"/>
      <c r="K361" s="65"/>
      <c r="L361" s="65"/>
    </row>
    <row r="362" ht="15.75" customHeight="1">
      <c r="C362" s="65"/>
      <c r="D362" s="65"/>
      <c r="E362" s="65"/>
      <c r="F362" s="65"/>
      <c r="H362" s="65"/>
      <c r="J362" s="65"/>
      <c r="K362" s="65"/>
      <c r="L362" s="65"/>
    </row>
    <row r="363" ht="15.75" customHeight="1">
      <c r="C363" s="65"/>
      <c r="D363" s="65"/>
      <c r="E363" s="65"/>
      <c r="F363" s="65"/>
      <c r="H363" s="65"/>
      <c r="J363" s="65"/>
      <c r="K363" s="65"/>
      <c r="L363" s="65"/>
    </row>
    <row r="364" ht="15.75" customHeight="1">
      <c r="C364" s="65"/>
      <c r="D364" s="65"/>
      <c r="E364" s="65"/>
      <c r="F364" s="65"/>
      <c r="H364" s="65"/>
      <c r="J364" s="65"/>
      <c r="K364" s="65"/>
      <c r="L364" s="65"/>
    </row>
    <row r="365" ht="15.75" customHeight="1">
      <c r="C365" s="65"/>
      <c r="D365" s="65"/>
      <c r="E365" s="65"/>
      <c r="F365" s="65"/>
      <c r="H365" s="65"/>
      <c r="J365" s="65"/>
      <c r="K365" s="65"/>
      <c r="L365" s="65"/>
    </row>
    <row r="366" ht="15.75" customHeight="1">
      <c r="C366" s="65"/>
      <c r="D366" s="65"/>
      <c r="E366" s="65"/>
      <c r="F366" s="65"/>
      <c r="H366" s="65"/>
      <c r="J366" s="65"/>
      <c r="K366" s="65"/>
      <c r="L366" s="65"/>
    </row>
    <row r="367" ht="15.75" customHeight="1">
      <c r="C367" s="65"/>
      <c r="D367" s="65"/>
      <c r="E367" s="65"/>
      <c r="F367" s="65"/>
      <c r="H367" s="65"/>
      <c r="J367" s="65"/>
      <c r="K367" s="65"/>
      <c r="L367" s="65"/>
    </row>
    <row r="368" ht="15.75" customHeight="1">
      <c r="C368" s="65"/>
      <c r="D368" s="65"/>
      <c r="E368" s="65"/>
      <c r="F368" s="65"/>
      <c r="H368" s="65"/>
      <c r="J368" s="65"/>
      <c r="K368" s="65"/>
      <c r="L368" s="65"/>
    </row>
    <row r="369" ht="15.75" customHeight="1">
      <c r="C369" s="65"/>
      <c r="D369" s="65"/>
      <c r="E369" s="65"/>
      <c r="F369" s="65"/>
      <c r="H369" s="65"/>
      <c r="J369" s="65"/>
      <c r="K369" s="65"/>
      <c r="L369" s="65"/>
    </row>
    <row r="370" ht="15.75" customHeight="1">
      <c r="C370" s="65"/>
      <c r="D370" s="65"/>
      <c r="E370" s="65"/>
      <c r="F370" s="65"/>
      <c r="H370" s="65"/>
      <c r="J370" s="65"/>
      <c r="K370" s="65"/>
      <c r="L370" s="65"/>
    </row>
    <row r="371" ht="15.75" customHeight="1">
      <c r="C371" s="65"/>
      <c r="D371" s="65"/>
      <c r="E371" s="65"/>
      <c r="F371" s="65"/>
      <c r="H371" s="65"/>
      <c r="J371" s="65"/>
      <c r="K371" s="65"/>
      <c r="L371" s="65"/>
    </row>
    <row r="372" ht="15.75" customHeight="1">
      <c r="C372" s="65"/>
      <c r="D372" s="65"/>
      <c r="E372" s="65"/>
      <c r="F372" s="65"/>
      <c r="H372" s="65"/>
      <c r="J372" s="65"/>
      <c r="K372" s="65"/>
      <c r="L372" s="65"/>
    </row>
    <row r="373" ht="15.75" customHeight="1">
      <c r="C373" s="65"/>
      <c r="D373" s="65"/>
      <c r="E373" s="65"/>
      <c r="F373" s="65"/>
      <c r="H373" s="65"/>
      <c r="J373" s="65"/>
      <c r="K373" s="65"/>
      <c r="L373" s="65"/>
    </row>
    <row r="374" ht="15.75" customHeight="1">
      <c r="C374" s="65"/>
      <c r="D374" s="65"/>
      <c r="E374" s="65"/>
      <c r="F374" s="65"/>
      <c r="H374" s="65"/>
      <c r="J374" s="65"/>
      <c r="K374" s="65"/>
      <c r="L374" s="65"/>
    </row>
    <row r="375" ht="15.75" customHeight="1">
      <c r="C375" s="65"/>
      <c r="D375" s="65"/>
      <c r="E375" s="65"/>
      <c r="F375" s="65"/>
      <c r="H375" s="65"/>
      <c r="J375" s="65"/>
      <c r="K375" s="65"/>
      <c r="L375" s="65"/>
    </row>
    <row r="376" ht="15.75" customHeight="1">
      <c r="C376" s="65"/>
      <c r="D376" s="65"/>
      <c r="E376" s="65"/>
      <c r="F376" s="65"/>
      <c r="H376" s="65"/>
      <c r="J376" s="65"/>
      <c r="K376" s="65"/>
      <c r="L376" s="65"/>
    </row>
    <row r="377" ht="15.75" customHeight="1">
      <c r="C377" s="65"/>
      <c r="D377" s="65"/>
      <c r="E377" s="65"/>
      <c r="F377" s="65"/>
      <c r="H377" s="65"/>
      <c r="J377" s="65"/>
      <c r="K377" s="65"/>
      <c r="L377" s="65"/>
    </row>
    <row r="378" ht="15.75" customHeight="1">
      <c r="C378" s="65"/>
      <c r="D378" s="65"/>
      <c r="E378" s="65"/>
      <c r="F378" s="65"/>
      <c r="H378" s="65"/>
      <c r="J378" s="65"/>
      <c r="K378" s="65"/>
      <c r="L378" s="65"/>
    </row>
    <row r="379" ht="15.75" customHeight="1">
      <c r="C379" s="65"/>
      <c r="D379" s="65"/>
      <c r="E379" s="65"/>
      <c r="F379" s="65"/>
      <c r="H379" s="65"/>
      <c r="J379" s="65"/>
      <c r="K379" s="65"/>
      <c r="L379" s="65"/>
    </row>
    <row r="380" ht="15.75" customHeight="1">
      <c r="C380" s="65"/>
      <c r="D380" s="65"/>
      <c r="E380" s="65"/>
      <c r="F380" s="65"/>
      <c r="H380" s="65"/>
      <c r="J380" s="65"/>
      <c r="K380" s="65"/>
      <c r="L380" s="65"/>
    </row>
    <row r="381" ht="15.75" customHeight="1">
      <c r="C381" s="65"/>
      <c r="D381" s="65"/>
      <c r="E381" s="65"/>
      <c r="F381" s="65"/>
      <c r="H381" s="65"/>
      <c r="J381" s="65"/>
      <c r="K381" s="65"/>
      <c r="L381" s="65"/>
    </row>
    <row r="382" ht="15.75" customHeight="1">
      <c r="C382" s="65"/>
      <c r="D382" s="65"/>
      <c r="E382" s="65"/>
      <c r="F382" s="65"/>
      <c r="H382" s="65"/>
      <c r="J382" s="65"/>
      <c r="K382" s="65"/>
      <c r="L382" s="65"/>
    </row>
    <row r="383" ht="15.75" customHeight="1">
      <c r="C383" s="65"/>
      <c r="D383" s="65"/>
      <c r="E383" s="65"/>
      <c r="F383" s="65"/>
      <c r="H383" s="65"/>
      <c r="J383" s="65"/>
      <c r="K383" s="65"/>
      <c r="L383" s="65"/>
    </row>
    <row r="384" ht="15.75" customHeight="1">
      <c r="C384" s="65"/>
      <c r="D384" s="65"/>
      <c r="E384" s="65"/>
      <c r="F384" s="65"/>
      <c r="H384" s="65"/>
      <c r="J384" s="65"/>
      <c r="K384" s="65"/>
      <c r="L384" s="65"/>
    </row>
    <row r="385" ht="15.75" customHeight="1">
      <c r="C385" s="65"/>
      <c r="D385" s="65"/>
      <c r="E385" s="65"/>
      <c r="F385" s="65"/>
      <c r="H385" s="65"/>
      <c r="J385" s="65"/>
      <c r="K385" s="65"/>
      <c r="L385" s="65"/>
    </row>
    <row r="386" ht="15.75" customHeight="1">
      <c r="C386" s="65"/>
      <c r="D386" s="65"/>
      <c r="E386" s="65"/>
      <c r="F386" s="65"/>
      <c r="H386" s="65"/>
      <c r="J386" s="65"/>
      <c r="K386" s="65"/>
      <c r="L386" s="65"/>
    </row>
    <row r="387" ht="15.75" customHeight="1">
      <c r="C387" s="65"/>
      <c r="D387" s="65"/>
      <c r="E387" s="65"/>
      <c r="F387" s="65"/>
      <c r="H387" s="65"/>
      <c r="J387" s="65"/>
      <c r="K387" s="65"/>
      <c r="L387" s="65"/>
    </row>
    <row r="388" ht="15.75" customHeight="1">
      <c r="C388" s="65"/>
      <c r="D388" s="65"/>
      <c r="E388" s="65"/>
      <c r="F388" s="65"/>
      <c r="H388" s="65"/>
      <c r="J388" s="65"/>
      <c r="K388" s="65"/>
      <c r="L388" s="65"/>
    </row>
    <row r="389" ht="15.75" customHeight="1">
      <c r="C389" s="65"/>
      <c r="D389" s="65"/>
      <c r="E389" s="65"/>
      <c r="F389" s="65"/>
      <c r="H389" s="65"/>
      <c r="J389" s="65"/>
      <c r="K389" s="65"/>
      <c r="L389" s="65"/>
    </row>
    <row r="390" ht="15.75" customHeight="1">
      <c r="C390" s="65"/>
      <c r="D390" s="65"/>
      <c r="E390" s="65"/>
      <c r="F390" s="65"/>
      <c r="H390" s="65"/>
      <c r="J390" s="65"/>
      <c r="K390" s="65"/>
      <c r="L390" s="65"/>
    </row>
    <row r="391" ht="15.75" customHeight="1">
      <c r="C391" s="65"/>
      <c r="D391" s="65"/>
      <c r="E391" s="65"/>
      <c r="F391" s="65"/>
      <c r="H391" s="65"/>
      <c r="J391" s="65"/>
      <c r="K391" s="65"/>
      <c r="L391" s="65"/>
    </row>
    <row r="392" ht="15.75" customHeight="1">
      <c r="C392" s="65"/>
      <c r="D392" s="65"/>
      <c r="E392" s="65"/>
      <c r="F392" s="65"/>
      <c r="H392" s="65"/>
      <c r="J392" s="65"/>
      <c r="K392" s="65"/>
      <c r="L392" s="65"/>
    </row>
    <row r="393" ht="15.75" customHeight="1">
      <c r="C393" s="65"/>
      <c r="D393" s="65"/>
      <c r="E393" s="65"/>
      <c r="F393" s="65"/>
      <c r="H393" s="65"/>
      <c r="J393" s="65"/>
      <c r="K393" s="65"/>
      <c r="L393" s="65"/>
    </row>
    <row r="394" ht="15.75" customHeight="1">
      <c r="C394" s="65"/>
      <c r="D394" s="65"/>
      <c r="E394" s="65"/>
      <c r="F394" s="65"/>
      <c r="H394" s="65"/>
      <c r="J394" s="65"/>
      <c r="K394" s="65"/>
      <c r="L394" s="65"/>
    </row>
    <row r="395" ht="15.75" customHeight="1">
      <c r="C395" s="65"/>
      <c r="D395" s="65"/>
      <c r="E395" s="65"/>
      <c r="F395" s="65"/>
      <c r="H395" s="65"/>
      <c r="J395" s="65"/>
      <c r="K395" s="65"/>
      <c r="L395" s="65"/>
    </row>
    <row r="396" ht="15.75" customHeight="1">
      <c r="C396" s="65"/>
      <c r="D396" s="65"/>
      <c r="E396" s="65"/>
      <c r="F396" s="65"/>
      <c r="H396" s="65"/>
      <c r="J396" s="65"/>
      <c r="K396" s="65"/>
      <c r="L396" s="65"/>
    </row>
    <row r="397" ht="15.75" customHeight="1">
      <c r="C397" s="65"/>
      <c r="D397" s="65"/>
      <c r="E397" s="65"/>
      <c r="F397" s="65"/>
      <c r="H397" s="65"/>
      <c r="J397" s="65"/>
      <c r="K397" s="65"/>
      <c r="L397" s="65"/>
    </row>
    <row r="398" ht="15.75" customHeight="1">
      <c r="C398" s="65"/>
      <c r="D398" s="65"/>
      <c r="E398" s="65"/>
      <c r="F398" s="65"/>
      <c r="H398" s="65"/>
      <c r="J398" s="65"/>
      <c r="K398" s="65"/>
      <c r="L398" s="65"/>
    </row>
    <row r="399" ht="15.75" customHeight="1">
      <c r="C399" s="65"/>
      <c r="D399" s="65"/>
      <c r="E399" s="65"/>
      <c r="F399" s="65"/>
      <c r="H399" s="65"/>
      <c r="J399" s="65"/>
      <c r="K399" s="65"/>
      <c r="L399" s="65"/>
    </row>
    <row r="400" ht="15.75" customHeight="1">
      <c r="C400" s="65"/>
      <c r="D400" s="65"/>
      <c r="E400" s="65"/>
      <c r="F400" s="65"/>
      <c r="H400" s="65"/>
      <c r="J400" s="65"/>
      <c r="K400" s="65"/>
      <c r="L400" s="65"/>
    </row>
    <row r="401" ht="15.75" customHeight="1">
      <c r="C401" s="65"/>
      <c r="D401" s="65"/>
      <c r="E401" s="65"/>
      <c r="F401" s="65"/>
      <c r="H401" s="65"/>
      <c r="J401" s="65"/>
      <c r="K401" s="65"/>
      <c r="L401" s="65"/>
    </row>
    <row r="402" ht="15.75" customHeight="1">
      <c r="C402" s="65"/>
      <c r="D402" s="65"/>
      <c r="E402" s="65"/>
      <c r="F402" s="65"/>
      <c r="H402" s="65"/>
      <c r="J402" s="65"/>
      <c r="K402" s="65"/>
      <c r="L402" s="65"/>
    </row>
    <row r="403" ht="15.75" customHeight="1">
      <c r="C403" s="65"/>
      <c r="D403" s="65"/>
      <c r="E403" s="65"/>
      <c r="F403" s="65"/>
      <c r="H403" s="65"/>
      <c r="J403" s="65"/>
      <c r="K403" s="65"/>
      <c r="L403" s="65"/>
    </row>
    <row r="404" ht="15.75" customHeight="1">
      <c r="C404" s="65"/>
      <c r="D404" s="65"/>
      <c r="E404" s="65"/>
      <c r="F404" s="65"/>
      <c r="H404" s="65"/>
      <c r="J404" s="65"/>
      <c r="K404" s="65"/>
      <c r="L404" s="65"/>
    </row>
    <row r="405" ht="15.75" customHeight="1">
      <c r="C405" s="65"/>
      <c r="D405" s="65"/>
      <c r="E405" s="65"/>
      <c r="F405" s="65"/>
      <c r="H405" s="65"/>
      <c r="J405" s="65"/>
      <c r="K405" s="65"/>
      <c r="L405" s="65"/>
    </row>
    <row r="406" ht="15.75" customHeight="1">
      <c r="C406" s="65"/>
      <c r="D406" s="65"/>
      <c r="E406" s="65"/>
      <c r="F406" s="65"/>
      <c r="H406" s="65"/>
      <c r="J406" s="65"/>
      <c r="K406" s="65"/>
      <c r="L406" s="65"/>
    </row>
    <row r="407" ht="15.75" customHeight="1">
      <c r="C407" s="65"/>
      <c r="D407" s="65"/>
      <c r="E407" s="65"/>
      <c r="F407" s="65"/>
      <c r="H407" s="65"/>
      <c r="J407" s="65"/>
      <c r="K407" s="65"/>
      <c r="L407" s="65"/>
    </row>
    <row r="408" ht="15.75" customHeight="1">
      <c r="C408" s="65"/>
      <c r="D408" s="65"/>
      <c r="E408" s="65"/>
      <c r="F408" s="65"/>
      <c r="H408" s="65"/>
      <c r="J408" s="65"/>
      <c r="K408" s="65"/>
      <c r="L408" s="65"/>
    </row>
    <row r="409" ht="15.75" customHeight="1">
      <c r="C409" s="65"/>
      <c r="D409" s="65"/>
      <c r="E409" s="65"/>
      <c r="F409" s="65"/>
      <c r="H409" s="65"/>
      <c r="J409" s="65"/>
      <c r="K409" s="65"/>
      <c r="L409" s="65"/>
    </row>
    <row r="410" ht="15.75" customHeight="1">
      <c r="C410" s="65"/>
      <c r="D410" s="65"/>
      <c r="E410" s="65"/>
      <c r="F410" s="65"/>
      <c r="H410" s="65"/>
      <c r="J410" s="65"/>
      <c r="K410" s="65"/>
      <c r="L410" s="65"/>
    </row>
    <row r="411" ht="15.75" customHeight="1">
      <c r="C411" s="65"/>
      <c r="D411" s="65"/>
      <c r="E411" s="65"/>
      <c r="F411" s="65"/>
      <c r="H411" s="65"/>
      <c r="J411" s="65"/>
      <c r="K411" s="65"/>
      <c r="L411" s="65"/>
    </row>
    <row r="412" ht="15.75" customHeight="1">
      <c r="C412" s="65"/>
      <c r="D412" s="65"/>
      <c r="E412" s="65"/>
      <c r="F412" s="65"/>
      <c r="H412" s="65"/>
      <c r="J412" s="65"/>
      <c r="K412" s="65"/>
      <c r="L412" s="65"/>
    </row>
    <row r="413" ht="15.75" customHeight="1">
      <c r="C413" s="65"/>
      <c r="D413" s="65"/>
      <c r="E413" s="65"/>
      <c r="F413" s="65"/>
      <c r="H413" s="65"/>
      <c r="J413" s="65"/>
      <c r="K413" s="65"/>
      <c r="L413" s="65"/>
    </row>
    <row r="414" ht="15.75" customHeight="1">
      <c r="C414" s="65"/>
      <c r="D414" s="65"/>
      <c r="E414" s="65"/>
      <c r="F414" s="65"/>
      <c r="H414" s="65"/>
      <c r="J414" s="65"/>
      <c r="K414" s="65"/>
      <c r="L414" s="65"/>
    </row>
    <row r="415" ht="15.75" customHeight="1">
      <c r="C415" s="65"/>
      <c r="D415" s="65"/>
      <c r="E415" s="65"/>
      <c r="F415" s="65"/>
      <c r="H415" s="65"/>
      <c r="J415" s="65"/>
      <c r="K415" s="65"/>
      <c r="L415" s="65"/>
    </row>
    <row r="416" ht="15.75" customHeight="1">
      <c r="C416" s="65"/>
      <c r="D416" s="65"/>
      <c r="E416" s="65"/>
      <c r="F416" s="65"/>
      <c r="H416" s="65"/>
      <c r="J416" s="65"/>
      <c r="K416" s="65"/>
      <c r="L416" s="65"/>
    </row>
    <row r="417" ht="15.75" customHeight="1">
      <c r="C417" s="65"/>
      <c r="D417" s="65"/>
      <c r="E417" s="65"/>
      <c r="F417" s="65"/>
      <c r="H417" s="65"/>
      <c r="J417" s="65"/>
      <c r="K417" s="65"/>
      <c r="L417" s="65"/>
    </row>
    <row r="418" ht="15.75" customHeight="1">
      <c r="C418" s="65"/>
      <c r="D418" s="65"/>
      <c r="E418" s="65"/>
      <c r="F418" s="65"/>
      <c r="H418" s="65"/>
      <c r="J418" s="65"/>
      <c r="K418" s="65"/>
      <c r="L418" s="65"/>
    </row>
    <row r="419" ht="15.75" customHeight="1">
      <c r="C419" s="65"/>
      <c r="D419" s="65"/>
      <c r="E419" s="65"/>
      <c r="F419" s="65"/>
      <c r="H419" s="65"/>
      <c r="J419" s="65"/>
      <c r="K419" s="65"/>
      <c r="L419" s="65"/>
    </row>
    <row r="420" ht="15.75" customHeight="1">
      <c r="C420" s="65"/>
      <c r="D420" s="65"/>
      <c r="E420" s="65"/>
      <c r="F420" s="65"/>
      <c r="H420" s="65"/>
      <c r="J420" s="65"/>
      <c r="K420" s="65"/>
      <c r="L420" s="65"/>
    </row>
    <row r="421" ht="15.75" customHeight="1">
      <c r="C421" s="65"/>
      <c r="D421" s="65"/>
      <c r="E421" s="65"/>
      <c r="F421" s="65"/>
      <c r="H421" s="65"/>
      <c r="J421" s="65"/>
      <c r="K421" s="65"/>
      <c r="L421" s="65"/>
    </row>
    <row r="422" ht="15.75" customHeight="1">
      <c r="C422" s="65"/>
      <c r="D422" s="65"/>
      <c r="E422" s="65"/>
      <c r="F422" s="65"/>
      <c r="H422" s="65"/>
      <c r="J422" s="65"/>
      <c r="K422" s="65"/>
      <c r="L422" s="65"/>
    </row>
    <row r="423" ht="15.75" customHeight="1">
      <c r="C423" s="65"/>
      <c r="D423" s="65"/>
      <c r="E423" s="65"/>
      <c r="F423" s="65"/>
      <c r="H423" s="65"/>
      <c r="J423" s="65"/>
      <c r="K423" s="65"/>
      <c r="L423" s="65"/>
    </row>
    <row r="424" ht="15.75" customHeight="1">
      <c r="C424" s="65"/>
      <c r="D424" s="65"/>
      <c r="E424" s="65"/>
      <c r="F424" s="65"/>
      <c r="H424" s="65"/>
      <c r="J424" s="65"/>
      <c r="K424" s="65"/>
      <c r="L424" s="65"/>
    </row>
    <row r="425" ht="15.75" customHeight="1">
      <c r="C425" s="65"/>
      <c r="D425" s="65"/>
      <c r="E425" s="65"/>
      <c r="F425" s="65"/>
      <c r="H425" s="65"/>
      <c r="J425" s="65"/>
      <c r="K425" s="65"/>
      <c r="L425" s="65"/>
    </row>
    <row r="426" ht="15.75" customHeight="1">
      <c r="C426" s="65"/>
      <c r="D426" s="65"/>
      <c r="E426" s="65"/>
      <c r="F426" s="65"/>
      <c r="H426" s="65"/>
      <c r="J426" s="65"/>
      <c r="K426" s="65"/>
      <c r="L426" s="65"/>
    </row>
    <row r="427" ht="15.75" customHeight="1">
      <c r="C427" s="65"/>
      <c r="D427" s="65"/>
      <c r="E427" s="65"/>
      <c r="F427" s="65"/>
      <c r="H427" s="65"/>
      <c r="J427" s="65"/>
      <c r="K427" s="65"/>
      <c r="L427" s="65"/>
    </row>
    <row r="428" ht="15.75" customHeight="1">
      <c r="C428" s="65"/>
      <c r="D428" s="65"/>
      <c r="E428" s="65"/>
      <c r="F428" s="65"/>
      <c r="H428" s="65"/>
      <c r="J428" s="65"/>
      <c r="K428" s="65"/>
      <c r="L428" s="65"/>
    </row>
    <row r="429" ht="15.75" customHeight="1">
      <c r="C429" s="65"/>
      <c r="D429" s="65"/>
      <c r="E429" s="65"/>
      <c r="F429" s="65"/>
      <c r="H429" s="65"/>
      <c r="J429" s="65"/>
      <c r="K429" s="65"/>
      <c r="L429" s="65"/>
    </row>
    <row r="430" ht="15.75" customHeight="1">
      <c r="C430" s="65"/>
      <c r="D430" s="65"/>
      <c r="E430" s="65"/>
      <c r="F430" s="65"/>
      <c r="H430" s="65"/>
      <c r="J430" s="65"/>
      <c r="K430" s="65"/>
      <c r="L430" s="65"/>
    </row>
    <row r="431" ht="15.75" customHeight="1">
      <c r="C431" s="65"/>
      <c r="D431" s="65"/>
      <c r="E431" s="65"/>
      <c r="F431" s="65"/>
      <c r="H431" s="65"/>
      <c r="J431" s="65"/>
      <c r="K431" s="65"/>
      <c r="L431" s="65"/>
    </row>
    <row r="432" ht="15.75" customHeight="1">
      <c r="C432" s="65"/>
      <c r="D432" s="65"/>
      <c r="E432" s="65"/>
      <c r="F432" s="65"/>
      <c r="H432" s="65"/>
      <c r="J432" s="65"/>
      <c r="K432" s="65"/>
      <c r="L432" s="65"/>
    </row>
    <row r="433" ht="15.75" customHeight="1">
      <c r="C433" s="65"/>
      <c r="D433" s="65"/>
      <c r="E433" s="65"/>
      <c r="F433" s="65"/>
      <c r="H433" s="65"/>
      <c r="J433" s="65"/>
      <c r="K433" s="65"/>
      <c r="L433" s="65"/>
    </row>
    <row r="434" ht="15.75" customHeight="1">
      <c r="C434" s="65"/>
      <c r="D434" s="65"/>
      <c r="E434" s="65"/>
      <c r="F434" s="65"/>
      <c r="H434" s="65"/>
      <c r="J434" s="65"/>
      <c r="K434" s="65"/>
      <c r="L434" s="65"/>
    </row>
    <row r="435" ht="15.75" customHeight="1">
      <c r="C435" s="65"/>
      <c r="D435" s="65"/>
      <c r="E435" s="65"/>
      <c r="F435" s="65"/>
      <c r="H435" s="65"/>
      <c r="J435" s="65"/>
      <c r="K435" s="65"/>
      <c r="L435" s="65"/>
    </row>
    <row r="436" ht="15.75" customHeight="1">
      <c r="C436" s="65"/>
      <c r="D436" s="65"/>
      <c r="E436" s="65"/>
      <c r="F436" s="65"/>
      <c r="H436" s="65"/>
      <c r="J436" s="65"/>
      <c r="K436" s="65"/>
      <c r="L436" s="65"/>
    </row>
    <row r="437" ht="15.75" customHeight="1">
      <c r="C437" s="65"/>
      <c r="D437" s="65"/>
      <c r="E437" s="65"/>
      <c r="F437" s="65"/>
      <c r="H437" s="65"/>
      <c r="J437" s="65"/>
      <c r="K437" s="65"/>
      <c r="L437" s="65"/>
    </row>
    <row r="438" ht="15.75" customHeight="1">
      <c r="C438" s="65"/>
      <c r="D438" s="65"/>
      <c r="E438" s="65"/>
      <c r="F438" s="65"/>
      <c r="H438" s="65"/>
      <c r="J438" s="65"/>
      <c r="K438" s="65"/>
      <c r="L438" s="65"/>
    </row>
    <row r="439" ht="15.75" customHeight="1">
      <c r="C439" s="65"/>
      <c r="D439" s="65"/>
      <c r="E439" s="65"/>
      <c r="F439" s="65"/>
      <c r="H439" s="65"/>
      <c r="J439" s="65"/>
      <c r="K439" s="65"/>
      <c r="L439" s="65"/>
    </row>
    <row r="440" ht="15.75" customHeight="1">
      <c r="C440" s="65"/>
      <c r="D440" s="65"/>
      <c r="E440" s="65"/>
      <c r="F440" s="65"/>
      <c r="H440" s="65"/>
      <c r="J440" s="65"/>
      <c r="K440" s="65"/>
      <c r="L440" s="65"/>
    </row>
    <row r="441" ht="15.75" customHeight="1">
      <c r="C441" s="65"/>
      <c r="D441" s="65"/>
      <c r="E441" s="65"/>
      <c r="F441" s="65"/>
      <c r="H441" s="65"/>
      <c r="J441" s="65"/>
      <c r="K441" s="65"/>
      <c r="L441" s="65"/>
    </row>
    <row r="442" ht="15.75" customHeight="1">
      <c r="C442" s="65"/>
      <c r="D442" s="65"/>
      <c r="E442" s="65"/>
      <c r="F442" s="65"/>
      <c r="H442" s="65"/>
      <c r="J442" s="65"/>
      <c r="K442" s="65"/>
      <c r="L442" s="65"/>
    </row>
    <row r="443" ht="15.75" customHeight="1">
      <c r="C443" s="65"/>
      <c r="D443" s="65"/>
      <c r="E443" s="65"/>
      <c r="F443" s="65"/>
      <c r="H443" s="65"/>
      <c r="J443" s="65"/>
      <c r="K443" s="65"/>
      <c r="L443" s="65"/>
    </row>
    <row r="444" ht="15.75" customHeight="1">
      <c r="C444" s="65"/>
      <c r="D444" s="65"/>
      <c r="E444" s="65"/>
      <c r="F444" s="65"/>
      <c r="H444" s="65"/>
      <c r="J444" s="65"/>
      <c r="K444" s="65"/>
      <c r="L444" s="65"/>
    </row>
    <row r="445" ht="15.75" customHeight="1">
      <c r="C445" s="65"/>
      <c r="D445" s="65"/>
      <c r="E445" s="65"/>
      <c r="F445" s="65"/>
      <c r="H445" s="65"/>
      <c r="J445" s="65"/>
      <c r="K445" s="65"/>
      <c r="L445" s="65"/>
    </row>
    <row r="446" ht="15.75" customHeight="1">
      <c r="C446" s="65"/>
      <c r="D446" s="65"/>
      <c r="E446" s="65"/>
      <c r="F446" s="65"/>
      <c r="H446" s="65"/>
      <c r="J446" s="65"/>
      <c r="K446" s="65"/>
      <c r="L446" s="65"/>
    </row>
    <row r="447" ht="15.75" customHeight="1">
      <c r="C447" s="65"/>
      <c r="D447" s="65"/>
      <c r="E447" s="65"/>
      <c r="F447" s="65"/>
      <c r="H447" s="65"/>
      <c r="J447" s="65"/>
      <c r="K447" s="65"/>
      <c r="L447" s="65"/>
    </row>
    <row r="448" ht="15.75" customHeight="1">
      <c r="C448" s="65"/>
      <c r="D448" s="65"/>
      <c r="E448" s="65"/>
      <c r="F448" s="65"/>
      <c r="H448" s="65"/>
      <c r="J448" s="65"/>
      <c r="K448" s="65"/>
      <c r="L448" s="65"/>
    </row>
    <row r="449" ht="15.75" customHeight="1">
      <c r="C449" s="65"/>
      <c r="D449" s="65"/>
      <c r="E449" s="65"/>
      <c r="F449" s="65"/>
      <c r="H449" s="65"/>
      <c r="J449" s="65"/>
      <c r="K449" s="65"/>
      <c r="L449" s="65"/>
    </row>
    <row r="450" ht="15.75" customHeight="1">
      <c r="C450" s="65"/>
      <c r="D450" s="65"/>
      <c r="E450" s="65"/>
      <c r="F450" s="65"/>
      <c r="H450" s="65"/>
      <c r="J450" s="65"/>
      <c r="K450" s="65"/>
      <c r="L450" s="65"/>
    </row>
    <row r="451" ht="15.75" customHeight="1">
      <c r="C451" s="65"/>
      <c r="D451" s="65"/>
      <c r="E451" s="65"/>
      <c r="F451" s="65"/>
      <c r="H451" s="65"/>
      <c r="J451" s="65"/>
      <c r="K451" s="65"/>
      <c r="L451" s="65"/>
    </row>
    <row r="452" ht="15.75" customHeight="1">
      <c r="C452" s="65"/>
      <c r="D452" s="65"/>
      <c r="E452" s="65"/>
      <c r="F452" s="65"/>
      <c r="H452" s="65"/>
      <c r="J452" s="65"/>
      <c r="K452" s="65"/>
      <c r="L452" s="65"/>
    </row>
    <row r="453" ht="15.75" customHeight="1">
      <c r="C453" s="65"/>
      <c r="D453" s="65"/>
      <c r="E453" s="65"/>
      <c r="F453" s="65"/>
      <c r="H453" s="65"/>
      <c r="J453" s="65"/>
      <c r="K453" s="65"/>
      <c r="L453" s="65"/>
    </row>
    <row r="454" ht="15.75" customHeight="1">
      <c r="C454" s="65"/>
      <c r="D454" s="65"/>
      <c r="E454" s="65"/>
      <c r="F454" s="65"/>
      <c r="H454" s="65"/>
      <c r="J454" s="65"/>
      <c r="K454" s="65"/>
      <c r="L454" s="65"/>
    </row>
    <row r="455" ht="15.75" customHeight="1">
      <c r="C455" s="65"/>
      <c r="D455" s="65"/>
      <c r="E455" s="65"/>
      <c r="F455" s="65"/>
      <c r="H455" s="65"/>
      <c r="J455" s="65"/>
      <c r="K455" s="65"/>
      <c r="L455" s="65"/>
    </row>
    <row r="456" ht="15.75" customHeight="1">
      <c r="C456" s="65"/>
      <c r="D456" s="65"/>
      <c r="E456" s="65"/>
      <c r="F456" s="65"/>
      <c r="H456" s="65"/>
      <c r="J456" s="65"/>
      <c r="K456" s="65"/>
      <c r="L456" s="65"/>
    </row>
    <row r="457" ht="15.75" customHeight="1">
      <c r="C457" s="65"/>
      <c r="D457" s="65"/>
      <c r="E457" s="65"/>
      <c r="F457" s="65"/>
      <c r="H457" s="65"/>
      <c r="J457" s="65"/>
      <c r="K457" s="65"/>
      <c r="L457" s="65"/>
    </row>
    <row r="458" ht="15.75" customHeight="1">
      <c r="C458" s="65"/>
      <c r="D458" s="65"/>
      <c r="E458" s="65"/>
      <c r="F458" s="65"/>
      <c r="H458" s="65"/>
      <c r="J458" s="65"/>
      <c r="K458" s="65"/>
      <c r="L458" s="65"/>
    </row>
    <row r="459" ht="15.75" customHeight="1">
      <c r="C459" s="65"/>
      <c r="D459" s="65"/>
      <c r="E459" s="65"/>
      <c r="F459" s="65"/>
      <c r="H459" s="65"/>
      <c r="J459" s="65"/>
      <c r="K459" s="65"/>
      <c r="L459" s="65"/>
    </row>
    <row r="460" ht="15.75" customHeight="1">
      <c r="C460" s="65"/>
      <c r="D460" s="65"/>
      <c r="E460" s="65"/>
      <c r="F460" s="65"/>
      <c r="H460" s="65"/>
      <c r="J460" s="65"/>
      <c r="K460" s="65"/>
      <c r="L460" s="65"/>
    </row>
    <row r="461" ht="15.75" customHeight="1">
      <c r="C461" s="65"/>
      <c r="D461" s="65"/>
      <c r="E461" s="65"/>
      <c r="F461" s="65"/>
      <c r="H461" s="65"/>
      <c r="J461" s="65"/>
      <c r="K461" s="65"/>
      <c r="L461" s="65"/>
    </row>
    <row r="462" ht="15.75" customHeight="1">
      <c r="C462" s="65"/>
      <c r="D462" s="65"/>
      <c r="E462" s="65"/>
      <c r="F462" s="65"/>
      <c r="H462" s="65"/>
      <c r="J462" s="65"/>
      <c r="K462" s="65"/>
      <c r="L462" s="65"/>
    </row>
    <row r="463" ht="15.75" customHeight="1">
      <c r="C463" s="65"/>
      <c r="D463" s="65"/>
      <c r="E463" s="65"/>
      <c r="F463" s="65"/>
      <c r="H463" s="65"/>
      <c r="J463" s="65"/>
      <c r="K463" s="65"/>
      <c r="L463" s="65"/>
    </row>
    <row r="464" ht="15.75" customHeight="1">
      <c r="C464" s="65"/>
      <c r="D464" s="65"/>
      <c r="E464" s="65"/>
      <c r="F464" s="65"/>
      <c r="H464" s="65"/>
      <c r="J464" s="65"/>
      <c r="K464" s="65"/>
      <c r="L464" s="65"/>
    </row>
    <row r="465" ht="15.75" customHeight="1">
      <c r="C465" s="65"/>
      <c r="D465" s="65"/>
      <c r="E465" s="65"/>
      <c r="F465" s="65"/>
      <c r="H465" s="65"/>
      <c r="J465" s="65"/>
      <c r="K465" s="65"/>
      <c r="L465" s="65"/>
    </row>
    <row r="466" ht="15.75" customHeight="1">
      <c r="C466" s="65"/>
      <c r="D466" s="65"/>
      <c r="E466" s="65"/>
      <c r="F466" s="65"/>
      <c r="H466" s="65"/>
      <c r="J466" s="65"/>
      <c r="K466" s="65"/>
      <c r="L466" s="65"/>
    </row>
    <row r="467" ht="15.75" customHeight="1">
      <c r="C467" s="65"/>
      <c r="D467" s="65"/>
      <c r="E467" s="65"/>
      <c r="F467" s="65"/>
      <c r="H467" s="65"/>
      <c r="J467" s="65"/>
      <c r="K467" s="65"/>
      <c r="L467" s="65"/>
    </row>
    <row r="468" ht="15.75" customHeight="1">
      <c r="C468" s="65"/>
      <c r="D468" s="65"/>
      <c r="E468" s="65"/>
      <c r="F468" s="65"/>
      <c r="H468" s="65"/>
      <c r="J468" s="65"/>
      <c r="K468" s="65"/>
      <c r="L468" s="65"/>
    </row>
    <row r="469" ht="15.75" customHeight="1">
      <c r="C469" s="65"/>
      <c r="D469" s="65"/>
      <c r="E469" s="65"/>
      <c r="F469" s="65"/>
      <c r="H469" s="65"/>
      <c r="J469" s="65"/>
      <c r="K469" s="65"/>
      <c r="L469" s="65"/>
    </row>
    <row r="470" ht="15.75" customHeight="1">
      <c r="C470" s="65"/>
      <c r="D470" s="65"/>
      <c r="E470" s="65"/>
      <c r="F470" s="65"/>
      <c r="H470" s="65"/>
      <c r="J470" s="65"/>
      <c r="K470" s="65"/>
      <c r="L470" s="65"/>
    </row>
    <row r="471" ht="15.75" customHeight="1">
      <c r="C471" s="65"/>
      <c r="D471" s="65"/>
      <c r="E471" s="65"/>
      <c r="F471" s="65"/>
      <c r="H471" s="65"/>
      <c r="J471" s="65"/>
      <c r="K471" s="65"/>
      <c r="L471" s="65"/>
    </row>
    <row r="472" ht="15.75" customHeight="1">
      <c r="C472" s="65"/>
      <c r="D472" s="65"/>
      <c r="E472" s="65"/>
      <c r="F472" s="65"/>
      <c r="H472" s="65"/>
      <c r="J472" s="65"/>
      <c r="K472" s="65"/>
      <c r="L472" s="65"/>
    </row>
    <row r="473" ht="15.75" customHeight="1">
      <c r="C473" s="65"/>
      <c r="D473" s="65"/>
      <c r="E473" s="65"/>
      <c r="F473" s="65"/>
      <c r="H473" s="65"/>
      <c r="J473" s="65"/>
      <c r="K473" s="65"/>
      <c r="L473" s="65"/>
    </row>
    <row r="474" ht="15.75" customHeight="1">
      <c r="C474" s="65"/>
      <c r="D474" s="65"/>
      <c r="E474" s="65"/>
      <c r="F474" s="65"/>
      <c r="H474" s="65"/>
      <c r="J474" s="65"/>
      <c r="K474" s="65"/>
      <c r="L474" s="65"/>
    </row>
    <row r="475" ht="15.75" customHeight="1">
      <c r="C475" s="65"/>
      <c r="D475" s="65"/>
      <c r="E475" s="65"/>
      <c r="F475" s="65"/>
      <c r="H475" s="65"/>
      <c r="J475" s="65"/>
      <c r="K475" s="65"/>
      <c r="L475" s="65"/>
    </row>
    <row r="476" ht="15.75" customHeight="1">
      <c r="C476" s="65"/>
      <c r="D476" s="65"/>
      <c r="E476" s="65"/>
      <c r="F476" s="65"/>
      <c r="H476" s="65"/>
      <c r="J476" s="65"/>
      <c r="K476" s="65"/>
      <c r="L476" s="65"/>
    </row>
    <row r="477" ht="15.75" customHeight="1">
      <c r="C477" s="65"/>
      <c r="D477" s="65"/>
      <c r="E477" s="65"/>
      <c r="F477" s="65"/>
      <c r="H477" s="65"/>
      <c r="J477" s="65"/>
      <c r="K477" s="65"/>
      <c r="L477" s="65"/>
    </row>
    <row r="478" ht="15.75" customHeight="1">
      <c r="C478" s="65"/>
      <c r="D478" s="65"/>
      <c r="E478" s="65"/>
      <c r="F478" s="65"/>
      <c r="H478" s="65"/>
      <c r="J478" s="65"/>
      <c r="K478" s="65"/>
      <c r="L478" s="65"/>
    </row>
    <row r="479" ht="15.75" customHeight="1">
      <c r="C479" s="65"/>
      <c r="D479" s="65"/>
      <c r="E479" s="65"/>
      <c r="F479" s="65"/>
      <c r="H479" s="65"/>
      <c r="J479" s="65"/>
      <c r="K479" s="65"/>
      <c r="L479" s="65"/>
    </row>
    <row r="480" ht="15.75" customHeight="1">
      <c r="C480" s="65"/>
      <c r="D480" s="65"/>
      <c r="E480" s="65"/>
      <c r="F480" s="65"/>
      <c r="H480" s="65"/>
      <c r="J480" s="65"/>
      <c r="K480" s="65"/>
      <c r="L480" s="65"/>
    </row>
    <row r="481" ht="15.75" customHeight="1">
      <c r="C481" s="65"/>
      <c r="D481" s="65"/>
      <c r="E481" s="65"/>
      <c r="F481" s="65"/>
      <c r="H481" s="65"/>
      <c r="J481" s="65"/>
      <c r="K481" s="65"/>
      <c r="L481" s="65"/>
    </row>
    <row r="482" ht="15.75" customHeight="1">
      <c r="C482" s="65"/>
      <c r="D482" s="65"/>
      <c r="E482" s="65"/>
      <c r="F482" s="65"/>
      <c r="H482" s="65"/>
      <c r="J482" s="65"/>
      <c r="K482" s="65"/>
      <c r="L482" s="65"/>
    </row>
    <row r="483" ht="15.75" customHeight="1">
      <c r="C483" s="65"/>
      <c r="D483" s="65"/>
      <c r="E483" s="65"/>
      <c r="F483" s="65"/>
      <c r="H483" s="65"/>
      <c r="J483" s="65"/>
      <c r="K483" s="65"/>
      <c r="L483" s="65"/>
    </row>
    <row r="484" ht="15.75" customHeight="1">
      <c r="C484" s="65"/>
      <c r="D484" s="65"/>
      <c r="E484" s="65"/>
      <c r="F484" s="65"/>
      <c r="H484" s="65"/>
      <c r="J484" s="65"/>
      <c r="K484" s="65"/>
      <c r="L484" s="65"/>
    </row>
    <row r="485" ht="15.75" customHeight="1">
      <c r="C485" s="65"/>
      <c r="D485" s="65"/>
      <c r="E485" s="65"/>
      <c r="F485" s="65"/>
      <c r="H485" s="65"/>
      <c r="J485" s="65"/>
      <c r="K485" s="65"/>
      <c r="L485" s="65"/>
    </row>
    <row r="486" ht="15.75" customHeight="1">
      <c r="C486" s="65"/>
      <c r="D486" s="65"/>
      <c r="E486" s="65"/>
      <c r="F486" s="65"/>
      <c r="H486" s="65"/>
      <c r="J486" s="65"/>
      <c r="K486" s="65"/>
      <c r="L486" s="65"/>
    </row>
    <row r="487" ht="15.75" customHeight="1">
      <c r="C487" s="65"/>
      <c r="D487" s="65"/>
      <c r="E487" s="65"/>
      <c r="F487" s="65"/>
      <c r="H487" s="65"/>
      <c r="J487" s="65"/>
      <c r="K487" s="65"/>
      <c r="L487" s="65"/>
    </row>
    <row r="488" ht="15.75" customHeight="1">
      <c r="C488" s="65"/>
      <c r="D488" s="65"/>
      <c r="E488" s="65"/>
      <c r="F488" s="65"/>
      <c r="H488" s="65"/>
      <c r="J488" s="65"/>
      <c r="K488" s="65"/>
      <c r="L488" s="65"/>
    </row>
    <row r="489" ht="15.75" customHeight="1">
      <c r="C489" s="65"/>
      <c r="D489" s="65"/>
      <c r="E489" s="65"/>
      <c r="F489" s="65"/>
      <c r="H489" s="65"/>
      <c r="J489" s="65"/>
      <c r="K489" s="65"/>
      <c r="L489" s="65"/>
    </row>
    <row r="490" ht="15.75" customHeight="1">
      <c r="C490" s="65"/>
      <c r="D490" s="65"/>
      <c r="E490" s="65"/>
      <c r="F490" s="65"/>
      <c r="H490" s="65"/>
      <c r="J490" s="65"/>
      <c r="K490" s="65"/>
      <c r="L490" s="65"/>
    </row>
    <row r="491" ht="15.75" customHeight="1">
      <c r="C491" s="65"/>
      <c r="D491" s="65"/>
      <c r="E491" s="65"/>
      <c r="F491" s="65"/>
      <c r="H491" s="65"/>
      <c r="J491" s="65"/>
      <c r="K491" s="65"/>
      <c r="L491" s="65"/>
    </row>
    <row r="492" ht="15.75" customHeight="1">
      <c r="C492" s="65"/>
      <c r="D492" s="65"/>
      <c r="E492" s="65"/>
      <c r="F492" s="65"/>
      <c r="H492" s="65"/>
      <c r="J492" s="65"/>
      <c r="K492" s="65"/>
      <c r="L492" s="65"/>
    </row>
    <row r="493" ht="15.75" customHeight="1">
      <c r="C493" s="65"/>
      <c r="D493" s="65"/>
      <c r="E493" s="65"/>
      <c r="F493" s="65"/>
      <c r="H493" s="65"/>
      <c r="J493" s="65"/>
      <c r="K493" s="65"/>
      <c r="L493" s="65"/>
    </row>
    <row r="494" ht="15.75" customHeight="1">
      <c r="C494" s="65"/>
      <c r="D494" s="65"/>
      <c r="E494" s="65"/>
      <c r="F494" s="65"/>
      <c r="H494" s="65"/>
      <c r="J494" s="65"/>
      <c r="K494" s="65"/>
      <c r="L494" s="65"/>
    </row>
    <row r="495" ht="15.75" customHeight="1">
      <c r="C495" s="65"/>
      <c r="D495" s="65"/>
      <c r="E495" s="65"/>
      <c r="F495" s="65"/>
      <c r="H495" s="65"/>
      <c r="J495" s="65"/>
      <c r="K495" s="65"/>
      <c r="L495" s="65"/>
    </row>
    <row r="496" ht="15.75" customHeight="1">
      <c r="C496" s="65"/>
      <c r="D496" s="65"/>
      <c r="E496" s="65"/>
      <c r="F496" s="65"/>
      <c r="H496" s="65"/>
      <c r="J496" s="65"/>
      <c r="K496" s="65"/>
      <c r="L496" s="65"/>
    </row>
    <row r="497" ht="15.75" customHeight="1">
      <c r="C497" s="65"/>
      <c r="D497" s="65"/>
      <c r="E497" s="65"/>
      <c r="F497" s="65"/>
      <c r="H497" s="65"/>
      <c r="J497" s="65"/>
      <c r="K497" s="65"/>
      <c r="L497" s="65"/>
    </row>
    <row r="498" ht="15.75" customHeight="1">
      <c r="C498" s="65"/>
      <c r="D498" s="65"/>
      <c r="E498" s="65"/>
      <c r="F498" s="65"/>
      <c r="H498" s="65"/>
      <c r="J498" s="65"/>
      <c r="K498" s="65"/>
      <c r="L498" s="65"/>
    </row>
    <row r="499" ht="15.75" customHeight="1">
      <c r="C499" s="65"/>
      <c r="D499" s="65"/>
      <c r="E499" s="65"/>
      <c r="F499" s="65"/>
      <c r="H499" s="65"/>
      <c r="J499" s="65"/>
      <c r="K499" s="65"/>
      <c r="L499" s="65"/>
    </row>
    <row r="500" ht="15.75" customHeight="1">
      <c r="C500" s="65"/>
      <c r="D500" s="65"/>
      <c r="E500" s="65"/>
      <c r="F500" s="65"/>
      <c r="H500" s="65"/>
      <c r="J500" s="65"/>
      <c r="K500" s="65"/>
      <c r="L500" s="65"/>
    </row>
    <row r="501" ht="15.75" customHeight="1">
      <c r="C501" s="65"/>
      <c r="D501" s="65"/>
      <c r="E501" s="65"/>
      <c r="F501" s="65"/>
      <c r="H501" s="65"/>
      <c r="J501" s="65"/>
      <c r="K501" s="65"/>
      <c r="L501" s="65"/>
    </row>
    <row r="502" ht="15.75" customHeight="1">
      <c r="C502" s="65"/>
      <c r="D502" s="65"/>
      <c r="E502" s="65"/>
      <c r="F502" s="65"/>
      <c r="H502" s="65"/>
      <c r="J502" s="65"/>
      <c r="K502" s="65"/>
      <c r="L502" s="65"/>
    </row>
    <row r="503" ht="15.75" customHeight="1">
      <c r="C503" s="65"/>
      <c r="D503" s="65"/>
      <c r="E503" s="65"/>
      <c r="F503" s="65"/>
      <c r="H503" s="65"/>
      <c r="J503" s="65"/>
      <c r="K503" s="65"/>
      <c r="L503" s="65"/>
    </row>
    <row r="504" ht="15.75" customHeight="1">
      <c r="C504" s="65"/>
      <c r="D504" s="65"/>
      <c r="E504" s="65"/>
      <c r="F504" s="65"/>
      <c r="H504" s="65"/>
      <c r="J504" s="65"/>
      <c r="K504" s="65"/>
      <c r="L504" s="65"/>
    </row>
    <row r="505" ht="15.75" customHeight="1">
      <c r="C505" s="65"/>
      <c r="D505" s="65"/>
      <c r="E505" s="65"/>
      <c r="F505" s="65"/>
      <c r="H505" s="65"/>
      <c r="J505" s="65"/>
      <c r="K505" s="65"/>
      <c r="L505" s="65"/>
    </row>
    <row r="506" ht="15.75" customHeight="1">
      <c r="C506" s="65"/>
      <c r="D506" s="65"/>
      <c r="E506" s="65"/>
      <c r="F506" s="65"/>
      <c r="H506" s="65"/>
      <c r="J506" s="65"/>
      <c r="K506" s="65"/>
      <c r="L506" s="65"/>
    </row>
    <row r="507" ht="15.75" customHeight="1">
      <c r="C507" s="65"/>
      <c r="D507" s="65"/>
      <c r="E507" s="65"/>
      <c r="F507" s="65"/>
      <c r="H507" s="65"/>
      <c r="J507" s="65"/>
      <c r="K507" s="65"/>
      <c r="L507" s="65"/>
    </row>
    <row r="508" ht="15.75" customHeight="1">
      <c r="C508" s="65"/>
      <c r="D508" s="65"/>
      <c r="E508" s="65"/>
      <c r="F508" s="65"/>
      <c r="H508" s="65"/>
      <c r="J508" s="65"/>
      <c r="K508" s="65"/>
      <c r="L508" s="65"/>
    </row>
    <row r="509" ht="15.75" customHeight="1">
      <c r="C509" s="65"/>
      <c r="D509" s="65"/>
      <c r="E509" s="65"/>
      <c r="F509" s="65"/>
      <c r="H509" s="65"/>
      <c r="J509" s="65"/>
      <c r="K509" s="65"/>
      <c r="L509" s="65"/>
    </row>
    <row r="510" ht="15.75" customHeight="1">
      <c r="C510" s="65"/>
      <c r="D510" s="65"/>
      <c r="E510" s="65"/>
      <c r="F510" s="65"/>
      <c r="H510" s="65"/>
      <c r="J510" s="65"/>
      <c r="K510" s="65"/>
      <c r="L510" s="65"/>
    </row>
    <row r="511" ht="15.75" customHeight="1">
      <c r="C511" s="65"/>
      <c r="D511" s="65"/>
      <c r="E511" s="65"/>
      <c r="F511" s="65"/>
      <c r="H511" s="65"/>
      <c r="J511" s="65"/>
      <c r="K511" s="65"/>
      <c r="L511" s="65"/>
    </row>
    <row r="512" ht="15.75" customHeight="1">
      <c r="C512" s="65"/>
      <c r="D512" s="65"/>
      <c r="E512" s="65"/>
      <c r="F512" s="65"/>
      <c r="H512" s="65"/>
      <c r="J512" s="65"/>
      <c r="K512" s="65"/>
      <c r="L512" s="65"/>
    </row>
    <row r="513" ht="15.75" customHeight="1">
      <c r="C513" s="65"/>
      <c r="D513" s="65"/>
      <c r="E513" s="65"/>
      <c r="F513" s="65"/>
      <c r="H513" s="65"/>
      <c r="J513" s="65"/>
      <c r="K513" s="65"/>
      <c r="L513" s="65"/>
    </row>
    <row r="514" ht="15.75" customHeight="1">
      <c r="C514" s="65"/>
      <c r="D514" s="65"/>
      <c r="E514" s="65"/>
      <c r="F514" s="65"/>
      <c r="H514" s="65"/>
      <c r="J514" s="65"/>
      <c r="K514" s="65"/>
      <c r="L514" s="65"/>
    </row>
    <row r="515" ht="15.75" customHeight="1">
      <c r="C515" s="65"/>
      <c r="D515" s="65"/>
      <c r="E515" s="65"/>
      <c r="F515" s="65"/>
      <c r="H515" s="65"/>
      <c r="J515" s="65"/>
      <c r="K515" s="65"/>
      <c r="L515" s="65"/>
    </row>
    <row r="516" ht="15.75" customHeight="1">
      <c r="C516" s="65"/>
      <c r="D516" s="65"/>
      <c r="E516" s="65"/>
      <c r="F516" s="65"/>
      <c r="H516" s="65"/>
      <c r="J516" s="65"/>
      <c r="K516" s="65"/>
      <c r="L516" s="65"/>
    </row>
    <row r="517" ht="15.75" customHeight="1">
      <c r="C517" s="65"/>
      <c r="D517" s="65"/>
      <c r="E517" s="65"/>
      <c r="F517" s="65"/>
      <c r="H517" s="65"/>
      <c r="J517" s="65"/>
      <c r="K517" s="65"/>
      <c r="L517" s="65"/>
    </row>
    <row r="518" ht="15.75" customHeight="1">
      <c r="C518" s="65"/>
      <c r="D518" s="65"/>
      <c r="E518" s="65"/>
      <c r="F518" s="65"/>
      <c r="H518" s="65"/>
      <c r="J518" s="65"/>
      <c r="K518" s="65"/>
      <c r="L518" s="65"/>
    </row>
    <row r="519" ht="15.75" customHeight="1">
      <c r="C519" s="65"/>
      <c r="D519" s="65"/>
      <c r="E519" s="65"/>
      <c r="F519" s="65"/>
      <c r="H519" s="65"/>
      <c r="J519" s="65"/>
      <c r="K519" s="65"/>
      <c r="L519" s="65"/>
    </row>
    <row r="520" ht="15.75" customHeight="1">
      <c r="C520" s="65"/>
      <c r="D520" s="65"/>
      <c r="E520" s="65"/>
      <c r="F520" s="65"/>
      <c r="H520" s="65"/>
      <c r="J520" s="65"/>
      <c r="K520" s="65"/>
      <c r="L520" s="65"/>
    </row>
    <row r="521" ht="15.75" customHeight="1">
      <c r="C521" s="65"/>
      <c r="D521" s="65"/>
      <c r="E521" s="65"/>
      <c r="F521" s="65"/>
      <c r="H521" s="65"/>
      <c r="J521" s="65"/>
      <c r="K521" s="65"/>
      <c r="L521" s="65"/>
    </row>
    <row r="522" ht="15.75" customHeight="1">
      <c r="C522" s="65"/>
      <c r="D522" s="65"/>
      <c r="E522" s="65"/>
      <c r="F522" s="65"/>
      <c r="H522" s="65"/>
      <c r="J522" s="65"/>
      <c r="K522" s="65"/>
      <c r="L522" s="65"/>
    </row>
    <row r="523" ht="15.75" customHeight="1">
      <c r="C523" s="65"/>
      <c r="D523" s="65"/>
      <c r="E523" s="65"/>
      <c r="F523" s="65"/>
      <c r="H523" s="65"/>
      <c r="J523" s="65"/>
      <c r="K523" s="65"/>
      <c r="L523" s="65"/>
    </row>
    <row r="524" ht="15.75" customHeight="1">
      <c r="C524" s="65"/>
      <c r="D524" s="65"/>
      <c r="E524" s="65"/>
      <c r="F524" s="65"/>
      <c r="H524" s="65"/>
      <c r="J524" s="65"/>
      <c r="K524" s="65"/>
      <c r="L524" s="65"/>
    </row>
    <row r="525" ht="15.75" customHeight="1">
      <c r="C525" s="65"/>
      <c r="D525" s="65"/>
      <c r="E525" s="65"/>
      <c r="F525" s="65"/>
      <c r="H525" s="65"/>
      <c r="J525" s="65"/>
      <c r="K525" s="65"/>
      <c r="L525" s="65"/>
    </row>
    <row r="526" ht="15.75" customHeight="1">
      <c r="C526" s="65"/>
      <c r="D526" s="65"/>
      <c r="E526" s="65"/>
      <c r="F526" s="65"/>
      <c r="H526" s="65"/>
      <c r="J526" s="65"/>
      <c r="K526" s="65"/>
      <c r="L526" s="65"/>
    </row>
    <row r="527" ht="15.75" customHeight="1">
      <c r="C527" s="65"/>
      <c r="D527" s="65"/>
      <c r="E527" s="65"/>
      <c r="F527" s="65"/>
      <c r="H527" s="65"/>
      <c r="J527" s="65"/>
      <c r="K527" s="65"/>
      <c r="L527" s="65"/>
    </row>
    <row r="528" ht="15.75" customHeight="1">
      <c r="C528" s="65"/>
      <c r="D528" s="65"/>
      <c r="E528" s="65"/>
      <c r="F528" s="65"/>
      <c r="H528" s="65"/>
      <c r="J528" s="65"/>
      <c r="K528" s="65"/>
      <c r="L528" s="65"/>
    </row>
    <row r="529" ht="15.75" customHeight="1">
      <c r="C529" s="65"/>
      <c r="D529" s="65"/>
      <c r="E529" s="65"/>
      <c r="F529" s="65"/>
      <c r="H529" s="65"/>
      <c r="J529" s="65"/>
      <c r="K529" s="65"/>
      <c r="L529" s="65"/>
    </row>
    <row r="530" ht="15.75" customHeight="1">
      <c r="C530" s="65"/>
      <c r="D530" s="65"/>
      <c r="E530" s="65"/>
      <c r="F530" s="65"/>
      <c r="H530" s="65"/>
      <c r="J530" s="65"/>
      <c r="K530" s="65"/>
      <c r="L530" s="65"/>
    </row>
    <row r="531" ht="15.75" customHeight="1">
      <c r="C531" s="65"/>
      <c r="D531" s="65"/>
      <c r="E531" s="65"/>
      <c r="F531" s="65"/>
      <c r="H531" s="65"/>
      <c r="J531" s="65"/>
      <c r="K531" s="65"/>
      <c r="L531" s="65"/>
    </row>
    <row r="532" ht="15.75" customHeight="1">
      <c r="C532" s="65"/>
      <c r="D532" s="65"/>
      <c r="E532" s="65"/>
      <c r="F532" s="65"/>
      <c r="H532" s="65"/>
      <c r="J532" s="65"/>
      <c r="K532" s="65"/>
      <c r="L532" s="65"/>
    </row>
    <row r="533" ht="15.75" customHeight="1">
      <c r="C533" s="65"/>
      <c r="D533" s="65"/>
      <c r="E533" s="65"/>
      <c r="F533" s="65"/>
      <c r="H533" s="65"/>
      <c r="J533" s="65"/>
      <c r="K533" s="65"/>
      <c r="L533" s="65"/>
    </row>
    <row r="534" ht="15.75" customHeight="1">
      <c r="C534" s="65"/>
      <c r="D534" s="65"/>
      <c r="E534" s="65"/>
      <c r="F534" s="65"/>
      <c r="H534" s="65"/>
      <c r="J534" s="65"/>
      <c r="K534" s="65"/>
      <c r="L534" s="65"/>
    </row>
    <row r="535" ht="15.75" customHeight="1">
      <c r="C535" s="65"/>
      <c r="D535" s="65"/>
      <c r="E535" s="65"/>
      <c r="F535" s="65"/>
      <c r="H535" s="65"/>
      <c r="J535" s="65"/>
      <c r="K535" s="65"/>
      <c r="L535" s="65"/>
    </row>
    <row r="536" ht="15.75" customHeight="1">
      <c r="C536" s="65"/>
      <c r="D536" s="65"/>
      <c r="E536" s="65"/>
      <c r="F536" s="65"/>
      <c r="H536" s="65"/>
      <c r="J536" s="65"/>
      <c r="K536" s="65"/>
      <c r="L536" s="65"/>
    </row>
    <row r="537" ht="15.75" customHeight="1">
      <c r="C537" s="65"/>
      <c r="D537" s="65"/>
      <c r="E537" s="65"/>
      <c r="F537" s="65"/>
      <c r="H537" s="65"/>
      <c r="J537" s="65"/>
      <c r="K537" s="65"/>
      <c r="L537" s="65"/>
    </row>
    <row r="538" ht="15.75" customHeight="1">
      <c r="C538" s="65"/>
      <c r="D538" s="65"/>
      <c r="E538" s="65"/>
      <c r="F538" s="65"/>
      <c r="H538" s="65"/>
      <c r="J538" s="65"/>
      <c r="K538" s="65"/>
      <c r="L538" s="65"/>
    </row>
    <row r="539" ht="15.75" customHeight="1">
      <c r="C539" s="65"/>
      <c r="D539" s="65"/>
      <c r="E539" s="65"/>
      <c r="F539" s="65"/>
      <c r="H539" s="65"/>
      <c r="J539" s="65"/>
      <c r="K539" s="65"/>
      <c r="L539" s="65"/>
    </row>
    <row r="540" ht="15.75" customHeight="1">
      <c r="C540" s="65"/>
      <c r="D540" s="65"/>
      <c r="E540" s="65"/>
      <c r="F540" s="65"/>
      <c r="H540" s="65"/>
      <c r="J540" s="65"/>
      <c r="K540" s="65"/>
      <c r="L540" s="65"/>
    </row>
    <row r="541" ht="15.75" customHeight="1">
      <c r="C541" s="65"/>
      <c r="D541" s="65"/>
      <c r="E541" s="65"/>
      <c r="F541" s="65"/>
      <c r="H541" s="65"/>
      <c r="J541" s="65"/>
      <c r="K541" s="65"/>
      <c r="L541" s="65"/>
    </row>
    <row r="542" ht="15.75" customHeight="1">
      <c r="C542" s="65"/>
      <c r="D542" s="65"/>
      <c r="E542" s="65"/>
      <c r="F542" s="65"/>
      <c r="H542" s="65"/>
      <c r="J542" s="65"/>
      <c r="K542" s="65"/>
      <c r="L542" s="65"/>
    </row>
    <row r="543" ht="15.75" customHeight="1">
      <c r="C543" s="65"/>
      <c r="D543" s="65"/>
      <c r="E543" s="65"/>
      <c r="F543" s="65"/>
      <c r="H543" s="65"/>
      <c r="J543" s="65"/>
      <c r="K543" s="65"/>
      <c r="L543" s="65"/>
    </row>
    <row r="544" ht="15.75" customHeight="1">
      <c r="C544" s="65"/>
      <c r="D544" s="65"/>
      <c r="E544" s="65"/>
      <c r="F544" s="65"/>
      <c r="H544" s="65"/>
      <c r="J544" s="65"/>
      <c r="K544" s="65"/>
      <c r="L544" s="65"/>
    </row>
    <row r="545" ht="15.75" customHeight="1">
      <c r="C545" s="65"/>
      <c r="D545" s="65"/>
      <c r="E545" s="65"/>
      <c r="F545" s="65"/>
      <c r="H545" s="65"/>
      <c r="J545" s="65"/>
      <c r="K545" s="65"/>
      <c r="L545" s="65"/>
    </row>
    <row r="546" ht="15.75" customHeight="1">
      <c r="C546" s="65"/>
      <c r="D546" s="65"/>
      <c r="E546" s="65"/>
      <c r="F546" s="65"/>
      <c r="H546" s="65"/>
      <c r="J546" s="65"/>
      <c r="K546" s="65"/>
      <c r="L546" s="65"/>
    </row>
    <row r="547" ht="15.75" customHeight="1">
      <c r="C547" s="65"/>
      <c r="D547" s="65"/>
      <c r="E547" s="65"/>
      <c r="F547" s="65"/>
      <c r="H547" s="65"/>
      <c r="J547" s="65"/>
      <c r="K547" s="65"/>
      <c r="L547" s="65"/>
    </row>
    <row r="548" ht="15.75" customHeight="1">
      <c r="C548" s="65"/>
      <c r="D548" s="65"/>
      <c r="E548" s="65"/>
      <c r="F548" s="65"/>
      <c r="H548" s="65"/>
      <c r="J548" s="65"/>
      <c r="K548" s="65"/>
      <c r="L548" s="65"/>
    </row>
    <row r="549" ht="15.75" customHeight="1">
      <c r="C549" s="65"/>
      <c r="D549" s="65"/>
      <c r="E549" s="65"/>
      <c r="F549" s="65"/>
      <c r="H549" s="65"/>
      <c r="J549" s="65"/>
      <c r="K549" s="65"/>
      <c r="L549" s="65"/>
    </row>
    <row r="550" ht="15.75" customHeight="1">
      <c r="C550" s="65"/>
      <c r="D550" s="65"/>
      <c r="E550" s="65"/>
      <c r="F550" s="65"/>
      <c r="H550" s="65"/>
      <c r="J550" s="65"/>
      <c r="K550" s="65"/>
      <c r="L550" s="65"/>
    </row>
    <row r="551" ht="15.75" customHeight="1">
      <c r="C551" s="65"/>
      <c r="D551" s="65"/>
      <c r="E551" s="65"/>
      <c r="F551" s="65"/>
      <c r="H551" s="65"/>
      <c r="J551" s="65"/>
      <c r="K551" s="65"/>
      <c r="L551" s="65"/>
    </row>
    <row r="552" ht="15.75" customHeight="1">
      <c r="C552" s="65"/>
      <c r="D552" s="65"/>
      <c r="E552" s="65"/>
      <c r="F552" s="65"/>
      <c r="H552" s="65"/>
      <c r="J552" s="65"/>
      <c r="K552" s="65"/>
      <c r="L552" s="65"/>
    </row>
    <row r="553" ht="15.75" customHeight="1">
      <c r="C553" s="65"/>
      <c r="D553" s="65"/>
      <c r="E553" s="65"/>
      <c r="F553" s="65"/>
      <c r="H553" s="65"/>
      <c r="J553" s="65"/>
      <c r="K553" s="65"/>
      <c r="L553" s="65"/>
    </row>
    <row r="554" ht="15.75" customHeight="1">
      <c r="C554" s="65"/>
      <c r="D554" s="65"/>
      <c r="E554" s="65"/>
      <c r="F554" s="65"/>
      <c r="H554" s="65"/>
      <c r="J554" s="65"/>
      <c r="K554" s="65"/>
      <c r="L554" s="65"/>
    </row>
    <row r="555" ht="15.75" customHeight="1">
      <c r="C555" s="65"/>
      <c r="D555" s="65"/>
      <c r="E555" s="65"/>
      <c r="F555" s="65"/>
      <c r="H555" s="65"/>
      <c r="J555" s="65"/>
      <c r="K555" s="65"/>
      <c r="L555" s="65"/>
    </row>
    <row r="556" ht="15.75" customHeight="1">
      <c r="C556" s="65"/>
      <c r="D556" s="65"/>
      <c r="E556" s="65"/>
      <c r="F556" s="65"/>
      <c r="H556" s="65"/>
      <c r="J556" s="65"/>
      <c r="K556" s="65"/>
      <c r="L556" s="65"/>
    </row>
    <row r="557" ht="15.75" customHeight="1">
      <c r="C557" s="65"/>
      <c r="D557" s="65"/>
      <c r="E557" s="65"/>
      <c r="F557" s="65"/>
      <c r="H557" s="65"/>
      <c r="J557" s="65"/>
      <c r="K557" s="65"/>
      <c r="L557" s="65"/>
    </row>
    <row r="558" ht="15.75" customHeight="1">
      <c r="C558" s="65"/>
      <c r="D558" s="65"/>
      <c r="E558" s="65"/>
      <c r="F558" s="65"/>
      <c r="H558" s="65"/>
      <c r="J558" s="65"/>
      <c r="K558" s="65"/>
      <c r="L558" s="65"/>
    </row>
    <row r="559" ht="15.75" customHeight="1">
      <c r="C559" s="65"/>
      <c r="D559" s="65"/>
      <c r="E559" s="65"/>
      <c r="F559" s="65"/>
      <c r="H559" s="65"/>
      <c r="J559" s="65"/>
      <c r="K559" s="65"/>
      <c r="L559" s="65"/>
    </row>
    <row r="560" ht="15.75" customHeight="1">
      <c r="C560" s="65"/>
      <c r="D560" s="65"/>
      <c r="E560" s="65"/>
      <c r="F560" s="65"/>
      <c r="H560" s="65"/>
      <c r="J560" s="65"/>
      <c r="K560" s="65"/>
      <c r="L560" s="65"/>
    </row>
    <row r="561" ht="15.75" customHeight="1">
      <c r="C561" s="65"/>
      <c r="D561" s="65"/>
      <c r="E561" s="65"/>
      <c r="F561" s="65"/>
      <c r="H561" s="65"/>
      <c r="J561" s="65"/>
      <c r="K561" s="65"/>
      <c r="L561" s="65"/>
    </row>
    <row r="562" ht="15.75" customHeight="1">
      <c r="C562" s="65"/>
      <c r="D562" s="65"/>
      <c r="E562" s="65"/>
      <c r="F562" s="65"/>
      <c r="H562" s="65"/>
      <c r="J562" s="65"/>
      <c r="K562" s="65"/>
      <c r="L562" s="65"/>
    </row>
    <row r="563" ht="15.75" customHeight="1">
      <c r="C563" s="65"/>
      <c r="D563" s="65"/>
      <c r="E563" s="65"/>
      <c r="F563" s="65"/>
      <c r="H563" s="65"/>
      <c r="J563" s="65"/>
      <c r="K563" s="65"/>
      <c r="L563" s="65"/>
    </row>
    <row r="564" ht="15.75" customHeight="1">
      <c r="C564" s="65"/>
      <c r="D564" s="65"/>
      <c r="E564" s="65"/>
      <c r="F564" s="65"/>
      <c r="H564" s="65"/>
      <c r="J564" s="65"/>
      <c r="K564" s="65"/>
      <c r="L564" s="65"/>
    </row>
    <row r="565" ht="15.75" customHeight="1">
      <c r="C565" s="65"/>
      <c r="D565" s="65"/>
      <c r="E565" s="65"/>
      <c r="F565" s="65"/>
      <c r="H565" s="65"/>
      <c r="J565" s="65"/>
      <c r="K565" s="65"/>
      <c r="L565" s="65"/>
    </row>
    <row r="566" ht="15.75" customHeight="1">
      <c r="C566" s="65"/>
      <c r="D566" s="65"/>
      <c r="E566" s="65"/>
      <c r="F566" s="65"/>
      <c r="H566" s="65"/>
      <c r="J566" s="65"/>
      <c r="K566" s="65"/>
      <c r="L566" s="65"/>
    </row>
    <row r="567" ht="15.75" customHeight="1">
      <c r="C567" s="65"/>
      <c r="D567" s="65"/>
      <c r="E567" s="65"/>
      <c r="F567" s="65"/>
      <c r="H567" s="65"/>
      <c r="J567" s="65"/>
      <c r="K567" s="65"/>
      <c r="L567" s="65"/>
    </row>
    <row r="568" ht="15.75" customHeight="1">
      <c r="C568" s="65"/>
      <c r="D568" s="65"/>
      <c r="E568" s="65"/>
      <c r="F568" s="65"/>
      <c r="H568" s="65"/>
      <c r="J568" s="65"/>
      <c r="K568" s="65"/>
      <c r="L568" s="65"/>
    </row>
    <row r="569" ht="15.75" customHeight="1">
      <c r="C569" s="65"/>
      <c r="D569" s="65"/>
      <c r="E569" s="65"/>
      <c r="F569" s="65"/>
      <c r="H569" s="65"/>
      <c r="J569" s="65"/>
      <c r="K569" s="65"/>
      <c r="L569" s="65"/>
    </row>
    <row r="570" ht="15.75" customHeight="1">
      <c r="C570" s="65"/>
      <c r="D570" s="65"/>
      <c r="E570" s="65"/>
      <c r="F570" s="65"/>
      <c r="H570" s="65"/>
      <c r="J570" s="65"/>
      <c r="K570" s="65"/>
      <c r="L570" s="65"/>
    </row>
    <row r="571" ht="15.75" customHeight="1">
      <c r="C571" s="65"/>
      <c r="D571" s="65"/>
      <c r="E571" s="65"/>
      <c r="F571" s="65"/>
      <c r="H571" s="65"/>
      <c r="J571" s="65"/>
      <c r="K571" s="65"/>
      <c r="L571" s="65"/>
    </row>
    <row r="572" ht="15.75" customHeight="1">
      <c r="C572" s="65"/>
      <c r="D572" s="65"/>
      <c r="E572" s="65"/>
      <c r="F572" s="65"/>
      <c r="H572" s="65"/>
      <c r="J572" s="65"/>
      <c r="K572" s="65"/>
      <c r="L572" s="65"/>
    </row>
    <row r="573" ht="15.75" customHeight="1">
      <c r="C573" s="65"/>
      <c r="D573" s="65"/>
      <c r="E573" s="65"/>
      <c r="F573" s="65"/>
      <c r="H573" s="65"/>
      <c r="J573" s="65"/>
      <c r="K573" s="65"/>
      <c r="L573" s="65"/>
    </row>
    <row r="574" ht="15.75" customHeight="1">
      <c r="C574" s="65"/>
      <c r="D574" s="65"/>
      <c r="E574" s="65"/>
      <c r="F574" s="65"/>
      <c r="H574" s="65"/>
      <c r="J574" s="65"/>
      <c r="K574" s="65"/>
      <c r="L574" s="65"/>
    </row>
    <row r="575" ht="15.75" customHeight="1">
      <c r="C575" s="65"/>
      <c r="D575" s="65"/>
      <c r="E575" s="65"/>
      <c r="F575" s="65"/>
      <c r="H575" s="65"/>
      <c r="J575" s="65"/>
      <c r="K575" s="65"/>
      <c r="L575" s="65"/>
    </row>
    <row r="576" ht="15.75" customHeight="1">
      <c r="C576" s="65"/>
      <c r="D576" s="65"/>
      <c r="E576" s="65"/>
      <c r="F576" s="65"/>
      <c r="H576" s="65"/>
      <c r="J576" s="65"/>
      <c r="K576" s="65"/>
      <c r="L576" s="65"/>
    </row>
    <row r="577" ht="15.75" customHeight="1">
      <c r="C577" s="65"/>
      <c r="D577" s="65"/>
      <c r="E577" s="65"/>
      <c r="F577" s="65"/>
      <c r="H577" s="65"/>
      <c r="J577" s="65"/>
      <c r="K577" s="65"/>
      <c r="L577" s="65"/>
    </row>
    <row r="578" ht="15.75" customHeight="1">
      <c r="C578" s="65"/>
      <c r="D578" s="65"/>
      <c r="E578" s="65"/>
      <c r="F578" s="65"/>
      <c r="H578" s="65"/>
      <c r="J578" s="65"/>
      <c r="K578" s="65"/>
      <c r="L578" s="65"/>
    </row>
    <row r="579" ht="15.75" customHeight="1">
      <c r="C579" s="65"/>
      <c r="D579" s="65"/>
      <c r="E579" s="65"/>
      <c r="F579" s="65"/>
      <c r="H579" s="65"/>
      <c r="J579" s="65"/>
      <c r="K579" s="65"/>
      <c r="L579" s="65"/>
    </row>
    <row r="580" ht="15.75" customHeight="1">
      <c r="C580" s="65"/>
      <c r="D580" s="65"/>
      <c r="E580" s="65"/>
      <c r="F580" s="65"/>
      <c r="H580" s="65"/>
      <c r="J580" s="65"/>
      <c r="K580" s="65"/>
      <c r="L580" s="65"/>
    </row>
    <row r="581" ht="15.75" customHeight="1">
      <c r="C581" s="65"/>
      <c r="D581" s="65"/>
      <c r="E581" s="65"/>
      <c r="F581" s="65"/>
      <c r="H581" s="65"/>
      <c r="J581" s="65"/>
      <c r="K581" s="65"/>
      <c r="L581" s="65"/>
    </row>
    <row r="582" ht="15.75" customHeight="1">
      <c r="C582" s="65"/>
      <c r="D582" s="65"/>
      <c r="E582" s="65"/>
      <c r="F582" s="65"/>
      <c r="H582" s="65"/>
      <c r="J582" s="65"/>
      <c r="K582" s="65"/>
      <c r="L582" s="65"/>
    </row>
    <row r="583" ht="15.75" customHeight="1">
      <c r="C583" s="65"/>
      <c r="D583" s="65"/>
      <c r="E583" s="65"/>
      <c r="F583" s="65"/>
      <c r="H583" s="65"/>
      <c r="J583" s="65"/>
      <c r="K583" s="65"/>
      <c r="L583" s="65"/>
    </row>
    <row r="584" ht="15.75" customHeight="1">
      <c r="C584" s="65"/>
      <c r="D584" s="65"/>
      <c r="E584" s="65"/>
      <c r="F584" s="65"/>
      <c r="H584" s="65"/>
      <c r="J584" s="65"/>
      <c r="K584" s="65"/>
      <c r="L584" s="65"/>
    </row>
    <row r="585" ht="15.75" customHeight="1">
      <c r="C585" s="65"/>
      <c r="D585" s="65"/>
      <c r="E585" s="65"/>
      <c r="F585" s="65"/>
      <c r="H585" s="65"/>
      <c r="J585" s="65"/>
      <c r="K585" s="65"/>
      <c r="L585" s="65"/>
    </row>
    <row r="586" ht="15.75" customHeight="1">
      <c r="C586" s="65"/>
      <c r="D586" s="65"/>
      <c r="E586" s="65"/>
      <c r="F586" s="65"/>
      <c r="H586" s="65"/>
      <c r="J586" s="65"/>
      <c r="K586" s="65"/>
      <c r="L586" s="65"/>
    </row>
    <row r="587" ht="15.75" customHeight="1">
      <c r="C587" s="65"/>
      <c r="D587" s="65"/>
      <c r="E587" s="65"/>
      <c r="F587" s="65"/>
      <c r="H587" s="65"/>
      <c r="J587" s="65"/>
      <c r="K587" s="65"/>
      <c r="L587" s="65"/>
    </row>
    <row r="588" ht="15.75" customHeight="1">
      <c r="C588" s="65"/>
      <c r="D588" s="65"/>
      <c r="E588" s="65"/>
      <c r="F588" s="65"/>
      <c r="H588" s="65"/>
      <c r="J588" s="65"/>
      <c r="K588" s="65"/>
      <c r="L588" s="65"/>
    </row>
    <row r="589" ht="15.75" customHeight="1">
      <c r="C589" s="65"/>
      <c r="D589" s="65"/>
      <c r="E589" s="65"/>
      <c r="F589" s="65"/>
      <c r="H589" s="65"/>
      <c r="J589" s="65"/>
      <c r="K589" s="65"/>
      <c r="L589" s="65"/>
    </row>
    <row r="590" ht="15.75" customHeight="1">
      <c r="C590" s="65"/>
      <c r="D590" s="65"/>
      <c r="E590" s="65"/>
      <c r="F590" s="65"/>
      <c r="H590" s="65"/>
      <c r="J590" s="65"/>
      <c r="K590" s="65"/>
      <c r="L590" s="65"/>
    </row>
    <row r="591" ht="15.75" customHeight="1">
      <c r="C591" s="65"/>
      <c r="D591" s="65"/>
      <c r="E591" s="65"/>
      <c r="F591" s="65"/>
      <c r="H591" s="65"/>
      <c r="J591" s="65"/>
      <c r="K591" s="65"/>
      <c r="L591" s="65"/>
    </row>
    <row r="592" ht="15.75" customHeight="1">
      <c r="C592" s="65"/>
      <c r="D592" s="65"/>
      <c r="E592" s="65"/>
      <c r="F592" s="65"/>
      <c r="H592" s="65"/>
      <c r="J592" s="65"/>
      <c r="K592" s="65"/>
      <c r="L592" s="65"/>
    </row>
    <row r="593" ht="15.75" customHeight="1">
      <c r="C593" s="65"/>
      <c r="D593" s="65"/>
      <c r="E593" s="65"/>
      <c r="F593" s="65"/>
      <c r="H593" s="65"/>
      <c r="J593" s="65"/>
      <c r="K593" s="65"/>
      <c r="L593" s="65"/>
    </row>
    <row r="594" ht="15.75" customHeight="1">
      <c r="C594" s="65"/>
      <c r="D594" s="65"/>
      <c r="E594" s="65"/>
      <c r="F594" s="65"/>
      <c r="H594" s="65"/>
      <c r="J594" s="65"/>
      <c r="K594" s="65"/>
      <c r="L594" s="65"/>
    </row>
    <row r="595" ht="15.75" customHeight="1">
      <c r="C595" s="65"/>
      <c r="D595" s="65"/>
      <c r="E595" s="65"/>
      <c r="F595" s="65"/>
      <c r="H595" s="65"/>
      <c r="J595" s="65"/>
      <c r="K595" s="65"/>
      <c r="L595" s="65"/>
    </row>
    <row r="596" ht="15.75" customHeight="1">
      <c r="C596" s="65"/>
      <c r="D596" s="65"/>
      <c r="E596" s="65"/>
      <c r="F596" s="65"/>
      <c r="H596" s="65"/>
      <c r="J596" s="65"/>
      <c r="K596" s="65"/>
      <c r="L596" s="65"/>
    </row>
    <row r="597" ht="15.75" customHeight="1">
      <c r="C597" s="65"/>
      <c r="D597" s="65"/>
      <c r="E597" s="65"/>
      <c r="F597" s="65"/>
      <c r="H597" s="65"/>
      <c r="J597" s="65"/>
      <c r="K597" s="65"/>
      <c r="L597" s="65"/>
    </row>
    <row r="598" ht="15.75" customHeight="1">
      <c r="C598" s="65"/>
      <c r="D598" s="65"/>
      <c r="E598" s="65"/>
      <c r="F598" s="65"/>
      <c r="H598" s="65"/>
      <c r="J598" s="65"/>
      <c r="K598" s="65"/>
      <c r="L598" s="65"/>
    </row>
    <row r="599" ht="15.75" customHeight="1">
      <c r="C599" s="65"/>
      <c r="D599" s="65"/>
      <c r="E599" s="65"/>
      <c r="F599" s="65"/>
      <c r="H599" s="65"/>
      <c r="J599" s="65"/>
      <c r="K599" s="65"/>
      <c r="L599" s="65"/>
    </row>
    <row r="600" ht="15.75" customHeight="1">
      <c r="C600" s="65"/>
      <c r="D600" s="65"/>
      <c r="E600" s="65"/>
      <c r="F600" s="65"/>
      <c r="H600" s="65"/>
      <c r="J600" s="65"/>
      <c r="K600" s="65"/>
      <c r="L600" s="65"/>
    </row>
    <row r="601" ht="15.75" customHeight="1">
      <c r="C601" s="65"/>
      <c r="D601" s="65"/>
      <c r="E601" s="65"/>
      <c r="F601" s="65"/>
      <c r="H601" s="65"/>
      <c r="J601" s="65"/>
      <c r="K601" s="65"/>
      <c r="L601" s="65"/>
    </row>
    <row r="602" ht="15.75" customHeight="1">
      <c r="C602" s="65"/>
      <c r="D602" s="65"/>
      <c r="E602" s="65"/>
      <c r="F602" s="65"/>
      <c r="H602" s="65"/>
      <c r="J602" s="65"/>
      <c r="K602" s="65"/>
      <c r="L602" s="65"/>
    </row>
    <row r="603" ht="15.75" customHeight="1">
      <c r="C603" s="65"/>
      <c r="D603" s="65"/>
      <c r="E603" s="65"/>
      <c r="F603" s="65"/>
      <c r="H603" s="65"/>
      <c r="J603" s="65"/>
      <c r="K603" s="65"/>
      <c r="L603" s="65"/>
    </row>
    <row r="604" ht="15.75" customHeight="1">
      <c r="C604" s="65"/>
      <c r="D604" s="65"/>
      <c r="E604" s="65"/>
      <c r="F604" s="65"/>
      <c r="H604" s="65"/>
      <c r="J604" s="65"/>
      <c r="K604" s="65"/>
      <c r="L604" s="65"/>
    </row>
    <row r="605" ht="15.75" customHeight="1">
      <c r="C605" s="65"/>
      <c r="D605" s="65"/>
      <c r="E605" s="65"/>
      <c r="F605" s="65"/>
      <c r="H605" s="65"/>
      <c r="J605" s="65"/>
      <c r="K605" s="65"/>
      <c r="L605" s="65"/>
    </row>
    <row r="606" ht="15.75" customHeight="1">
      <c r="C606" s="65"/>
      <c r="D606" s="65"/>
      <c r="E606" s="65"/>
      <c r="F606" s="65"/>
      <c r="H606" s="65"/>
      <c r="J606" s="65"/>
      <c r="K606" s="65"/>
      <c r="L606" s="65"/>
    </row>
    <row r="607" ht="15.75" customHeight="1">
      <c r="C607" s="65"/>
      <c r="D607" s="65"/>
      <c r="E607" s="65"/>
      <c r="F607" s="65"/>
      <c r="H607" s="65"/>
      <c r="J607" s="65"/>
      <c r="K607" s="65"/>
      <c r="L607" s="65"/>
    </row>
    <row r="608" ht="15.75" customHeight="1">
      <c r="C608" s="65"/>
      <c r="D608" s="65"/>
      <c r="E608" s="65"/>
      <c r="F608" s="65"/>
      <c r="H608" s="65"/>
      <c r="J608" s="65"/>
      <c r="K608" s="65"/>
      <c r="L608" s="65"/>
    </row>
    <row r="609" ht="15.75" customHeight="1">
      <c r="C609" s="65"/>
      <c r="D609" s="65"/>
      <c r="E609" s="65"/>
      <c r="F609" s="65"/>
      <c r="H609" s="65"/>
      <c r="J609" s="65"/>
      <c r="K609" s="65"/>
      <c r="L609" s="65"/>
    </row>
    <row r="610" ht="15.75" customHeight="1">
      <c r="C610" s="65"/>
      <c r="D610" s="65"/>
      <c r="E610" s="65"/>
      <c r="F610" s="65"/>
      <c r="H610" s="65"/>
      <c r="J610" s="65"/>
      <c r="K610" s="65"/>
      <c r="L610" s="65"/>
    </row>
    <row r="611" ht="15.75" customHeight="1">
      <c r="C611" s="65"/>
      <c r="D611" s="65"/>
      <c r="E611" s="65"/>
      <c r="F611" s="65"/>
      <c r="H611" s="65"/>
      <c r="J611" s="65"/>
      <c r="K611" s="65"/>
      <c r="L611" s="65"/>
    </row>
    <row r="612" ht="15.75" customHeight="1">
      <c r="C612" s="65"/>
      <c r="D612" s="65"/>
      <c r="E612" s="65"/>
      <c r="F612" s="65"/>
      <c r="H612" s="65"/>
      <c r="J612" s="65"/>
      <c r="K612" s="65"/>
      <c r="L612" s="65"/>
    </row>
    <row r="613" ht="15.75" customHeight="1">
      <c r="C613" s="65"/>
      <c r="D613" s="65"/>
      <c r="E613" s="65"/>
      <c r="F613" s="65"/>
      <c r="H613" s="65"/>
      <c r="J613" s="65"/>
      <c r="K613" s="65"/>
      <c r="L613" s="65"/>
    </row>
    <row r="614" ht="15.75" customHeight="1">
      <c r="C614" s="65"/>
      <c r="D614" s="65"/>
      <c r="E614" s="65"/>
      <c r="F614" s="65"/>
      <c r="H614" s="65"/>
      <c r="J614" s="65"/>
      <c r="K614" s="65"/>
      <c r="L614" s="65"/>
    </row>
    <row r="615" ht="15.75" customHeight="1">
      <c r="C615" s="65"/>
      <c r="D615" s="65"/>
      <c r="E615" s="65"/>
      <c r="F615" s="65"/>
      <c r="H615" s="65"/>
      <c r="J615" s="65"/>
      <c r="K615" s="65"/>
      <c r="L615" s="65"/>
    </row>
    <row r="616" ht="15.75" customHeight="1">
      <c r="C616" s="65"/>
      <c r="D616" s="65"/>
      <c r="E616" s="65"/>
      <c r="F616" s="65"/>
      <c r="H616" s="65"/>
      <c r="J616" s="65"/>
      <c r="K616" s="65"/>
      <c r="L616" s="65"/>
    </row>
    <row r="617" ht="15.75" customHeight="1">
      <c r="C617" s="65"/>
      <c r="D617" s="65"/>
      <c r="E617" s="65"/>
      <c r="F617" s="65"/>
      <c r="H617" s="65"/>
      <c r="J617" s="65"/>
      <c r="K617" s="65"/>
      <c r="L617" s="65"/>
    </row>
    <row r="618" ht="15.75" customHeight="1">
      <c r="C618" s="65"/>
      <c r="D618" s="65"/>
      <c r="E618" s="65"/>
      <c r="F618" s="65"/>
      <c r="H618" s="65"/>
      <c r="J618" s="65"/>
      <c r="K618" s="65"/>
      <c r="L618" s="65"/>
    </row>
    <row r="619" ht="15.75" customHeight="1">
      <c r="C619" s="65"/>
      <c r="D619" s="65"/>
      <c r="E619" s="65"/>
      <c r="F619" s="65"/>
      <c r="H619" s="65"/>
      <c r="J619" s="65"/>
      <c r="K619" s="65"/>
      <c r="L619" s="65"/>
    </row>
    <row r="620" ht="15.75" customHeight="1">
      <c r="C620" s="65"/>
      <c r="D620" s="65"/>
      <c r="E620" s="65"/>
      <c r="F620" s="65"/>
      <c r="H620" s="65"/>
      <c r="J620" s="65"/>
      <c r="K620" s="65"/>
      <c r="L620" s="65"/>
    </row>
    <row r="621" ht="15.75" customHeight="1">
      <c r="C621" s="65"/>
      <c r="D621" s="65"/>
      <c r="E621" s="65"/>
      <c r="F621" s="65"/>
      <c r="H621" s="65"/>
      <c r="J621" s="65"/>
      <c r="K621" s="65"/>
      <c r="L621" s="65"/>
    </row>
    <row r="622" ht="15.75" customHeight="1">
      <c r="C622" s="65"/>
      <c r="D622" s="65"/>
      <c r="E622" s="65"/>
      <c r="F622" s="65"/>
      <c r="H622" s="65"/>
      <c r="J622" s="65"/>
      <c r="K622" s="65"/>
      <c r="L622" s="65"/>
    </row>
    <row r="623" ht="15.75" customHeight="1">
      <c r="C623" s="65"/>
      <c r="D623" s="65"/>
      <c r="E623" s="65"/>
      <c r="F623" s="65"/>
      <c r="H623" s="65"/>
      <c r="J623" s="65"/>
      <c r="K623" s="65"/>
      <c r="L623" s="65"/>
    </row>
    <row r="624" ht="15.75" customHeight="1">
      <c r="C624" s="65"/>
      <c r="D624" s="65"/>
      <c r="E624" s="65"/>
      <c r="F624" s="65"/>
      <c r="H624" s="65"/>
      <c r="J624" s="65"/>
      <c r="K624" s="65"/>
      <c r="L624" s="65"/>
    </row>
    <row r="625" ht="15.75" customHeight="1">
      <c r="C625" s="65"/>
      <c r="D625" s="65"/>
      <c r="E625" s="65"/>
      <c r="F625" s="65"/>
      <c r="H625" s="65"/>
      <c r="J625" s="65"/>
      <c r="K625" s="65"/>
      <c r="L625" s="65"/>
    </row>
    <row r="626" ht="15.75" customHeight="1">
      <c r="C626" s="65"/>
      <c r="D626" s="65"/>
      <c r="E626" s="65"/>
      <c r="F626" s="65"/>
      <c r="H626" s="65"/>
      <c r="J626" s="65"/>
      <c r="K626" s="65"/>
      <c r="L626" s="65"/>
    </row>
    <row r="627" ht="15.75" customHeight="1">
      <c r="C627" s="65"/>
      <c r="D627" s="65"/>
      <c r="E627" s="65"/>
      <c r="F627" s="65"/>
      <c r="H627" s="65"/>
      <c r="J627" s="65"/>
      <c r="K627" s="65"/>
      <c r="L627" s="65"/>
    </row>
    <row r="628" ht="15.75" customHeight="1">
      <c r="C628" s="65"/>
      <c r="D628" s="65"/>
      <c r="E628" s="65"/>
      <c r="F628" s="65"/>
      <c r="H628" s="65"/>
      <c r="J628" s="65"/>
      <c r="K628" s="65"/>
      <c r="L628" s="65"/>
    </row>
    <row r="629" ht="15.75" customHeight="1">
      <c r="C629" s="65"/>
      <c r="D629" s="65"/>
      <c r="E629" s="65"/>
      <c r="F629" s="65"/>
      <c r="H629" s="65"/>
      <c r="J629" s="65"/>
      <c r="K629" s="65"/>
      <c r="L629" s="65"/>
    </row>
    <row r="630" ht="15.75" customHeight="1">
      <c r="C630" s="65"/>
      <c r="D630" s="65"/>
      <c r="E630" s="65"/>
      <c r="F630" s="65"/>
      <c r="H630" s="65"/>
      <c r="J630" s="65"/>
      <c r="K630" s="65"/>
      <c r="L630" s="65"/>
    </row>
    <row r="631" ht="15.75" customHeight="1">
      <c r="C631" s="65"/>
      <c r="D631" s="65"/>
      <c r="E631" s="65"/>
      <c r="F631" s="65"/>
      <c r="H631" s="65"/>
      <c r="J631" s="65"/>
      <c r="K631" s="65"/>
      <c r="L631" s="65"/>
    </row>
    <row r="632" ht="15.75" customHeight="1">
      <c r="C632" s="65"/>
      <c r="D632" s="65"/>
      <c r="E632" s="65"/>
      <c r="F632" s="65"/>
      <c r="H632" s="65"/>
      <c r="J632" s="65"/>
      <c r="K632" s="65"/>
      <c r="L632" s="65"/>
    </row>
    <row r="633" ht="15.75" customHeight="1">
      <c r="C633" s="65"/>
      <c r="D633" s="65"/>
      <c r="E633" s="65"/>
      <c r="F633" s="65"/>
      <c r="H633" s="65"/>
      <c r="J633" s="65"/>
      <c r="K633" s="65"/>
      <c r="L633" s="65"/>
    </row>
    <row r="634" ht="15.75" customHeight="1">
      <c r="C634" s="65"/>
      <c r="D634" s="65"/>
      <c r="E634" s="65"/>
      <c r="F634" s="65"/>
      <c r="H634" s="65"/>
      <c r="J634" s="65"/>
      <c r="K634" s="65"/>
      <c r="L634" s="65"/>
    </row>
    <row r="635" ht="15.75" customHeight="1">
      <c r="C635" s="65"/>
      <c r="D635" s="65"/>
      <c r="E635" s="65"/>
      <c r="F635" s="65"/>
      <c r="H635" s="65"/>
      <c r="J635" s="65"/>
      <c r="K635" s="65"/>
      <c r="L635" s="65"/>
    </row>
    <row r="636" ht="15.75" customHeight="1">
      <c r="C636" s="65"/>
      <c r="D636" s="65"/>
      <c r="E636" s="65"/>
      <c r="F636" s="65"/>
      <c r="H636" s="65"/>
      <c r="J636" s="65"/>
      <c r="K636" s="65"/>
      <c r="L636" s="65"/>
    </row>
    <row r="637" ht="15.75" customHeight="1">
      <c r="C637" s="65"/>
      <c r="D637" s="65"/>
      <c r="E637" s="65"/>
      <c r="F637" s="65"/>
      <c r="H637" s="65"/>
      <c r="J637" s="65"/>
      <c r="K637" s="65"/>
      <c r="L637" s="65"/>
    </row>
    <row r="638" ht="15.75" customHeight="1">
      <c r="C638" s="65"/>
      <c r="D638" s="65"/>
      <c r="E638" s="65"/>
      <c r="F638" s="65"/>
      <c r="H638" s="65"/>
      <c r="J638" s="65"/>
      <c r="K638" s="65"/>
      <c r="L638" s="65"/>
    </row>
    <row r="639" ht="15.75" customHeight="1">
      <c r="C639" s="65"/>
      <c r="D639" s="65"/>
      <c r="E639" s="65"/>
      <c r="F639" s="65"/>
      <c r="H639" s="65"/>
      <c r="J639" s="65"/>
      <c r="K639" s="65"/>
      <c r="L639" s="65"/>
    </row>
    <row r="640" ht="15.75" customHeight="1">
      <c r="C640" s="65"/>
      <c r="D640" s="65"/>
      <c r="E640" s="65"/>
      <c r="F640" s="65"/>
      <c r="H640" s="65"/>
      <c r="J640" s="65"/>
      <c r="K640" s="65"/>
      <c r="L640" s="65"/>
    </row>
    <row r="641" ht="15.75" customHeight="1">
      <c r="C641" s="65"/>
      <c r="D641" s="65"/>
      <c r="E641" s="65"/>
      <c r="F641" s="65"/>
      <c r="H641" s="65"/>
      <c r="J641" s="65"/>
      <c r="K641" s="65"/>
      <c r="L641" s="65"/>
    </row>
    <row r="642" ht="15.75" customHeight="1">
      <c r="C642" s="65"/>
      <c r="D642" s="65"/>
      <c r="E642" s="65"/>
      <c r="F642" s="65"/>
      <c r="H642" s="65"/>
      <c r="J642" s="65"/>
      <c r="K642" s="65"/>
      <c r="L642" s="65"/>
    </row>
    <row r="643" ht="15.75" customHeight="1">
      <c r="C643" s="65"/>
      <c r="D643" s="65"/>
      <c r="E643" s="65"/>
      <c r="F643" s="65"/>
      <c r="H643" s="65"/>
      <c r="J643" s="65"/>
      <c r="K643" s="65"/>
      <c r="L643" s="65"/>
    </row>
    <row r="644" ht="15.75" customHeight="1">
      <c r="C644" s="65"/>
      <c r="D644" s="65"/>
      <c r="E644" s="65"/>
      <c r="F644" s="65"/>
      <c r="H644" s="65"/>
      <c r="J644" s="65"/>
      <c r="K644" s="65"/>
      <c r="L644" s="65"/>
    </row>
    <row r="645" ht="15.75" customHeight="1">
      <c r="C645" s="65"/>
      <c r="D645" s="65"/>
      <c r="E645" s="65"/>
      <c r="F645" s="65"/>
      <c r="H645" s="65"/>
      <c r="J645" s="65"/>
      <c r="K645" s="65"/>
      <c r="L645" s="65"/>
    </row>
    <row r="646" ht="15.75" customHeight="1">
      <c r="C646" s="65"/>
      <c r="D646" s="65"/>
      <c r="E646" s="65"/>
      <c r="F646" s="65"/>
      <c r="H646" s="65"/>
      <c r="J646" s="65"/>
      <c r="K646" s="65"/>
      <c r="L646" s="65"/>
    </row>
    <row r="647" ht="15.75" customHeight="1">
      <c r="C647" s="65"/>
      <c r="D647" s="65"/>
      <c r="E647" s="65"/>
      <c r="F647" s="65"/>
      <c r="H647" s="65"/>
      <c r="J647" s="65"/>
      <c r="K647" s="65"/>
      <c r="L647" s="65"/>
    </row>
    <row r="648" ht="15.75" customHeight="1">
      <c r="C648" s="65"/>
      <c r="D648" s="65"/>
      <c r="E648" s="65"/>
      <c r="F648" s="65"/>
      <c r="H648" s="65"/>
      <c r="J648" s="65"/>
      <c r="K648" s="65"/>
      <c r="L648" s="65"/>
    </row>
    <row r="649" ht="15.75" customHeight="1">
      <c r="C649" s="65"/>
      <c r="D649" s="65"/>
      <c r="E649" s="65"/>
      <c r="F649" s="65"/>
      <c r="H649" s="65"/>
      <c r="J649" s="65"/>
      <c r="K649" s="65"/>
      <c r="L649" s="65"/>
    </row>
    <row r="650" ht="15.75" customHeight="1">
      <c r="C650" s="65"/>
      <c r="D650" s="65"/>
      <c r="E650" s="65"/>
      <c r="F650" s="65"/>
      <c r="H650" s="65"/>
      <c r="J650" s="65"/>
      <c r="K650" s="65"/>
      <c r="L650" s="65"/>
    </row>
    <row r="651" ht="15.75" customHeight="1">
      <c r="C651" s="65"/>
      <c r="D651" s="65"/>
      <c r="E651" s="65"/>
      <c r="F651" s="65"/>
      <c r="H651" s="65"/>
      <c r="J651" s="65"/>
      <c r="K651" s="65"/>
      <c r="L651" s="65"/>
    </row>
    <row r="652" ht="15.75" customHeight="1">
      <c r="C652" s="65"/>
      <c r="D652" s="65"/>
      <c r="E652" s="65"/>
      <c r="F652" s="65"/>
      <c r="H652" s="65"/>
      <c r="J652" s="65"/>
      <c r="K652" s="65"/>
      <c r="L652" s="65"/>
    </row>
    <row r="653" ht="15.75" customHeight="1">
      <c r="C653" s="65"/>
      <c r="D653" s="65"/>
      <c r="E653" s="65"/>
      <c r="F653" s="65"/>
      <c r="H653" s="65"/>
      <c r="J653" s="65"/>
      <c r="K653" s="65"/>
      <c r="L653" s="65"/>
    </row>
    <row r="654" ht="15.75" customHeight="1">
      <c r="C654" s="65"/>
      <c r="D654" s="65"/>
      <c r="E654" s="65"/>
      <c r="F654" s="65"/>
      <c r="H654" s="65"/>
      <c r="J654" s="65"/>
      <c r="K654" s="65"/>
      <c r="L654" s="65"/>
    </row>
    <row r="655" ht="15.75" customHeight="1">
      <c r="C655" s="65"/>
      <c r="D655" s="65"/>
      <c r="E655" s="65"/>
      <c r="F655" s="65"/>
      <c r="H655" s="65"/>
      <c r="J655" s="65"/>
      <c r="K655" s="65"/>
      <c r="L655" s="65"/>
    </row>
    <row r="656" ht="15.75" customHeight="1">
      <c r="C656" s="65"/>
      <c r="D656" s="65"/>
      <c r="E656" s="65"/>
      <c r="F656" s="65"/>
      <c r="H656" s="65"/>
      <c r="J656" s="65"/>
      <c r="K656" s="65"/>
      <c r="L656" s="65"/>
    </row>
    <row r="657" ht="15.75" customHeight="1">
      <c r="C657" s="65"/>
      <c r="D657" s="65"/>
      <c r="E657" s="65"/>
      <c r="F657" s="65"/>
      <c r="H657" s="65"/>
      <c r="J657" s="65"/>
      <c r="K657" s="65"/>
      <c r="L657" s="65"/>
    </row>
    <row r="658" ht="15.75" customHeight="1">
      <c r="C658" s="65"/>
      <c r="D658" s="65"/>
      <c r="E658" s="65"/>
      <c r="F658" s="65"/>
      <c r="H658" s="65"/>
      <c r="J658" s="65"/>
      <c r="K658" s="65"/>
      <c r="L658" s="65"/>
    </row>
    <row r="659" ht="15.75" customHeight="1">
      <c r="C659" s="65"/>
      <c r="D659" s="65"/>
      <c r="E659" s="65"/>
      <c r="F659" s="65"/>
      <c r="H659" s="65"/>
      <c r="J659" s="65"/>
      <c r="K659" s="65"/>
      <c r="L659" s="65"/>
    </row>
    <row r="660" ht="15.75" customHeight="1">
      <c r="C660" s="65"/>
      <c r="D660" s="65"/>
      <c r="E660" s="65"/>
      <c r="F660" s="65"/>
      <c r="H660" s="65"/>
      <c r="J660" s="65"/>
      <c r="K660" s="65"/>
      <c r="L660" s="65"/>
    </row>
    <row r="661" ht="15.75" customHeight="1">
      <c r="C661" s="65"/>
      <c r="D661" s="65"/>
      <c r="E661" s="65"/>
      <c r="F661" s="65"/>
      <c r="H661" s="65"/>
      <c r="J661" s="65"/>
      <c r="K661" s="65"/>
      <c r="L661" s="65"/>
    </row>
    <row r="662" ht="15.75" customHeight="1">
      <c r="C662" s="65"/>
      <c r="D662" s="65"/>
      <c r="E662" s="65"/>
      <c r="F662" s="65"/>
      <c r="H662" s="65"/>
      <c r="J662" s="65"/>
      <c r="K662" s="65"/>
      <c r="L662" s="65"/>
    </row>
    <row r="663" ht="15.75" customHeight="1">
      <c r="C663" s="65"/>
      <c r="D663" s="65"/>
      <c r="E663" s="65"/>
      <c r="F663" s="65"/>
      <c r="H663" s="65"/>
      <c r="J663" s="65"/>
      <c r="K663" s="65"/>
      <c r="L663" s="65"/>
    </row>
    <row r="664" ht="15.75" customHeight="1">
      <c r="C664" s="65"/>
      <c r="D664" s="65"/>
      <c r="E664" s="65"/>
      <c r="F664" s="65"/>
      <c r="H664" s="65"/>
      <c r="J664" s="65"/>
      <c r="K664" s="65"/>
      <c r="L664" s="65"/>
    </row>
    <row r="665" ht="15.75" customHeight="1">
      <c r="C665" s="65"/>
      <c r="D665" s="65"/>
      <c r="E665" s="65"/>
      <c r="F665" s="65"/>
      <c r="H665" s="65"/>
      <c r="J665" s="65"/>
      <c r="K665" s="65"/>
      <c r="L665" s="65"/>
    </row>
    <row r="666" ht="15.75" customHeight="1">
      <c r="C666" s="65"/>
      <c r="D666" s="65"/>
      <c r="E666" s="65"/>
      <c r="F666" s="65"/>
      <c r="H666" s="65"/>
      <c r="J666" s="65"/>
      <c r="K666" s="65"/>
      <c r="L666" s="65"/>
    </row>
    <row r="667" ht="15.75" customHeight="1">
      <c r="C667" s="65"/>
      <c r="D667" s="65"/>
      <c r="E667" s="65"/>
      <c r="F667" s="65"/>
      <c r="H667" s="65"/>
      <c r="J667" s="65"/>
      <c r="K667" s="65"/>
      <c r="L667" s="65"/>
    </row>
    <row r="668" ht="15.75" customHeight="1">
      <c r="C668" s="65"/>
      <c r="D668" s="65"/>
      <c r="E668" s="65"/>
      <c r="F668" s="65"/>
      <c r="H668" s="65"/>
      <c r="J668" s="65"/>
      <c r="K668" s="65"/>
      <c r="L668" s="65"/>
    </row>
    <row r="669" ht="15.75" customHeight="1">
      <c r="C669" s="65"/>
      <c r="D669" s="65"/>
      <c r="E669" s="65"/>
      <c r="F669" s="65"/>
      <c r="H669" s="65"/>
      <c r="J669" s="65"/>
      <c r="K669" s="65"/>
      <c r="L669" s="65"/>
    </row>
    <row r="670" ht="15.75" customHeight="1">
      <c r="C670" s="65"/>
      <c r="D670" s="65"/>
      <c r="E670" s="65"/>
      <c r="F670" s="65"/>
      <c r="H670" s="65"/>
      <c r="J670" s="65"/>
      <c r="K670" s="65"/>
      <c r="L670" s="65"/>
    </row>
    <row r="671" ht="15.75" customHeight="1">
      <c r="C671" s="65"/>
      <c r="D671" s="65"/>
      <c r="E671" s="65"/>
      <c r="F671" s="65"/>
      <c r="H671" s="65"/>
      <c r="J671" s="65"/>
      <c r="K671" s="65"/>
      <c r="L671" s="65"/>
    </row>
    <row r="672" ht="15.75" customHeight="1">
      <c r="C672" s="65"/>
      <c r="D672" s="65"/>
      <c r="E672" s="65"/>
      <c r="F672" s="65"/>
      <c r="H672" s="65"/>
      <c r="J672" s="65"/>
      <c r="K672" s="65"/>
      <c r="L672" s="65"/>
    </row>
    <row r="673" ht="15.75" customHeight="1">
      <c r="C673" s="65"/>
      <c r="D673" s="65"/>
      <c r="E673" s="65"/>
      <c r="F673" s="65"/>
      <c r="H673" s="65"/>
      <c r="J673" s="65"/>
      <c r="K673" s="65"/>
      <c r="L673" s="65"/>
    </row>
    <row r="674" ht="15.75" customHeight="1">
      <c r="C674" s="65"/>
      <c r="D674" s="65"/>
      <c r="E674" s="65"/>
      <c r="F674" s="65"/>
      <c r="H674" s="65"/>
      <c r="J674" s="65"/>
      <c r="K674" s="65"/>
      <c r="L674" s="65"/>
    </row>
    <row r="675" ht="15.75" customHeight="1">
      <c r="C675" s="65"/>
      <c r="D675" s="65"/>
      <c r="E675" s="65"/>
      <c r="F675" s="65"/>
      <c r="H675" s="65"/>
      <c r="J675" s="65"/>
      <c r="K675" s="65"/>
      <c r="L675" s="65"/>
    </row>
    <row r="676" ht="15.75" customHeight="1">
      <c r="C676" s="65"/>
      <c r="D676" s="65"/>
      <c r="E676" s="65"/>
      <c r="F676" s="65"/>
      <c r="H676" s="65"/>
      <c r="J676" s="65"/>
      <c r="K676" s="65"/>
      <c r="L676" s="65"/>
    </row>
    <row r="677" ht="15.75" customHeight="1">
      <c r="C677" s="65"/>
      <c r="D677" s="65"/>
      <c r="E677" s="65"/>
      <c r="F677" s="65"/>
      <c r="H677" s="65"/>
      <c r="J677" s="65"/>
      <c r="K677" s="65"/>
      <c r="L677" s="65"/>
    </row>
    <row r="678" ht="15.75" customHeight="1">
      <c r="C678" s="65"/>
      <c r="D678" s="65"/>
      <c r="E678" s="65"/>
      <c r="F678" s="65"/>
      <c r="H678" s="65"/>
      <c r="J678" s="65"/>
      <c r="K678" s="65"/>
      <c r="L678" s="65"/>
    </row>
    <row r="679" ht="15.75" customHeight="1">
      <c r="C679" s="65"/>
      <c r="D679" s="65"/>
      <c r="E679" s="65"/>
      <c r="F679" s="65"/>
      <c r="H679" s="65"/>
      <c r="J679" s="65"/>
      <c r="K679" s="65"/>
      <c r="L679" s="65"/>
    </row>
    <row r="680" ht="15.75" customHeight="1">
      <c r="C680" s="65"/>
      <c r="D680" s="65"/>
      <c r="E680" s="65"/>
      <c r="F680" s="65"/>
      <c r="H680" s="65"/>
      <c r="J680" s="65"/>
      <c r="K680" s="65"/>
      <c r="L680" s="65"/>
    </row>
    <row r="681" ht="15.75" customHeight="1">
      <c r="C681" s="65"/>
      <c r="D681" s="65"/>
      <c r="E681" s="65"/>
      <c r="F681" s="65"/>
      <c r="H681" s="65"/>
      <c r="J681" s="65"/>
      <c r="K681" s="65"/>
      <c r="L681" s="65"/>
    </row>
    <row r="682" ht="15.75" customHeight="1">
      <c r="C682" s="65"/>
      <c r="D682" s="65"/>
      <c r="E682" s="65"/>
      <c r="F682" s="65"/>
      <c r="H682" s="65"/>
      <c r="J682" s="65"/>
      <c r="K682" s="65"/>
      <c r="L682" s="65"/>
    </row>
    <row r="683" ht="15.75" customHeight="1">
      <c r="C683" s="65"/>
      <c r="D683" s="65"/>
      <c r="E683" s="65"/>
      <c r="F683" s="65"/>
      <c r="H683" s="65"/>
      <c r="J683" s="65"/>
      <c r="K683" s="65"/>
      <c r="L683" s="65"/>
    </row>
    <row r="684" ht="15.75" customHeight="1">
      <c r="C684" s="65"/>
      <c r="D684" s="65"/>
      <c r="E684" s="65"/>
      <c r="F684" s="65"/>
      <c r="H684" s="65"/>
      <c r="J684" s="65"/>
      <c r="K684" s="65"/>
      <c r="L684" s="65"/>
    </row>
    <row r="685" ht="15.75" customHeight="1">
      <c r="C685" s="65"/>
      <c r="D685" s="65"/>
      <c r="E685" s="65"/>
      <c r="F685" s="65"/>
      <c r="H685" s="65"/>
      <c r="J685" s="65"/>
      <c r="K685" s="65"/>
      <c r="L685" s="65"/>
    </row>
    <row r="686" ht="15.75" customHeight="1">
      <c r="C686" s="65"/>
      <c r="D686" s="65"/>
      <c r="E686" s="65"/>
      <c r="F686" s="65"/>
      <c r="H686" s="65"/>
      <c r="J686" s="65"/>
      <c r="K686" s="65"/>
      <c r="L686" s="65"/>
    </row>
    <row r="687" ht="15.75" customHeight="1">
      <c r="C687" s="65"/>
      <c r="D687" s="65"/>
      <c r="E687" s="65"/>
      <c r="F687" s="65"/>
      <c r="H687" s="65"/>
      <c r="J687" s="65"/>
      <c r="K687" s="65"/>
      <c r="L687" s="65"/>
    </row>
    <row r="688" ht="15.75" customHeight="1">
      <c r="C688" s="65"/>
      <c r="D688" s="65"/>
      <c r="E688" s="65"/>
      <c r="F688" s="65"/>
      <c r="H688" s="65"/>
      <c r="J688" s="65"/>
      <c r="K688" s="65"/>
      <c r="L688" s="65"/>
    </row>
    <row r="689" ht="15.75" customHeight="1">
      <c r="C689" s="65"/>
      <c r="D689" s="65"/>
      <c r="E689" s="65"/>
      <c r="F689" s="65"/>
      <c r="H689" s="65"/>
      <c r="J689" s="65"/>
      <c r="K689" s="65"/>
      <c r="L689" s="65"/>
    </row>
    <row r="690" ht="15.75" customHeight="1">
      <c r="C690" s="65"/>
      <c r="D690" s="65"/>
      <c r="E690" s="65"/>
      <c r="F690" s="65"/>
      <c r="H690" s="65"/>
      <c r="J690" s="65"/>
      <c r="K690" s="65"/>
      <c r="L690" s="65"/>
    </row>
    <row r="691" ht="15.75" customHeight="1">
      <c r="C691" s="65"/>
      <c r="D691" s="65"/>
      <c r="E691" s="65"/>
      <c r="F691" s="65"/>
      <c r="H691" s="65"/>
      <c r="J691" s="65"/>
      <c r="K691" s="65"/>
      <c r="L691" s="65"/>
    </row>
    <row r="692" ht="15.75" customHeight="1">
      <c r="C692" s="65"/>
      <c r="D692" s="65"/>
      <c r="E692" s="65"/>
      <c r="F692" s="65"/>
      <c r="H692" s="65"/>
      <c r="J692" s="65"/>
      <c r="K692" s="65"/>
      <c r="L692" s="65"/>
    </row>
    <row r="693" ht="15.75" customHeight="1">
      <c r="C693" s="65"/>
      <c r="D693" s="65"/>
      <c r="E693" s="65"/>
      <c r="F693" s="65"/>
      <c r="H693" s="65"/>
      <c r="J693" s="65"/>
      <c r="K693" s="65"/>
      <c r="L693" s="65"/>
    </row>
    <row r="694" ht="15.75" customHeight="1">
      <c r="C694" s="65"/>
      <c r="D694" s="65"/>
      <c r="E694" s="65"/>
      <c r="F694" s="65"/>
      <c r="H694" s="65"/>
      <c r="J694" s="65"/>
      <c r="K694" s="65"/>
      <c r="L694" s="65"/>
    </row>
    <row r="695" ht="15.75" customHeight="1">
      <c r="C695" s="65"/>
      <c r="D695" s="65"/>
      <c r="E695" s="65"/>
      <c r="F695" s="65"/>
      <c r="H695" s="65"/>
      <c r="J695" s="65"/>
      <c r="K695" s="65"/>
      <c r="L695" s="65"/>
    </row>
    <row r="696" ht="15.75" customHeight="1">
      <c r="C696" s="65"/>
      <c r="D696" s="65"/>
      <c r="E696" s="65"/>
      <c r="F696" s="65"/>
      <c r="H696" s="65"/>
      <c r="J696" s="65"/>
      <c r="K696" s="65"/>
      <c r="L696" s="65"/>
    </row>
    <row r="697" ht="15.75" customHeight="1">
      <c r="C697" s="65"/>
      <c r="D697" s="65"/>
      <c r="E697" s="65"/>
      <c r="F697" s="65"/>
      <c r="H697" s="65"/>
      <c r="J697" s="65"/>
      <c r="K697" s="65"/>
      <c r="L697" s="65"/>
    </row>
    <row r="698" ht="15.75" customHeight="1">
      <c r="C698" s="65"/>
      <c r="D698" s="65"/>
      <c r="E698" s="65"/>
      <c r="F698" s="65"/>
      <c r="H698" s="65"/>
      <c r="J698" s="65"/>
      <c r="K698" s="65"/>
      <c r="L698" s="65"/>
    </row>
    <row r="699" ht="15.75" customHeight="1">
      <c r="C699" s="65"/>
      <c r="D699" s="65"/>
      <c r="E699" s="65"/>
      <c r="F699" s="65"/>
      <c r="H699" s="65"/>
      <c r="J699" s="65"/>
      <c r="K699" s="65"/>
      <c r="L699" s="65"/>
    </row>
    <row r="700" ht="15.75" customHeight="1">
      <c r="C700" s="65"/>
      <c r="D700" s="65"/>
      <c r="E700" s="65"/>
      <c r="F700" s="65"/>
      <c r="H700" s="65"/>
      <c r="J700" s="65"/>
      <c r="K700" s="65"/>
      <c r="L700" s="65"/>
    </row>
    <row r="701" ht="15.75" customHeight="1">
      <c r="C701" s="65"/>
      <c r="D701" s="65"/>
      <c r="E701" s="65"/>
      <c r="F701" s="65"/>
      <c r="H701" s="65"/>
      <c r="J701" s="65"/>
      <c r="K701" s="65"/>
      <c r="L701" s="65"/>
    </row>
    <row r="702" ht="15.75" customHeight="1">
      <c r="C702" s="65"/>
      <c r="D702" s="65"/>
      <c r="E702" s="65"/>
      <c r="F702" s="65"/>
      <c r="H702" s="65"/>
      <c r="J702" s="65"/>
      <c r="K702" s="65"/>
      <c r="L702" s="65"/>
    </row>
    <row r="703" ht="15.75" customHeight="1">
      <c r="C703" s="65"/>
      <c r="D703" s="65"/>
      <c r="E703" s="65"/>
      <c r="F703" s="65"/>
      <c r="H703" s="65"/>
      <c r="J703" s="65"/>
      <c r="K703" s="65"/>
      <c r="L703" s="65"/>
    </row>
    <row r="704" ht="15.75" customHeight="1">
      <c r="C704" s="65"/>
      <c r="D704" s="65"/>
      <c r="E704" s="65"/>
      <c r="F704" s="65"/>
      <c r="H704" s="65"/>
      <c r="J704" s="65"/>
      <c r="K704" s="65"/>
      <c r="L704" s="65"/>
    </row>
    <row r="705" ht="15.75" customHeight="1">
      <c r="C705" s="65"/>
      <c r="D705" s="65"/>
      <c r="E705" s="65"/>
      <c r="F705" s="65"/>
      <c r="H705" s="65"/>
      <c r="J705" s="65"/>
      <c r="K705" s="65"/>
      <c r="L705" s="65"/>
    </row>
    <row r="706" ht="15.75" customHeight="1">
      <c r="C706" s="65"/>
      <c r="D706" s="65"/>
      <c r="E706" s="65"/>
      <c r="F706" s="65"/>
      <c r="H706" s="65"/>
      <c r="J706" s="65"/>
      <c r="K706" s="65"/>
      <c r="L706" s="65"/>
    </row>
    <row r="707" ht="15.75" customHeight="1">
      <c r="C707" s="65"/>
      <c r="D707" s="65"/>
      <c r="E707" s="65"/>
      <c r="F707" s="65"/>
      <c r="H707" s="65"/>
      <c r="J707" s="65"/>
      <c r="K707" s="65"/>
      <c r="L707" s="65"/>
    </row>
    <row r="708" ht="15.75" customHeight="1">
      <c r="C708" s="65"/>
      <c r="D708" s="65"/>
      <c r="E708" s="65"/>
      <c r="F708" s="65"/>
      <c r="H708" s="65"/>
      <c r="J708" s="65"/>
      <c r="K708" s="65"/>
      <c r="L708" s="65"/>
    </row>
    <row r="709" ht="15.75" customHeight="1">
      <c r="C709" s="65"/>
      <c r="D709" s="65"/>
      <c r="E709" s="65"/>
      <c r="F709" s="65"/>
      <c r="H709" s="65"/>
      <c r="J709" s="65"/>
      <c r="K709" s="65"/>
      <c r="L709" s="65"/>
    </row>
    <row r="710" ht="15.75" customHeight="1">
      <c r="C710" s="65"/>
      <c r="D710" s="65"/>
      <c r="E710" s="65"/>
      <c r="F710" s="65"/>
      <c r="H710" s="65"/>
      <c r="J710" s="65"/>
      <c r="K710" s="65"/>
      <c r="L710" s="65"/>
    </row>
    <row r="711" ht="15.75" customHeight="1">
      <c r="C711" s="65"/>
      <c r="D711" s="65"/>
      <c r="E711" s="65"/>
      <c r="F711" s="65"/>
      <c r="H711" s="65"/>
      <c r="J711" s="65"/>
      <c r="K711" s="65"/>
      <c r="L711" s="65"/>
    </row>
    <row r="712" ht="15.75" customHeight="1">
      <c r="C712" s="65"/>
      <c r="D712" s="65"/>
      <c r="E712" s="65"/>
      <c r="F712" s="65"/>
      <c r="H712" s="65"/>
      <c r="J712" s="65"/>
      <c r="K712" s="65"/>
      <c r="L712" s="65"/>
    </row>
    <row r="713" ht="15.75" customHeight="1">
      <c r="C713" s="65"/>
      <c r="D713" s="65"/>
      <c r="E713" s="65"/>
      <c r="F713" s="65"/>
      <c r="H713" s="65"/>
      <c r="J713" s="65"/>
      <c r="K713" s="65"/>
      <c r="L713" s="65"/>
    </row>
    <row r="714" ht="15.75" customHeight="1">
      <c r="C714" s="65"/>
      <c r="D714" s="65"/>
      <c r="E714" s="65"/>
      <c r="F714" s="65"/>
      <c r="H714" s="65"/>
      <c r="J714" s="65"/>
      <c r="K714" s="65"/>
      <c r="L714" s="65"/>
    </row>
    <row r="715" ht="15.75" customHeight="1">
      <c r="C715" s="65"/>
      <c r="D715" s="65"/>
      <c r="E715" s="65"/>
      <c r="F715" s="65"/>
      <c r="H715" s="65"/>
      <c r="J715" s="65"/>
      <c r="K715" s="65"/>
      <c r="L715" s="65"/>
    </row>
    <row r="716" ht="15.75" customHeight="1">
      <c r="C716" s="65"/>
      <c r="D716" s="65"/>
      <c r="E716" s="65"/>
      <c r="F716" s="65"/>
      <c r="H716" s="65"/>
      <c r="J716" s="65"/>
      <c r="K716" s="65"/>
      <c r="L716" s="65"/>
    </row>
    <row r="717" ht="15.75" customHeight="1">
      <c r="C717" s="65"/>
      <c r="D717" s="65"/>
      <c r="E717" s="65"/>
      <c r="F717" s="65"/>
      <c r="H717" s="65"/>
      <c r="J717" s="65"/>
      <c r="K717" s="65"/>
      <c r="L717" s="65"/>
    </row>
    <row r="718" ht="15.75" customHeight="1">
      <c r="C718" s="65"/>
      <c r="D718" s="65"/>
      <c r="E718" s="65"/>
      <c r="F718" s="65"/>
      <c r="H718" s="65"/>
      <c r="J718" s="65"/>
      <c r="K718" s="65"/>
      <c r="L718" s="65"/>
    </row>
    <row r="719" ht="15.75" customHeight="1">
      <c r="C719" s="65"/>
      <c r="D719" s="65"/>
      <c r="E719" s="65"/>
      <c r="F719" s="65"/>
      <c r="H719" s="65"/>
      <c r="J719" s="65"/>
      <c r="K719" s="65"/>
      <c r="L719" s="65"/>
    </row>
    <row r="720" ht="15.75" customHeight="1">
      <c r="C720" s="65"/>
      <c r="D720" s="65"/>
      <c r="E720" s="65"/>
      <c r="F720" s="65"/>
      <c r="H720" s="65"/>
      <c r="J720" s="65"/>
      <c r="K720" s="65"/>
      <c r="L720" s="65"/>
    </row>
    <row r="721" ht="15.75" customHeight="1">
      <c r="C721" s="65"/>
      <c r="D721" s="65"/>
      <c r="E721" s="65"/>
      <c r="F721" s="65"/>
      <c r="H721" s="65"/>
      <c r="J721" s="65"/>
      <c r="K721" s="65"/>
      <c r="L721" s="65"/>
    </row>
    <row r="722" ht="15.75" customHeight="1">
      <c r="C722" s="65"/>
      <c r="D722" s="65"/>
      <c r="E722" s="65"/>
      <c r="F722" s="65"/>
      <c r="H722" s="65"/>
      <c r="J722" s="65"/>
      <c r="K722" s="65"/>
      <c r="L722" s="65"/>
    </row>
    <row r="723" ht="15.75" customHeight="1">
      <c r="C723" s="65"/>
      <c r="D723" s="65"/>
      <c r="E723" s="65"/>
      <c r="F723" s="65"/>
      <c r="H723" s="65"/>
      <c r="J723" s="65"/>
      <c r="K723" s="65"/>
      <c r="L723" s="65"/>
    </row>
    <row r="724" ht="15.75" customHeight="1">
      <c r="C724" s="65"/>
      <c r="D724" s="65"/>
      <c r="E724" s="65"/>
      <c r="F724" s="65"/>
      <c r="H724" s="65"/>
      <c r="J724" s="65"/>
      <c r="K724" s="65"/>
      <c r="L724" s="65"/>
    </row>
    <row r="725" ht="15.75" customHeight="1">
      <c r="C725" s="65"/>
      <c r="D725" s="65"/>
      <c r="E725" s="65"/>
      <c r="F725" s="65"/>
      <c r="H725" s="65"/>
      <c r="J725" s="65"/>
      <c r="K725" s="65"/>
      <c r="L725" s="65"/>
    </row>
    <row r="726" ht="15.75" customHeight="1">
      <c r="C726" s="65"/>
      <c r="D726" s="65"/>
      <c r="E726" s="65"/>
      <c r="F726" s="65"/>
      <c r="H726" s="65"/>
      <c r="J726" s="65"/>
      <c r="K726" s="65"/>
      <c r="L726" s="65"/>
    </row>
    <row r="727" ht="15.75" customHeight="1">
      <c r="C727" s="65"/>
      <c r="D727" s="65"/>
      <c r="E727" s="65"/>
      <c r="F727" s="65"/>
      <c r="H727" s="65"/>
      <c r="J727" s="65"/>
      <c r="K727" s="65"/>
      <c r="L727" s="65"/>
    </row>
    <row r="728" ht="15.75" customHeight="1">
      <c r="C728" s="65"/>
      <c r="D728" s="65"/>
      <c r="E728" s="65"/>
      <c r="F728" s="65"/>
      <c r="H728" s="65"/>
      <c r="J728" s="65"/>
      <c r="K728" s="65"/>
      <c r="L728" s="65"/>
    </row>
    <row r="729" ht="15.75" customHeight="1">
      <c r="C729" s="65"/>
      <c r="D729" s="65"/>
      <c r="E729" s="65"/>
      <c r="F729" s="65"/>
      <c r="H729" s="65"/>
      <c r="J729" s="65"/>
      <c r="K729" s="65"/>
      <c r="L729" s="65"/>
    </row>
    <row r="730" ht="15.75" customHeight="1">
      <c r="C730" s="65"/>
      <c r="D730" s="65"/>
      <c r="E730" s="65"/>
      <c r="F730" s="65"/>
      <c r="H730" s="65"/>
      <c r="J730" s="65"/>
      <c r="K730" s="65"/>
      <c r="L730" s="65"/>
    </row>
    <row r="731" ht="15.75" customHeight="1">
      <c r="C731" s="65"/>
      <c r="D731" s="65"/>
      <c r="E731" s="65"/>
      <c r="F731" s="65"/>
      <c r="H731" s="65"/>
      <c r="J731" s="65"/>
      <c r="K731" s="65"/>
      <c r="L731" s="65"/>
    </row>
    <row r="732" ht="15.75" customHeight="1">
      <c r="C732" s="65"/>
      <c r="D732" s="65"/>
      <c r="E732" s="65"/>
      <c r="F732" s="65"/>
      <c r="H732" s="65"/>
      <c r="J732" s="65"/>
      <c r="K732" s="65"/>
      <c r="L732" s="65"/>
    </row>
    <row r="733" ht="15.75" customHeight="1">
      <c r="C733" s="65"/>
      <c r="D733" s="65"/>
      <c r="E733" s="65"/>
      <c r="F733" s="65"/>
      <c r="H733" s="65"/>
      <c r="J733" s="65"/>
      <c r="K733" s="65"/>
      <c r="L733" s="65"/>
    </row>
    <row r="734" ht="15.75" customHeight="1">
      <c r="C734" s="65"/>
      <c r="D734" s="65"/>
      <c r="E734" s="65"/>
      <c r="F734" s="65"/>
      <c r="H734" s="65"/>
      <c r="J734" s="65"/>
      <c r="K734" s="65"/>
      <c r="L734" s="65"/>
    </row>
    <row r="735" ht="15.75" customHeight="1">
      <c r="C735" s="65"/>
      <c r="D735" s="65"/>
      <c r="E735" s="65"/>
      <c r="F735" s="65"/>
      <c r="H735" s="65"/>
      <c r="J735" s="65"/>
      <c r="K735" s="65"/>
      <c r="L735" s="65"/>
    </row>
    <row r="736" ht="15.75" customHeight="1">
      <c r="C736" s="65"/>
      <c r="D736" s="65"/>
      <c r="E736" s="65"/>
      <c r="F736" s="65"/>
      <c r="H736" s="65"/>
      <c r="J736" s="65"/>
      <c r="K736" s="65"/>
      <c r="L736" s="65"/>
    </row>
    <row r="737" ht="15.75" customHeight="1">
      <c r="C737" s="65"/>
      <c r="D737" s="65"/>
      <c r="E737" s="65"/>
      <c r="F737" s="65"/>
      <c r="H737" s="65"/>
      <c r="J737" s="65"/>
      <c r="K737" s="65"/>
      <c r="L737" s="65"/>
    </row>
    <row r="738" ht="15.75" customHeight="1">
      <c r="C738" s="65"/>
      <c r="D738" s="65"/>
      <c r="E738" s="65"/>
      <c r="F738" s="65"/>
      <c r="H738" s="65"/>
      <c r="J738" s="65"/>
      <c r="K738" s="65"/>
      <c r="L738" s="65"/>
    </row>
    <row r="739" ht="15.75" customHeight="1">
      <c r="C739" s="65"/>
      <c r="D739" s="65"/>
      <c r="E739" s="65"/>
      <c r="F739" s="65"/>
      <c r="H739" s="65"/>
      <c r="J739" s="65"/>
      <c r="K739" s="65"/>
      <c r="L739" s="65"/>
    </row>
    <row r="740" ht="15.75" customHeight="1">
      <c r="C740" s="65"/>
      <c r="D740" s="65"/>
      <c r="E740" s="65"/>
      <c r="F740" s="65"/>
      <c r="H740" s="65"/>
      <c r="J740" s="65"/>
      <c r="K740" s="65"/>
      <c r="L740" s="65"/>
    </row>
    <row r="741" ht="15.75" customHeight="1">
      <c r="C741" s="65"/>
      <c r="D741" s="65"/>
      <c r="E741" s="65"/>
      <c r="F741" s="65"/>
      <c r="H741" s="65"/>
      <c r="J741" s="65"/>
      <c r="K741" s="65"/>
      <c r="L741" s="65"/>
    </row>
    <row r="742" ht="15.75" customHeight="1">
      <c r="C742" s="65"/>
      <c r="D742" s="65"/>
      <c r="E742" s="65"/>
      <c r="F742" s="65"/>
      <c r="H742" s="65"/>
      <c r="J742" s="65"/>
      <c r="K742" s="65"/>
      <c r="L742" s="65"/>
    </row>
    <row r="743" ht="15.75" customHeight="1">
      <c r="C743" s="65"/>
      <c r="D743" s="65"/>
      <c r="E743" s="65"/>
      <c r="F743" s="65"/>
      <c r="H743" s="65"/>
      <c r="J743" s="65"/>
      <c r="K743" s="65"/>
      <c r="L743" s="65"/>
    </row>
    <row r="744" ht="15.75" customHeight="1">
      <c r="C744" s="65"/>
      <c r="D744" s="65"/>
      <c r="E744" s="65"/>
      <c r="F744" s="65"/>
      <c r="H744" s="65"/>
      <c r="J744" s="65"/>
      <c r="K744" s="65"/>
      <c r="L744" s="65"/>
    </row>
    <row r="745" ht="15.75" customHeight="1">
      <c r="C745" s="65"/>
      <c r="D745" s="65"/>
      <c r="E745" s="65"/>
      <c r="F745" s="65"/>
      <c r="H745" s="65"/>
      <c r="J745" s="65"/>
      <c r="K745" s="65"/>
      <c r="L745" s="65"/>
    </row>
    <row r="746" ht="15.75" customHeight="1">
      <c r="C746" s="65"/>
      <c r="D746" s="65"/>
      <c r="E746" s="65"/>
      <c r="F746" s="65"/>
      <c r="H746" s="65"/>
      <c r="J746" s="65"/>
      <c r="K746" s="65"/>
      <c r="L746" s="65"/>
    </row>
    <row r="747" ht="15.75" customHeight="1">
      <c r="C747" s="65"/>
      <c r="D747" s="65"/>
      <c r="E747" s="65"/>
      <c r="F747" s="65"/>
      <c r="H747" s="65"/>
      <c r="J747" s="65"/>
      <c r="K747" s="65"/>
      <c r="L747" s="65"/>
    </row>
    <row r="748" ht="15.75" customHeight="1">
      <c r="C748" s="65"/>
      <c r="D748" s="65"/>
      <c r="E748" s="65"/>
      <c r="F748" s="65"/>
      <c r="H748" s="65"/>
      <c r="J748" s="65"/>
      <c r="K748" s="65"/>
      <c r="L748" s="65"/>
    </row>
    <row r="749" ht="15.75" customHeight="1">
      <c r="C749" s="65"/>
      <c r="D749" s="65"/>
      <c r="E749" s="65"/>
      <c r="F749" s="65"/>
      <c r="H749" s="65"/>
      <c r="J749" s="65"/>
      <c r="K749" s="65"/>
      <c r="L749" s="65"/>
    </row>
    <row r="750" ht="15.75" customHeight="1">
      <c r="C750" s="65"/>
      <c r="D750" s="65"/>
      <c r="E750" s="65"/>
      <c r="F750" s="65"/>
      <c r="H750" s="65"/>
      <c r="J750" s="65"/>
      <c r="K750" s="65"/>
      <c r="L750" s="65"/>
    </row>
    <row r="751" ht="15.75" customHeight="1">
      <c r="C751" s="65"/>
      <c r="D751" s="65"/>
      <c r="E751" s="65"/>
      <c r="F751" s="65"/>
      <c r="H751" s="65"/>
      <c r="J751" s="65"/>
      <c r="K751" s="65"/>
      <c r="L751" s="65"/>
    </row>
    <row r="752" ht="15.75" customHeight="1">
      <c r="C752" s="65"/>
      <c r="D752" s="65"/>
      <c r="E752" s="65"/>
      <c r="F752" s="65"/>
      <c r="H752" s="65"/>
      <c r="J752" s="65"/>
      <c r="K752" s="65"/>
      <c r="L752" s="65"/>
    </row>
    <row r="753" ht="15.75" customHeight="1">
      <c r="C753" s="65"/>
      <c r="D753" s="65"/>
      <c r="E753" s="65"/>
      <c r="F753" s="65"/>
      <c r="H753" s="65"/>
      <c r="J753" s="65"/>
      <c r="K753" s="65"/>
      <c r="L753" s="65"/>
    </row>
    <row r="754" ht="15.75" customHeight="1">
      <c r="C754" s="65"/>
      <c r="D754" s="65"/>
      <c r="E754" s="65"/>
      <c r="F754" s="65"/>
      <c r="H754" s="65"/>
      <c r="J754" s="65"/>
      <c r="K754" s="65"/>
      <c r="L754" s="65"/>
    </row>
    <row r="755" ht="15.75" customHeight="1">
      <c r="C755" s="65"/>
      <c r="D755" s="65"/>
      <c r="E755" s="65"/>
      <c r="F755" s="65"/>
      <c r="H755" s="65"/>
      <c r="J755" s="65"/>
      <c r="K755" s="65"/>
      <c r="L755" s="65"/>
    </row>
    <row r="756" ht="15.75" customHeight="1">
      <c r="C756" s="65"/>
      <c r="D756" s="65"/>
      <c r="E756" s="65"/>
      <c r="F756" s="65"/>
      <c r="H756" s="65"/>
      <c r="J756" s="65"/>
      <c r="K756" s="65"/>
      <c r="L756" s="65"/>
    </row>
    <row r="757" ht="15.75" customHeight="1">
      <c r="C757" s="65"/>
      <c r="D757" s="65"/>
      <c r="E757" s="65"/>
      <c r="F757" s="65"/>
      <c r="H757" s="65"/>
      <c r="J757" s="65"/>
      <c r="K757" s="65"/>
      <c r="L757" s="65"/>
    </row>
    <row r="758" ht="15.75" customHeight="1">
      <c r="C758" s="65"/>
      <c r="D758" s="65"/>
      <c r="E758" s="65"/>
      <c r="F758" s="65"/>
      <c r="H758" s="65"/>
      <c r="J758" s="65"/>
      <c r="K758" s="65"/>
      <c r="L758" s="65"/>
    </row>
    <row r="759" ht="15.75" customHeight="1">
      <c r="C759" s="65"/>
      <c r="D759" s="65"/>
      <c r="E759" s="65"/>
      <c r="F759" s="65"/>
      <c r="H759" s="65"/>
      <c r="J759" s="65"/>
      <c r="K759" s="65"/>
      <c r="L759" s="65"/>
    </row>
    <row r="760" ht="15.75" customHeight="1">
      <c r="C760" s="65"/>
      <c r="D760" s="65"/>
      <c r="E760" s="65"/>
      <c r="F760" s="65"/>
      <c r="H760" s="65"/>
      <c r="J760" s="65"/>
      <c r="K760" s="65"/>
      <c r="L760" s="65"/>
    </row>
    <row r="761" ht="15.75" customHeight="1">
      <c r="C761" s="65"/>
      <c r="D761" s="65"/>
      <c r="E761" s="65"/>
      <c r="F761" s="65"/>
      <c r="H761" s="65"/>
      <c r="J761" s="65"/>
      <c r="K761" s="65"/>
      <c r="L761" s="65"/>
    </row>
    <row r="762" ht="15.75" customHeight="1">
      <c r="C762" s="65"/>
      <c r="D762" s="65"/>
      <c r="E762" s="65"/>
      <c r="F762" s="65"/>
      <c r="H762" s="65"/>
      <c r="J762" s="65"/>
      <c r="K762" s="65"/>
      <c r="L762" s="65"/>
    </row>
    <row r="763" ht="15.75" customHeight="1">
      <c r="C763" s="65"/>
      <c r="D763" s="65"/>
      <c r="E763" s="65"/>
      <c r="F763" s="65"/>
      <c r="H763" s="65"/>
      <c r="J763" s="65"/>
      <c r="K763" s="65"/>
      <c r="L763" s="65"/>
    </row>
    <row r="764" ht="15.75" customHeight="1">
      <c r="C764" s="65"/>
      <c r="D764" s="65"/>
      <c r="E764" s="65"/>
      <c r="F764" s="65"/>
      <c r="H764" s="65"/>
      <c r="J764" s="65"/>
      <c r="K764" s="65"/>
      <c r="L764" s="65"/>
    </row>
    <row r="765" ht="15.75" customHeight="1">
      <c r="C765" s="65"/>
      <c r="D765" s="65"/>
      <c r="E765" s="65"/>
      <c r="F765" s="65"/>
      <c r="H765" s="65"/>
      <c r="J765" s="65"/>
      <c r="K765" s="65"/>
      <c r="L765" s="65"/>
    </row>
    <row r="766" ht="15.75" customHeight="1">
      <c r="C766" s="65"/>
      <c r="D766" s="65"/>
      <c r="E766" s="65"/>
      <c r="F766" s="65"/>
      <c r="H766" s="65"/>
      <c r="J766" s="65"/>
      <c r="K766" s="65"/>
      <c r="L766" s="65"/>
    </row>
    <row r="767" ht="15.75" customHeight="1">
      <c r="C767" s="65"/>
      <c r="D767" s="65"/>
      <c r="E767" s="65"/>
      <c r="F767" s="65"/>
      <c r="H767" s="65"/>
      <c r="J767" s="65"/>
      <c r="K767" s="65"/>
      <c r="L767" s="65"/>
    </row>
    <row r="768" ht="15.75" customHeight="1">
      <c r="C768" s="65"/>
      <c r="D768" s="65"/>
      <c r="E768" s="65"/>
      <c r="F768" s="65"/>
      <c r="H768" s="65"/>
      <c r="J768" s="65"/>
      <c r="K768" s="65"/>
      <c r="L768" s="65"/>
    </row>
    <row r="769" ht="15.75" customHeight="1">
      <c r="C769" s="65"/>
      <c r="D769" s="65"/>
      <c r="E769" s="65"/>
      <c r="F769" s="65"/>
      <c r="H769" s="65"/>
      <c r="J769" s="65"/>
      <c r="K769" s="65"/>
      <c r="L769" s="65"/>
    </row>
    <row r="770" ht="15.75" customHeight="1">
      <c r="C770" s="65"/>
      <c r="D770" s="65"/>
      <c r="E770" s="65"/>
      <c r="F770" s="65"/>
      <c r="H770" s="65"/>
      <c r="J770" s="65"/>
      <c r="K770" s="65"/>
      <c r="L770" s="65"/>
    </row>
    <row r="771" ht="15.75" customHeight="1">
      <c r="C771" s="65"/>
      <c r="D771" s="65"/>
      <c r="E771" s="65"/>
      <c r="F771" s="65"/>
      <c r="H771" s="65"/>
      <c r="J771" s="65"/>
      <c r="K771" s="65"/>
      <c r="L771" s="65"/>
    </row>
    <row r="772" ht="15.75" customHeight="1">
      <c r="C772" s="65"/>
      <c r="D772" s="65"/>
      <c r="E772" s="65"/>
      <c r="F772" s="65"/>
      <c r="H772" s="65"/>
      <c r="J772" s="65"/>
      <c r="K772" s="65"/>
      <c r="L772" s="65"/>
    </row>
    <row r="773" ht="15.75" customHeight="1">
      <c r="C773" s="65"/>
      <c r="D773" s="65"/>
      <c r="E773" s="65"/>
      <c r="F773" s="65"/>
      <c r="H773" s="65"/>
      <c r="J773" s="65"/>
      <c r="K773" s="65"/>
      <c r="L773" s="65"/>
    </row>
    <row r="774" ht="15.75" customHeight="1">
      <c r="C774" s="65"/>
      <c r="D774" s="65"/>
      <c r="E774" s="65"/>
      <c r="F774" s="65"/>
      <c r="H774" s="65"/>
      <c r="J774" s="65"/>
      <c r="K774" s="65"/>
      <c r="L774" s="65"/>
    </row>
    <row r="775" ht="15.75" customHeight="1">
      <c r="C775" s="65"/>
      <c r="D775" s="65"/>
      <c r="E775" s="65"/>
      <c r="F775" s="65"/>
      <c r="H775" s="65"/>
      <c r="J775" s="65"/>
      <c r="K775" s="65"/>
      <c r="L775" s="65"/>
    </row>
    <row r="776" ht="15.75" customHeight="1">
      <c r="C776" s="65"/>
      <c r="D776" s="65"/>
      <c r="E776" s="65"/>
      <c r="F776" s="65"/>
      <c r="H776" s="65"/>
      <c r="J776" s="65"/>
      <c r="K776" s="65"/>
      <c r="L776" s="65"/>
    </row>
    <row r="777" ht="15.75" customHeight="1">
      <c r="C777" s="65"/>
      <c r="D777" s="65"/>
      <c r="E777" s="65"/>
      <c r="F777" s="65"/>
      <c r="H777" s="65"/>
      <c r="J777" s="65"/>
      <c r="K777" s="65"/>
      <c r="L777" s="65"/>
    </row>
    <row r="778" ht="15.75" customHeight="1">
      <c r="C778" s="65"/>
      <c r="D778" s="65"/>
      <c r="E778" s="65"/>
      <c r="F778" s="65"/>
      <c r="H778" s="65"/>
      <c r="J778" s="65"/>
      <c r="K778" s="65"/>
      <c r="L778" s="65"/>
    </row>
    <row r="779" ht="15.75" customHeight="1">
      <c r="C779" s="65"/>
      <c r="D779" s="65"/>
      <c r="E779" s="65"/>
      <c r="F779" s="65"/>
      <c r="H779" s="65"/>
      <c r="J779" s="65"/>
      <c r="K779" s="65"/>
      <c r="L779" s="65"/>
    </row>
    <row r="780" ht="15.75" customHeight="1">
      <c r="C780" s="65"/>
      <c r="D780" s="65"/>
      <c r="E780" s="65"/>
      <c r="F780" s="65"/>
      <c r="H780" s="65"/>
      <c r="J780" s="65"/>
      <c r="K780" s="65"/>
      <c r="L780" s="65"/>
    </row>
    <row r="781" ht="15.75" customHeight="1">
      <c r="C781" s="65"/>
      <c r="D781" s="65"/>
      <c r="E781" s="65"/>
      <c r="F781" s="65"/>
      <c r="H781" s="65"/>
      <c r="J781" s="65"/>
      <c r="K781" s="65"/>
      <c r="L781" s="65"/>
    </row>
    <row r="782" ht="15.75" customHeight="1">
      <c r="C782" s="65"/>
      <c r="D782" s="65"/>
      <c r="E782" s="65"/>
      <c r="F782" s="65"/>
      <c r="H782" s="65"/>
      <c r="J782" s="65"/>
      <c r="K782" s="65"/>
      <c r="L782" s="65"/>
    </row>
    <row r="783" ht="15.75" customHeight="1">
      <c r="C783" s="65"/>
      <c r="D783" s="65"/>
      <c r="E783" s="65"/>
      <c r="F783" s="65"/>
      <c r="H783" s="65"/>
      <c r="J783" s="65"/>
      <c r="K783" s="65"/>
      <c r="L783" s="65"/>
    </row>
    <row r="784" ht="15.75" customHeight="1">
      <c r="C784" s="65"/>
      <c r="D784" s="65"/>
      <c r="E784" s="65"/>
      <c r="F784" s="65"/>
      <c r="H784" s="65"/>
      <c r="J784" s="65"/>
      <c r="K784" s="65"/>
      <c r="L784" s="65"/>
    </row>
    <row r="785" ht="15.75" customHeight="1">
      <c r="C785" s="65"/>
      <c r="D785" s="65"/>
      <c r="E785" s="65"/>
      <c r="F785" s="65"/>
      <c r="H785" s="65"/>
      <c r="J785" s="65"/>
      <c r="K785" s="65"/>
      <c r="L785" s="65"/>
    </row>
    <row r="786" ht="15.75" customHeight="1">
      <c r="C786" s="65"/>
      <c r="D786" s="65"/>
      <c r="E786" s="65"/>
      <c r="F786" s="65"/>
      <c r="H786" s="65"/>
      <c r="J786" s="65"/>
      <c r="K786" s="65"/>
      <c r="L786" s="65"/>
    </row>
    <row r="787" ht="15.75" customHeight="1">
      <c r="C787" s="65"/>
      <c r="D787" s="65"/>
      <c r="E787" s="65"/>
      <c r="F787" s="65"/>
      <c r="H787" s="65"/>
      <c r="J787" s="65"/>
      <c r="K787" s="65"/>
      <c r="L787" s="65"/>
    </row>
    <row r="788" ht="15.75" customHeight="1">
      <c r="C788" s="65"/>
      <c r="D788" s="65"/>
      <c r="E788" s="65"/>
      <c r="F788" s="65"/>
      <c r="H788" s="65"/>
      <c r="J788" s="65"/>
      <c r="K788" s="65"/>
      <c r="L788" s="65"/>
    </row>
    <row r="789" ht="15.75" customHeight="1">
      <c r="C789" s="65"/>
      <c r="D789" s="65"/>
      <c r="E789" s="65"/>
      <c r="F789" s="65"/>
      <c r="H789" s="65"/>
      <c r="J789" s="65"/>
      <c r="K789" s="65"/>
      <c r="L789" s="65"/>
    </row>
    <row r="790" ht="15.75" customHeight="1">
      <c r="C790" s="65"/>
      <c r="D790" s="65"/>
      <c r="E790" s="65"/>
      <c r="F790" s="65"/>
      <c r="H790" s="65"/>
      <c r="J790" s="65"/>
      <c r="K790" s="65"/>
      <c r="L790" s="65"/>
    </row>
    <row r="791" ht="15.75" customHeight="1">
      <c r="C791" s="65"/>
      <c r="D791" s="65"/>
      <c r="E791" s="65"/>
      <c r="F791" s="65"/>
      <c r="H791" s="65"/>
      <c r="J791" s="65"/>
      <c r="K791" s="65"/>
      <c r="L791" s="65"/>
    </row>
    <row r="792" ht="15.75" customHeight="1">
      <c r="C792" s="65"/>
      <c r="D792" s="65"/>
      <c r="E792" s="65"/>
      <c r="F792" s="65"/>
      <c r="H792" s="65"/>
      <c r="J792" s="65"/>
      <c r="K792" s="65"/>
      <c r="L792" s="65"/>
    </row>
    <row r="793" ht="15.75" customHeight="1">
      <c r="C793" s="65"/>
      <c r="D793" s="65"/>
      <c r="E793" s="65"/>
      <c r="F793" s="65"/>
      <c r="H793" s="65"/>
      <c r="J793" s="65"/>
      <c r="K793" s="65"/>
      <c r="L793" s="65"/>
    </row>
    <row r="794" ht="15.75" customHeight="1">
      <c r="C794" s="65"/>
      <c r="D794" s="65"/>
      <c r="E794" s="65"/>
      <c r="F794" s="65"/>
      <c r="H794" s="65"/>
      <c r="J794" s="65"/>
      <c r="K794" s="65"/>
      <c r="L794" s="65"/>
    </row>
    <row r="795" ht="15.75" customHeight="1">
      <c r="C795" s="65"/>
      <c r="D795" s="65"/>
      <c r="E795" s="65"/>
      <c r="F795" s="65"/>
      <c r="H795" s="65"/>
      <c r="J795" s="65"/>
      <c r="K795" s="65"/>
      <c r="L795" s="65"/>
    </row>
    <row r="796" ht="15.75" customHeight="1">
      <c r="C796" s="65"/>
      <c r="D796" s="65"/>
      <c r="E796" s="65"/>
      <c r="F796" s="65"/>
      <c r="H796" s="65"/>
      <c r="J796" s="65"/>
      <c r="K796" s="65"/>
      <c r="L796" s="65"/>
    </row>
    <row r="797" ht="15.75" customHeight="1">
      <c r="C797" s="65"/>
      <c r="D797" s="65"/>
      <c r="E797" s="65"/>
      <c r="F797" s="65"/>
      <c r="H797" s="65"/>
      <c r="J797" s="65"/>
      <c r="K797" s="65"/>
      <c r="L797" s="65"/>
    </row>
    <row r="798" ht="15.75" customHeight="1">
      <c r="C798" s="65"/>
      <c r="D798" s="65"/>
      <c r="E798" s="65"/>
      <c r="F798" s="65"/>
      <c r="H798" s="65"/>
      <c r="J798" s="65"/>
      <c r="K798" s="65"/>
      <c r="L798" s="65"/>
    </row>
    <row r="799" ht="15.75" customHeight="1">
      <c r="C799" s="65"/>
      <c r="D799" s="65"/>
      <c r="E799" s="65"/>
      <c r="F799" s="65"/>
      <c r="H799" s="65"/>
      <c r="J799" s="65"/>
      <c r="K799" s="65"/>
      <c r="L799" s="65"/>
    </row>
    <row r="800" ht="15.75" customHeight="1">
      <c r="C800" s="65"/>
      <c r="D800" s="65"/>
      <c r="E800" s="65"/>
      <c r="F800" s="65"/>
      <c r="H800" s="65"/>
      <c r="J800" s="65"/>
      <c r="K800" s="65"/>
      <c r="L800" s="65"/>
    </row>
    <row r="801" ht="15.75" customHeight="1">
      <c r="C801" s="65"/>
      <c r="D801" s="65"/>
      <c r="E801" s="65"/>
      <c r="F801" s="65"/>
      <c r="H801" s="65"/>
      <c r="J801" s="65"/>
      <c r="K801" s="65"/>
      <c r="L801" s="65"/>
    </row>
    <row r="802" ht="15.75" customHeight="1">
      <c r="C802" s="65"/>
      <c r="D802" s="65"/>
      <c r="E802" s="65"/>
      <c r="F802" s="65"/>
      <c r="H802" s="65"/>
      <c r="J802" s="65"/>
      <c r="K802" s="65"/>
      <c r="L802" s="65"/>
    </row>
    <row r="803" ht="15.75" customHeight="1">
      <c r="C803" s="65"/>
      <c r="D803" s="65"/>
      <c r="E803" s="65"/>
      <c r="F803" s="65"/>
      <c r="H803" s="65"/>
      <c r="J803" s="65"/>
      <c r="K803" s="65"/>
      <c r="L803" s="65"/>
    </row>
    <row r="804" ht="15.75" customHeight="1">
      <c r="C804" s="65"/>
      <c r="D804" s="65"/>
      <c r="E804" s="65"/>
      <c r="F804" s="65"/>
      <c r="H804" s="65"/>
      <c r="J804" s="65"/>
      <c r="K804" s="65"/>
      <c r="L804" s="65"/>
    </row>
    <row r="805" ht="15.75" customHeight="1">
      <c r="C805" s="65"/>
      <c r="D805" s="65"/>
      <c r="E805" s="65"/>
      <c r="F805" s="65"/>
      <c r="H805" s="65"/>
      <c r="J805" s="65"/>
      <c r="K805" s="65"/>
      <c r="L805" s="65"/>
    </row>
    <row r="806" ht="15.75" customHeight="1">
      <c r="C806" s="65"/>
      <c r="D806" s="65"/>
      <c r="E806" s="65"/>
      <c r="F806" s="65"/>
      <c r="H806" s="65"/>
      <c r="J806" s="65"/>
      <c r="K806" s="65"/>
      <c r="L806" s="65"/>
    </row>
    <row r="807" ht="15.75" customHeight="1">
      <c r="C807" s="65"/>
      <c r="D807" s="65"/>
      <c r="E807" s="65"/>
      <c r="F807" s="65"/>
      <c r="H807" s="65"/>
      <c r="J807" s="65"/>
      <c r="K807" s="65"/>
      <c r="L807" s="65"/>
    </row>
    <row r="808" ht="15.75" customHeight="1">
      <c r="C808" s="65"/>
      <c r="D808" s="65"/>
      <c r="E808" s="65"/>
      <c r="F808" s="65"/>
      <c r="H808" s="65"/>
      <c r="J808" s="65"/>
      <c r="K808" s="65"/>
      <c r="L808" s="65"/>
    </row>
    <row r="809" ht="15.75" customHeight="1">
      <c r="C809" s="65"/>
      <c r="D809" s="65"/>
      <c r="E809" s="65"/>
      <c r="F809" s="65"/>
      <c r="H809" s="65"/>
      <c r="J809" s="65"/>
      <c r="K809" s="65"/>
      <c r="L809" s="65"/>
    </row>
    <row r="810" ht="15.75" customHeight="1">
      <c r="C810" s="65"/>
      <c r="D810" s="65"/>
      <c r="E810" s="65"/>
      <c r="F810" s="65"/>
      <c r="H810" s="65"/>
      <c r="J810" s="65"/>
      <c r="K810" s="65"/>
      <c r="L810" s="65"/>
    </row>
    <row r="811" ht="15.75" customHeight="1">
      <c r="C811" s="65"/>
      <c r="D811" s="65"/>
      <c r="E811" s="65"/>
      <c r="F811" s="65"/>
      <c r="H811" s="65"/>
      <c r="J811" s="65"/>
      <c r="K811" s="65"/>
      <c r="L811" s="65"/>
    </row>
    <row r="812" ht="15.75" customHeight="1">
      <c r="C812" s="65"/>
      <c r="D812" s="65"/>
      <c r="E812" s="65"/>
      <c r="F812" s="65"/>
      <c r="H812" s="65"/>
      <c r="J812" s="65"/>
      <c r="K812" s="65"/>
      <c r="L812" s="65"/>
    </row>
    <row r="813" ht="15.75" customHeight="1">
      <c r="C813" s="65"/>
      <c r="D813" s="65"/>
      <c r="E813" s="65"/>
      <c r="F813" s="65"/>
      <c r="H813" s="65"/>
      <c r="J813" s="65"/>
      <c r="K813" s="65"/>
      <c r="L813" s="65"/>
    </row>
    <row r="814" ht="15.75" customHeight="1">
      <c r="C814" s="65"/>
      <c r="D814" s="65"/>
      <c r="E814" s="65"/>
      <c r="F814" s="65"/>
      <c r="H814" s="65"/>
      <c r="J814" s="65"/>
      <c r="K814" s="65"/>
      <c r="L814" s="65"/>
    </row>
    <row r="815" ht="15.75" customHeight="1">
      <c r="C815" s="65"/>
      <c r="D815" s="65"/>
      <c r="E815" s="65"/>
      <c r="F815" s="65"/>
      <c r="H815" s="65"/>
      <c r="J815" s="65"/>
      <c r="K815" s="65"/>
      <c r="L815" s="65"/>
    </row>
    <row r="816" ht="15.75" customHeight="1">
      <c r="C816" s="65"/>
      <c r="D816" s="65"/>
      <c r="E816" s="65"/>
      <c r="F816" s="65"/>
      <c r="H816" s="65"/>
      <c r="J816" s="65"/>
      <c r="K816" s="65"/>
      <c r="L816" s="65"/>
    </row>
    <row r="817" ht="15.75" customHeight="1">
      <c r="C817" s="65"/>
      <c r="D817" s="65"/>
      <c r="E817" s="65"/>
      <c r="F817" s="65"/>
      <c r="H817" s="65"/>
      <c r="J817" s="65"/>
      <c r="K817" s="65"/>
      <c r="L817" s="65"/>
    </row>
    <row r="818" ht="15.75" customHeight="1">
      <c r="C818" s="65"/>
      <c r="D818" s="65"/>
      <c r="E818" s="65"/>
      <c r="F818" s="65"/>
      <c r="H818" s="65"/>
      <c r="J818" s="65"/>
      <c r="K818" s="65"/>
      <c r="L818" s="65"/>
    </row>
    <row r="819" ht="15.75" customHeight="1">
      <c r="C819" s="65"/>
      <c r="D819" s="65"/>
      <c r="E819" s="65"/>
      <c r="F819" s="65"/>
      <c r="H819" s="65"/>
      <c r="J819" s="65"/>
      <c r="K819" s="65"/>
      <c r="L819" s="65"/>
    </row>
    <row r="820" ht="15.75" customHeight="1">
      <c r="C820" s="65"/>
      <c r="D820" s="65"/>
      <c r="E820" s="65"/>
      <c r="F820" s="65"/>
      <c r="H820" s="65"/>
      <c r="J820" s="65"/>
      <c r="K820" s="65"/>
      <c r="L820" s="65"/>
    </row>
    <row r="821" ht="15.75" customHeight="1">
      <c r="C821" s="65"/>
      <c r="D821" s="65"/>
      <c r="E821" s="65"/>
      <c r="F821" s="65"/>
      <c r="H821" s="65"/>
      <c r="J821" s="65"/>
      <c r="K821" s="65"/>
      <c r="L821" s="65"/>
    </row>
    <row r="822" ht="15.75" customHeight="1">
      <c r="C822" s="65"/>
      <c r="D822" s="65"/>
      <c r="E822" s="65"/>
      <c r="F822" s="65"/>
      <c r="H822" s="65"/>
      <c r="J822" s="65"/>
      <c r="K822" s="65"/>
      <c r="L822" s="65"/>
    </row>
    <row r="823" ht="15.75" customHeight="1">
      <c r="C823" s="65"/>
      <c r="D823" s="65"/>
      <c r="E823" s="65"/>
      <c r="F823" s="65"/>
      <c r="H823" s="65"/>
      <c r="J823" s="65"/>
      <c r="K823" s="65"/>
      <c r="L823" s="65"/>
    </row>
    <row r="824" ht="15.75" customHeight="1">
      <c r="C824" s="65"/>
      <c r="D824" s="65"/>
      <c r="E824" s="65"/>
      <c r="F824" s="65"/>
      <c r="H824" s="65"/>
      <c r="J824" s="65"/>
      <c r="K824" s="65"/>
      <c r="L824" s="65"/>
    </row>
    <row r="825" ht="15.75" customHeight="1">
      <c r="C825" s="65"/>
      <c r="D825" s="65"/>
      <c r="E825" s="65"/>
      <c r="F825" s="65"/>
      <c r="H825" s="65"/>
      <c r="J825" s="65"/>
      <c r="K825" s="65"/>
      <c r="L825" s="65"/>
    </row>
    <row r="826" ht="15.75" customHeight="1">
      <c r="C826" s="65"/>
      <c r="D826" s="65"/>
      <c r="E826" s="65"/>
      <c r="F826" s="65"/>
      <c r="H826" s="65"/>
      <c r="J826" s="65"/>
      <c r="K826" s="65"/>
      <c r="L826" s="65"/>
    </row>
    <row r="827" ht="15.75" customHeight="1">
      <c r="C827" s="65"/>
      <c r="D827" s="65"/>
      <c r="E827" s="65"/>
      <c r="F827" s="65"/>
      <c r="H827" s="65"/>
      <c r="J827" s="65"/>
      <c r="K827" s="65"/>
      <c r="L827" s="65"/>
    </row>
    <row r="828" ht="15.75" customHeight="1">
      <c r="C828" s="65"/>
      <c r="D828" s="65"/>
      <c r="E828" s="65"/>
      <c r="F828" s="65"/>
      <c r="H828" s="65"/>
      <c r="J828" s="65"/>
      <c r="K828" s="65"/>
      <c r="L828" s="65"/>
    </row>
    <row r="829" ht="15.75" customHeight="1">
      <c r="C829" s="65"/>
      <c r="D829" s="65"/>
      <c r="E829" s="65"/>
      <c r="F829" s="65"/>
      <c r="H829" s="65"/>
      <c r="J829" s="65"/>
      <c r="K829" s="65"/>
      <c r="L829" s="65"/>
    </row>
    <row r="830" ht="15.75" customHeight="1">
      <c r="C830" s="65"/>
      <c r="D830" s="65"/>
      <c r="E830" s="65"/>
      <c r="F830" s="65"/>
      <c r="H830" s="65"/>
      <c r="J830" s="65"/>
      <c r="K830" s="65"/>
      <c r="L830" s="65"/>
    </row>
    <row r="831" ht="15.75" customHeight="1">
      <c r="C831" s="65"/>
      <c r="D831" s="65"/>
      <c r="E831" s="65"/>
      <c r="F831" s="65"/>
      <c r="H831" s="65"/>
      <c r="J831" s="65"/>
      <c r="K831" s="65"/>
      <c r="L831" s="65"/>
    </row>
    <row r="832" ht="15.75" customHeight="1">
      <c r="C832" s="65"/>
      <c r="D832" s="65"/>
      <c r="E832" s="65"/>
      <c r="F832" s="65"/>
      <c r="H832" s="65"/>
      <c r="J832" s="65"/>
      <c r="K832" s="65"/>
      <c r="L832" s="65"/>
    </row>
    <row r="833" ht="15.75" customHeight="1">
      <c r="C833" s="65"/>
      <c r="D833" s="65"/>
      <c r="E833" s="65"/>
      <c r="F833" s="65"/>
      <c r="H833" s="65"/>
      <c r="J833" s="65"/>
      <c r="K833" s="65"/>
      <c r="L833" s="65"/>
    </row>
    <row r="834" ht="15.75" customHeight="1">
      <c r="C834" s="65"/>
      <c r="D834" s="65"/>
      <c r="E834" s="65"/>
      <c r="F834" s="65"/>
      <c r="H834" s="65"/>
      <c r="J834" s="65"/>
      <c r="K834" s="65"/>
      <c r="L834" s="65"/>
    </row>
    <row r="835" ht="15.75" customHeight="1">
      <c r="C835" s="65"/>
      <c r="D835" s="65"/>
      <c r="E835" s="65"/>
      <c r="F835" s="65"/>
      <c r="H835" s="65"/>
      <c r="J835" s="65"/>
      <c r="K835" s="65"/>
      <c r="L835" s="65"/>
    </row>
    <row r="836" ht="15.75" customHeight="1">
      <c r="C836" s="65"/>
      <c r="D836" s="65"/>
      <c r="E836" s="65"/>
      <c r="F836" s="65"/>
      <c r="H836" s="65"/>
      <c r="J836" s="65"/>
      <c r="K836" s="65"/>
      <c r="L836" s="65"/>
    </row>
    <row r="837" ht="15.75" customHeight="1">
      <c r="C837" s="65"/>
      <c r="D837" s="65"/>
      <c r="E837" s="65"/>
      <c r="F837" s="65"/>
      <c r="H837" s="65"/>
      <c r="J837" s="65"/>
      <c r="K837" s="65"/>
      <c r="L837" s="65"/>
    </row>
    <row r="838" ht="15.75" customHeight="1">
      <c r="C838" s="65"/>
      <c r="D838" s="65"/>
      <c r="E838" s="65"/>
      <c r="F838" s="65"/>
      <c r="H838" s="65"/>
      <c r="J838" s="65"/>
      <c r="K838" s="65"/>
      <c r="L838" s="65"/>
    </row>
    <row r="839" ht="15.75" customHeight="1">
      <c r="C839" s="65"/>
      <c r="D839" s="65"/>
      <c r="E839" s="65"/>
      <c r="F839" s="65"/>
      <c r="H839" s="65"/>
      <c r="J839" s="65"/>
      <c r="K839" s="65"/>
      <c r="L839" s="65"/>
    </row>
    <row r="840" ht="15.75" customHeight="1">
      <c r="C840" s="65"/>
      <c r="D840" s="65"/>
      <c r="E840" s="65"/>
      <c r="F840" s="65"/>
      <c r="H840" s="65"/>
      <c r="J840" s="65"/>
      <c r="K840" s="65"/>
      <c r="L840" s="65"/>
    </row>
    <row r="841" ht="15.75" customHeight="1">
      <c r="C841" s="65"/>
      <c r="D841" s="65"/>
      <c r="E841" s="65"/>
      <c r="F841" s="65"/>
      <c r="H841" s="65"/>
      <c r="J841" s="65"/>
      <c r="K841" s="65"/>
      <c r="L841" s="65"/>
    </row>
    <row r="842" ht="15.75" customHeight="1">
      <c r="C842" s="65"/>
      <c r="D842" s="65"/>
      <c r="E842" s="65"/>
      <c r="F842" s="65"/>
      <c r="H842" s="65"/>
      <c r="J842" s="65"/>
      <c r="K842" s="65"/>
      <c r="L842" s="65"/>
    </row>
    <row r="843" ht="15.75" customHeight="1">
      <c r="C843" s="65"/>
      <c r="D843" s="65"/>
      <c r="E843" s="65"/>
      <c r="F843" s="65"/>
      <c r="H843" s="65"/>
      <c r="J843" s="65"/>
      <c r="K843" s="65"/>
      <c r="L843" s="65"/>
    </row>
    <row r="844" ht="15.75" customHeight="1">
      <c r="C844" s="65"/>
      <c r="D844" s="65"/>
      <c r="E844" s="65"/>
      <c r="F844" s="65"/>
      <c r="H844" s="65"/>
      <c r="J844" s="65"/>
      <c r="K844" s="65"/>
      <c r="L844" s="65"/>
    </row>
    <row r="845" ht="15.75" customHeight="1">
      <c r="C845" s="65"/>
      <c r="D845" s="65"/>
      <c r="E845" s="65"/>
      <c r="F845" s="65"/>
      <c r="H845" s="65"/>
      <c r="J845" s="65"/>
      <c r="K845" s="65"/>
      <c r="L845" s="65"/>
    </row>
    <row r="846" ht="15.75" customHeight="1">
      <c r="C846" s="65"/>
      <c r="D846" s="65"/>
      <c r="E846" s="65"/>
      <c r="F846" s="65"/>
      <c r="H846" s="65"/>
      <c r="J846" s="65"/>
      <c r="K846" s="65"/>
      <c r="L846" s="65"/>
    </row>
    <row r="847" ht="15.75" customHeight="1">
      <c r="C847" s="65"/>
      <c r="D847" s="65"/>
      <c r="E847" s="65"/>
      <c r="F847" s="65"/>
      <c r="H847" s="65"/>
      <c r="J847" s="65"/>
      <c r="K847" s="65"/>
      <c r="L847" s="65"/>
    </row>
    <row r="848" ht="15.75" customHeight="1">
      <c r="C848" s="65"/>
      <c r="D848" s="65"/>
      <c r="E848" s="65"/>
      <c r="F848" s="65"/>
      <c r="H848" s="65"/>
      <c r="J848" s="65"/>
      <c r="K848" s="65"/>
      <c r="L848" s="65"/>
    </row>
    <row r="849" ht="15.75" customHeight="1">
      <c r="C849" s="65"/>
      <c r="D849" s="65"/>
      <c r="E849" s="65"/>
      <c r="F849" s="65"/>
      <c r="H849" s="65"/>
      <c r="J849" s="65"/>
      <c r="K849" s="65"/>
      <c r="L849" s="65"/>
    </row>
    <row r="850" ht="15.75" customHeight="1">
      <c r="C850" s="65"/>
      <c r="D850" s="65"/>
      <c r="E850" s="65"/>
      <c r="F850" s="65"/>
      <c r="H850" s="65"/>
      <c r="J850" s="65"/>
      <c r="K850" s="65"/>
      <c r="L850" s="65"/>
    </row>
    <row r="851" ht="15.75" customHeight="1">
      <c r="C851" s="65"/>
      <c r="D851" s="65"/>
      <c r="E851" s="65"/>
      <c r="F851" s="65"/>
      <c r="H851" s="65"/>
      <c r="J851" s="65"/>
      <c r="K851" s="65"/>
      <c r="L851" s="65"/>
    </row>
    <row r="852" ht="15.75" customHeight="1">
      <c r="C852" s="65"/>
      <c r="D852" s="65"/>
      <c r="E852" s="65"/>
      <c r="F852" s="65"/>
      <c r="H852" s="65"/>
      <c r="J852" s="65"/>
      <c r="K852" s="65"/>
      <c r="L852" s="65"/>
    </row>
    <row r="853" ht="15.75" customHeight="1">
      <c r="C853" s="65"/>
      <c r="D853" s="65"/>
      <c r="E853" s="65"/>
      <c r="F853" s="65"/>
      <c r="H853" s="65"/>
      <c r="J853" s="65"/>
      <c r="K853" s="65"/>
      <c r="L853" s="65"/>
    </row>
    <row r="854" ht="15.75" customHeight="1">
      <c r="C854" s="65"/>
      <c r="D854" s="65"/>
      <c r="E854" s="65"/>
      <c r="F854" s="65"/>
      <c r="H854" s="65"/>
      <c r="J854" s="65"/>
      <c r="K854" s="65"/>
      <c r="L854" s="65"/>
    </row>
    <row r="855" ht="15.75" customHeight="1">
      <c r="C855" s="65"/>
      <c r="D855" s="65"/>
      <c r="E855" s="65"/>
      <c r="F855" s="65"/>
      <c r="H855" s="65"/>
      <c r="J855" s="65"/>
      <c r="K855" s="65"/>
      <c r="L855" s="65"/>
    </row>
    <row r="856" ht="15.75" customHeight="1">
      <c r="C856" s="65"/>
      <c r="D856" s="65"/>
      <c r="E856" s="65"/>
      <c r="F856" s="65"/>
      <c r="H856" s="65"/>
      <c r="J856" s="65"/>
      <c r="K856" s="65"/>
      <c r="L856" s="65"/>
    </row>
    <row r="857" ht="15.75" customHeight="1">
      <c r="C857" s="65"/>
      <c r="D857" s="65"/>
      <c r="E857" s="65"/>
      <c r="F857" s="65"/>
      <c r="H857" s="65"/>
      <c r="J857" s="65"/>
      <c r="K857" s="65"/>
      <c r="L857" s="65"/>
    </row>
    <row r="858" ht="15.75" customHeight="1">
      <c r="C858" s="65"/>
      <c r="D858" s="65"/>
      <c r="E858" s="65"/>
      <c r="F858" s="65"/>
      <c r="H858" s="65"/>
      <c r="J858" s="65"/>
      <c r="K858" s="65"/>
      <c r="L858" s="65"/>
    </row>
    <row r="859" ht="15.75" customHeight="1">
      <c r="C859" s="65"/>
      <c r="D859" s="65"/>
      <c r="E859" s="65"/>
      <c r="F859" s="65"/>
      <c r="H859" s="65"/>
      <c r="J859" s="65"/>
      <c r="K859" s="65"/>
      <c r="L859" s="65"/>
    </row>
    <row r="860" ht="15.75" customHeight="1">
      <c r="C860" s="65"/>
      <c r="D860" s="65"/>
      <c r="E860" s="65"/>
      <c r="F860" s="65"/>
      <c r="H860" s="65"/>
      <c r="J860" s="65"/>
      <c r="K860" s="65"/>
      <c r="L860" s="65"/>
    </row>
    <row r="861" ht="15.75" customHeight="1">
      <c r="C861" s="65"/>
      <c r="D861" s="65"/>
      <c r="E861" s="65"/>
      <c r="F861" s="65"/>
      <c r="H861" s="65"/>
      <c r="J861" s="65"/>
      <c r="K861" s="65"/>
      <c r="L861" s="65"/>
    </row>
    <row r="862" ht="15.75" customHeight="1">
      <c r="C862" s="65"/>
      <c r="D862" s="65"/>
      <c r="E862" s="65"/>
      <c r="F862" s="65"/>
      <c r="H862" s="65"/>
      <c r="J862" s="65"/>
      <c r="K862" s="65"/>
      <c r="L862" s="65"/>
    </row>
    <row r="863" ht="15.75" customHeight="1">
      <c r="C863" s="65"/>
      <c r="D863" s="65"/>
      <c r="E863" s="65"/>
      <c r="F863" s="65"/>
      <c r="H863" s="65"/>
      <c r="J863" s="65"/>
      <c r="K863" s="65"/>
      <c r="L863" s="65"/>
    </row>
    <row r="864" ht="15.75" customHeight="1">
      <c r="C864" s="65"/>
      <c r="D864" s="65"/>
      <c r="E864" s="65"/>
      <c r="F864" s="65"/>
      <c r="H864" s="65"/>
      <c r="J864" s="65"/>
      <c r="K864" s="65"/>
      <c r="L864" s="65"/>
    </row>
    <row r="865" ht="15.75" customHeight="1">
      <c r="C865" s="65"/>
      <c r="D865" s="65"/>
      <c r="E865" s="65"/>
      <c r="F865" s="65"/>
      <c r="H865" s="65"/>
      <c r="J865" s="65"/>
      <c r="K865" s="65"/>
      <c r="L865" s="65"/>
    </row>
    <row r="866" ht="15.75" customHeight="1">
      <c r="C866" s="65"/>
      <c r="D866" s="65"/>
      <c r="E866" s="65"/>
      <c r="F866" s="65"/>
      <c r="H866" s="65"/>
      <c r="J866" s="65"/>
      <c r="K866" s="65"/>
      <c r="L866" s="65"/>
    </row>
    <row r="867" ht="15.75" customHeight="1">
      <c r="C867" s="65"/>
      <c r="D867" s="65"/>
      <c r="E867" s="65"/>
      <c r="F867" s="65"/>
      <c r="H867" s="65"/>
      <c r="J867" s="65"/>
      <c r="K867" s="65"/>
      <c r="L867" s="65"/>
    </row>
    <row r="868" ht="15.75" customHeight="1">
      <c r="C868" s="65"/>
      <c r="D868" s="65"/>
      <c r="E868" s="65"/>
      <c r="F868" s="65"/>
      <c r="H868" s="65"/>
      <c r="J868" s="65"/>
      <c r="K868" s="65"/>
      <c r="L868" s="65"/>
    </row>
    <row r="869" ht="15.75" customHeight="1">
      <c r="C869" s="65"/>
      <c r="D869" s="65"/>
      <c r="E869" s="65"/>
      <c r="F869" s="65"/>
      <c r="H869" s="65"/>
      <c r="J869" s="65"/>
      <c r="K869" s="65"/>
      <c r="L869" s="65"/>
    </row>
    <row r="870" ht="15.75" customHeight="1">
      <c r="C870" s="65"/>
      <c r="D870" s="65"/>
      <c r="E870" s="65"/>
      <c r="F870" s="65"/>
      <c r="H870" s="65"/>
      <c r="J870" s="65"/>
      <c r="K870" s="65"/>
      <c r="L870" s="65"/>
    </row>
    <row r="871" ht="15.75" customHeight="1">
      <c r="C871" s="65"/>
      <c r="D871" s="65"/>
      <c r="E871" s="65"/>
      <c r="F871" s="65"/>
      <c r="H871" s="65"/>
      <c r="J871" s="65"/>
      <c r="K871" s="65"/>
      <c r="L871" s="65"/>
    </row>
    <row r="872" ht="15.75" customHeight="1">
      <c r="C872" s="65"/>
      <c r="D872" s="65"/>
      <c r="E872" s="65"/>
      <c r="F872" s="65"/>
      <c r="H872" s="65"/>
      <c r="J872" s="65"/>
      <c r="K872" s="65"/>
      <c r="L872" s="65"/>
    </row>
    <row r="873" ht="15.75" customHeight="1">
      <c r="C873" s="65"/>
      <c r="D873" s="65"/>
      <c r="E873" s="65"/>
      <c r="F873" s="65"/>
      <c r="H873" s="65"/>
      <c r="J873" s="65"/>
      <c r="K873" s="65"/>
      <c r="L873" s="65"/>
    </row>
    <row r="874" ht="15.75" customHeight="1">
      <c r="C874" s="65"/>
      <c r="D874" s="65"/>
      <c r="E874" s="65"/>
      <c r="F874" s="65"/>
      <c r="H874" s="65"/>
      <c r="J874" s="65"/>
      <c r="K874" s="65"/>
      <c r="L874" s="65"/>
    </row>
    <row r="875" ht="15.75" customHeight="1">
      <c r="C875" s="65"/>
      <c r="D875" s="65"/>
      <c r="E875" s="65"/>
      <c r="F875" s="65"/>
      <c r="H875" s="65"/>
      <c r="J875" s="65"/>
      <c r="K875" s="65"/>
      <c r="L875" s="65"/>
    </row>
    <row r="876" ht="15.75" customHeight="1">
      <c r="C876" s="65"/>
      <c r="D876" s="65"/>
      <c r="E876" s="65"/>
      <c r="F876" s="65"/>
      <c r="H876" s="65"/>
      <c r="J876" s="65"/>
      <c r="K876" s="65"/>
      <c r="L876" s="65"/>
    </row>
    <row r="877" ht="15.75" customHeight="1">
      <c r="C877" s="65"/>
      <c r="D877" s="65"/>
      <c r="E877" s="65"/>
      <c r="F877" s="65"/>
      <c r="H877" s="65"/>
      <c r="J877" s="65"/>
      <c r="K877" s="65"/>
      <c r="L877" s="65"/>
    </row>
    <row r="878" ht="15.75" customHeight="1">
      <c r="C878" s="65"/>
      <c r="D878" s="65"/>
      <c r="E878" s="65"/>
      <c r="F878" s="65"/>
      <c r="H878" s="65"/>
      <c r="J878" s="65"/>
      <c r="K878" s="65"/>
      <c r="L878" s="65"/>
    </row>
    <row r="879" ht="15.75" customHeight="1">
      <c r="C879" s="65"/>
      <c r="D879" s="65"/>
      <c r="E879" s="65"/>
      <c r="F879" s="65"/>
      <c r="H879" s="65"/>
      <c r="J879" s="65"/>
      <c r="K879" s="65"/>
      <c r="L879" s="65"/>
    </row>
    <row r="880" ht="15.75" customHeight="1">
      <c r="C880" s="65"/>
      <c r="D880" s="65"/>
      <c r="E880" s="65"/>
      <c r="F880" s="65"/>
      <c r="H880" s="65"/>
      <c r="J880" s="65"/>
      <c r="K880" s="65"/>
      <c r="L880" s="65"/>
    </row>
    <row r="881" ht="15.75" customHeight="1">
      <c r="C881" s="65"/>
      <c r="D881" s="65"/>
      <c r="E881" s="65"/>
      <c r="F881" s="65"/>
      <c r="H881" s="65"/>
      <c r="J881" s="65"/>
      <c r="K881" s="65"/>
      <c r="L881" s="65"/>
    </row>
    <row r="882" ht="15.75" customHeight="1">
      <c r="C882" s="65"/>
      <c r="D882" s="65"/>
      <c r="E882" s="65"/>
      <c r="F882" s="65"/>
      <c r="H882" s="65"/>
      <c r="J882" s="65"/>
      <c r="K882" s="65"/>
      <c r="L882" s="65"/>
    </row>
    <row r="883" ht="15.75" customHeight="1">
      <c r="C883" s="65"/>
      <c r="D883" s="65"/>
      <c r="E883" s="65"/>
      <c r="F883" s="65"/>
      <c r="H883" s="65"/>
      <c r="J883" s="65"/>
      <c r="K883" s="65"/>
      <c r="L883" s="65"/>
    </row>
    <row r="884" ht="15.75" customHeight="1">
      <c r="C884" s="65"/>
      <c r="D884" s="65"/>
      <c r="E884" s="65"/>
      <c r="F884" s="65"/>
      <c r="H884" s="65"/>
      <c r="J884" s="65"/>
      <c r="K884" s="65"/>
      <c r="L884" s="65"/>
    </row>
    <row r="885" ht="15.75" customHeight="1">
      <c r="C885" s="65"/>
      <c r="D885" s="65"/>
      <c r="E885" s="65"/>
      <c r="F885" s="65"/>
      <c r="H885" s="65"/>
      <c r="J885" s="65"/>
      <c r="K885" s="65"/>
      <c r="L885" s="65"/>
    </row>
    <row r="886" ht="15.75" customHeight="1">
      <c r="C886" s="65"/>
      <c r="D886" s="65"/>
      <c r="E886" s="65"/>
      <c r="F886" s="65"/>
      <c r="H886" s="65"/>
      <c r="J886" s="65"/>
      <c r="K886" s="65"/>
      <c r="L886" s="65"/>
    </row>
    <row r="887" ht="15.75" customHeight="1">
      <c r="C887" s="65"/>
      <c r="D887" s="65"/>
      <c r="E887" s="65"/>
      <c r="F887" s="65"/>
      <c r="H887" s="65"/>
      <c r="J887" s="65"/>
      <c r="K887" s="65"/>
      <c r="L887" s="65"/>
    </row>
    <row r="888" ht="15.75" customHeight="1">
      <c r="C888" s="65"/>
      <c r="D888" s="65"/>
      <c r="E888" s="65"/>
      <c r="F888" s="65"/>
      <c r="H888" s="65"/>
      <c r="J888" s="65"/>
      <c r="K888" s="65"/>
      <c r="L888" s="65"/>
    </row>
    <row r="889" ht="15.75" customHeight="1">
      <c r="C889" s="65"/>
      <c r="D889" s="65"/>
      <c r="E889" s="65"/>
      <c r="F889" s="65"/>
      <c r="H889" s="65"/>
      <c r="J889" s="65"/>
      <c r="K889" s="65"/>
      <c r="L889" s="65"/>
    </row>
    <row r="890" ht="15.75" customHeight="1">
      <c r="C890" s="65"/>
      <c r="D890" s="65"/>
      <c r="E890" s="65"/>
      <c r="F890" s="65"/>
      <c r="H890" s="65"/>
      <c r="J890" s="65"/>
      <c r="K890" s="65"/>
      <c r="L890" s="65"/>
    </row>
    <row r="891" ht="15.75" customHeight="1">
      <c r="C891" s="65"/>
      <c r="D891" s="65"/>
      <c r="E891" s="65"/>
      <c r="F891" s="65"/>
      <c r="H891" s="65"/>
      <c r="J891" s="65"/>
      <c r="K891" s="65"/>
      <c r="L891" s="65"/>
    </row>
    <row r="892" ht="15.75" customHeight="1">
      <c r="C892" s="65"/>
      <c r="D892" s="65"/>
      <c r="E892" s="65"/>
      <c r="F892" s="65"/>
      <c r="H892" s="65"/>
      <c r="J892" s="65"/>
      <c r="K892" s="65"/>
      <c r="L892" s="65"/>
    </row>
    <row r="893" ht="15.75" customHeight="1">
      <c r="C893" s="65"/>
      <c r="D893" s="65"/>
      <c r="E893" s="65"/>
      <c r="F893" s="65"/>
      <c r="H893" s="65"/>
      <c r="J893" s="65"/>
      <c r="K893" s="65"/>
      <c r="L893" s="65"/>
    </row>
    <row r="894" ht="15.75" customHeight="1">
      <c r="C894" s="65"/>
      <c r="D894" s="65"/>
      <c r="E894" s="65"/>
      <c r="F894" s="65"/>
      <c r="H894" s="65"/>
      <c r="J894" s="65"/>
      <c r="K894" s="65"/>
      <c r="L894" s="65"/>
    </row>
    <row r="895" ht="15.75" customHeight="1">
      <c r="C895" s="65"/>
      <c r="D895" s="65"/>
      <c r="E895" s="65"/>
      <c r="F895" s="65"/>
      <c r="H895" s="65"/>
      <c r="J895" s="65"/>
      <c r="K895" s="65"/>
      <c r="L895" s="65"/>
    </row>
    <row r="896" ht="15.75" customHeight="1">
      <c r="C896" s="65"/>
      <c r="D896" s="65"/>
      <c r="E896" s="65"/>
      <c r="F896" s="65"/>
      <c r="H896" s="65"/>
      <c r="J896" s="65"/>
      <c r="K896" s="65"/>
      <c r="L896" s="65"/>
    </row>
    <row r="897" ht="15.75" customHeight="1">
      <c r="C897" s="65"/>
      <c r="D897" s="65"/>
      <c r="E897" s="65"/>
      <c r="F897" s="65"/>
      <c r="H897" s="65"/>
      <c r="J897" s="65"/>
      <c r="K897" s="65"/>
      <c r="L897" s="65"/>
    </row>
    <row r="898" ht="15.75" customHeight="1">
      <c r="C898" s="65"/>
      <c r="D898" s="65"/>
      <c r="E898" s="65"/>
      <c r="F898" s="65"/>
      <c r="H898" s="65"/>
      <c r="J898" s="65"/>
      <c r="K898" s="65"/>
      <c r="L898" s="65"/>
    </row>
    <row r="899" ht="15.75" customHeight="1">
      <c r="C899" s="65"/>
      <c r="D899" s="65"/>
      <c r="E899" s="65"/>
      <c r="F899" s="65"/>
      <c r="H899" s="65"/>
      <c r="J899" s="65"/>
      <c r="K899" s="65"/>
      <c r="L899" s="65"/>
    </row>
    <row r="900" ht="15.75" customHeight="1">
      <c r="C900" s="65"/>
      <c r="D900" s="65"/>
      <c r="E900" s="65"/>
      <c r="F900" s="65"/>
      <c r="H900" s="65"/>
      <c r="J900" s="65"/>
      <c r="K900" s="65"/>
      <c r="L900" s="65"/>
    </row>
    <row r="901" ht="15.75" customHeight="1">
      <c r="C901" s="65"/>
      <c r="D901" s="65"/>
      <c r="E901" s="65"/>
      <c r="F901" s="65"/>
      <c r="H901" s="65"/>
      <c r="J901" s="65"/>
      <c r="K901" s="65"/>
      <c r="L901" s="65"/>
    </row>
    <row r="902" ht="15.75" customHeight="1">
      <c r="C902" s="65"/>
      <c r="D902" s="65"/>
      <c r="E902" s="65"/>
      <c r="F902" s="65"/>
      <c r="H902" s="65"/>
      <c r="J902" s="65"/>
      <c r="K902" s="65"/>
      <c r="L902" s="65"/>
    </row>
    <row r="903" ht="15.75" customHeight="1">
      <c r="C903" s="65"/>
      <c r="D903" s="65"/>
      <c r="E903" s="65"/>
      <c r="F903" s="65"/>
      <c r="H903" s="65"/>
      <c r="J903" s="65"/>
      <c r="K903" s="65"/>
      <c r="L903" s="65"/>
    </row>
    <row r="904" ht="15.75" customHeight="1">
      <c r="C904" s="65"/>
      <c r="D904" s="65"/>
      <c r="E904" s="65"/>
      <c r="F904" s="65"/>
      <c r="H904" s="65"/>
      <c r="J904" s="65"/>
      <c r="K904" s="65"/>
      <c r="L904" s="65"/>
    </row>
    <row r="905" ht="15.75" customHeight="1">
      <c r="C905" s="65"/>
      <c r="D905" s="65"/>
      <c r="E905" s="65"/>
      <c r="F905" s="65"/>
      <c r="H905" s="65"/>
      <c r="J905" s="65"/>
      <c r="K905" s="65"/>
      <c r="L905" s="65"/>
    </row>
    <row r="906" ht="15.75" customHeight="1">
      <c r="C906" s="65"/>
      <c r="D906" s="65"/>
      <c r="E906" s="65"/>
      <c r="F906" s="65"/>
      <c r="H906" s="65"/>
      <c r="J906" s="65"/>
      <c r="K906" s="65"/>
      <c r="L906" s="65"/>
    </row>
    <row r="907" ht="15.75" customHeight="1">
      <c r="C907" s="65"/>
      <c r="D907" s="65"/>
      <c r="E907" s="65"/>
      <c r="F907" s="65"/>
      <c r="H907" s="65"/>
      <c r="J907" s="65"/>
      <c r="K907" s="65"/>
      <c r="L907" s="65"/>
    </row>
    <row r="908" ht="15.75" customHeight="1">
      <c r="C908" s="65"/>
      <c r="D908" s="65"/>
      <c r="E908" s="65"/>
      <c r="F908" s="65"/>
      <c r="H908" s="65"/>
      <c r="J908" s="65"/>
      <c r="K908" s="65"/>
      <c r="L908" s="65"/>
    </row>
    <row r="909" ht="15.75" customHeight="1">
      <c r="C909" s="65"/>
      <c r="D909" s="65"/>
      <c r="E909" s="65"/>
      <c r="F909" s="65"/>
      <c r="H909" s="65"/>
      <c r="J909" s="65"/>
      <c r="K909" s="65"/>
      <c r="L909" s="65"/>
    </row>
    <row r="910" ht="15.75" customHeight="1">
      <c r="C910" s="65"/>
      <c r="D910" s="65"/>
      <c r="E910" s="65"/>
      <c r="F910" s="65"/>
      <c r="H910" s="65"/>
      <c r="J910" s="65"/>
      <c r="K910" s="65"/>
      <c r="L910" s="65"/>
    </row>
    <row r="911" ht="15.75" customHeight="1">
      <c r="C911" s="65"/>
      <c r="D911" s="65"/>
      <c r="E911" s="65"/>
      <c r="F911" s="65"/>
      <c r="H911" s="65"/>
      <c r="J911" s="65"/>
      <c r="K911" s="65"/>
      <c r="L911" s="65"/>
    </row>
    <row r="912" ht="15.75" customHeight="1">
      <c r="C912" s="65"/>
      <c r="D912" s="65"/>
      <c r="E912" s="65"/>
      <c r="F912" s="65"/>
      <c r="H912" s="65"/>
      <c r="J912" s="65"/>
      <c r="K912" s="65"/>
      <c r="L912" s="65"/>
    </row>
    <row r="913" ht="15.75" customHeight="1">
      <c r="C913" s="65"/>
      <c r="D913" s="65"/>
      <c r="E913" s="65"/>
      <c r="F913" s="65"/>
      <c r="H913" s="65"/>
      <c r="J913" s="65"/>
      <c r="K913" s="65"/>
      <c r="L913" s="65"/>
    </row>
    <row r="914" ht="15.75" customHeight="1">
      <c r="C914" s="65"/>
      <c r="D914" s="65"/>
      <c r="E914" s="65"/>
      <c r="F914" s="65"/>
      <c r="H914" s="65"/>
      <c r="J914" s="65"/>
      <c r="K914" s="65"/>
      <c r="L914" s="65"/>
    </row>
    <row r="915" ht="15.75" customHeight="1">
      <c r="C915" s="65"/>
      <c r="D915" s="65"/>
      <c r="E915" s="65"/>
      <c r="F915" s="65"/>
      <c r="H915" s="65"/>
      <c r="J915" s="65"/>
      <c r="K915" s="65"/>
      <c r="L915" s="65"/>
    </row>
    <row r="916" ht="15.75" customHeight="1">
      <c r="C916" s="65"/>
      <c r="D916" s="65"/>
      <c r="E916" s="65"/>
      <c r="F916" s="65"/>
      <c r="H916" s="65"/>
      <c r="J916" s="65"/>
      <c r="K916" s="65"/>
      <c r="L916" s="65"/>
    </row>
    <row r="917" ht="15.75" customHeight="1">
      <c r="C917" s="65"/>
      <c r="D917" s="65"/>
      <c r="E917" s="65"/>
      <c r="F917" s="65"/>
      <c r="H917" s="65"/>
      <c r="J917" s="65"/>
      <c r="K917" s="65"/>
      <c r="L917" s="65"/>
    </row>
    <row r="918" ht="15.75" customHeight="1">
      <c r="C918" s="65"/>
      <c r="D918" s="65"/>
      <c r="E918" s="65"/>
      <c r="F918" s="65"/>
      <c r="H918" s="65"/>
      <c r="J918" s="65"/>
      <c r="K918" s="65"/>
      <c r="L918" s="65"/>
    </row>
    <row r="919" ht="15.75" customHeight="1">
      <c r="C919" s="65"/>
      <c r="D919" s="65"/>
      <c r="E919" s="65"/>
      <c r="F919" s="65"/>
      <c r="H919" s="65"/>
      <c r="J919" s="65"/>
      <c r="K919" s="65"/>
      <c r="L919" s="65"/>
    </row>
    <row r="920" ht="15.75" customHeight="1">
      <c r="C920" s="65"/>
      <c r="D920" s="65"/>
      <c r="E920" s="65"/>
      <c r="F920" s="65"/>
      <c r="H920" s="65"/>
      <c r="J920" s="65"/>
      <c r="K920" s="65"/>
      <c r="L920" s="65"/>
    </row>
    <row r="921" ht="15.75" customHeight="1">
      <c r="C921" s="65"/>
      <c r="D921" s="65"/>
      <c r="E921" s="65"/>
      <c r="F921" s="65"/>
      <c r="H921" s="65"/>
      <c r="J921" s="65"/>
      <c r="K921" s="65"/>
      <c r="L921" s="65"/>
    </row>
    <row r="922" ht="15.75" customHeight="1">
      <c r="C922" s="65"/>
      <c r="D922" s="65"/>
      <c r="E922" s="65"/>
      <c r="F922" s="65"/>
      <c r="H922" s="65"/>
      <c r="J922" s="65"/>
      <c r="K922" s="65"/>
      <c r="L922" s="65"/>
    </row>
    <row r="923" ht="15.75" customHeight="1">
      <c r="C923" s="65"/>
      <c r="D923" s="65"/>
      <c r="E923" s="65"/>
      <c r="F923" s="65"/>
      <c r="H923" s="65"/>
      <c r="J923" s="65"/>
      <c r="K923" s="65"/>
      <c r="L923" s="65"/>
    </row>
    <row r="924" ht="15.75" customHeight="1">
      <c r="C924" s="65"/>
      <c r="D924" s="65"/>
      <c r="E924" s="65"/>
      <c r="F924" s="65"/>
      <c r="H924" s="65"/>
      <c r="J924" s="65"/>
      <c r="K924" s="65"/>
      <c r="L924" s="65"/>
    </row>
    <row r="925" ht="15.75" customHeight="1">
      <c r="C925" s="65"/>
      <c r="D925" s="65"/>
      <c r="E925" s="65"/>
      <c r="F925" s="65"/>
      <c r="H925" s="65"/>
      <c r="J925" s="65"/>
      <c r="K925" s="65"/>
      <c r="L925" s="65"/>
    </row>
    <row r="926" ht="15.75" customHeight="1">
      <c r="C926" s="65"/>
      <c r="D926" s="65"/>
      <c r="E926" s="65"/>
      <c r="F926" s="65"/>
      <c r="H926" s="65"/>
      <c r="J926" s="65"/>
      <c r="K926" s="65"/>
      <c r="L926" s="65"/>
    </row>
    <row r="927" ht="15.75" customHeight="1">
      <c r="C927" s="65"/>
      <c r="D927" s="65"/>
      <c r="E927" s="65"/>
      <c r="F927" s="65"/>
      <c r="H927" s="65"/>
      <c r="J927" s="65"/>
      <c r="K927" s="65"/>
      <c r="L927" s="65"/>
    </row>
    <row r="928" ht="15.75" customHeight="1">
      <c r="C928" s="65"/>
      <c r="D928" s="65"/>
      <c r="E928" s="65"/>
      <c r="F928" s="65"/>
      <c r="H928" s="65"/>
      <c r="J928" s="65"/>
      <c r="K928" s="65"/>
      <c r="L928" s="65"/>
    </row>
    <row r="929" ht="15.75" customHeight="1">
      <c r="C929" s="65"/>
      <c r="D929" s="65"/>
      <c r="E929" s="65"/>
      <c r="F929" s="65"/>
      <c r="H929" s="65"/>
      <c r="J929" s="65"/>
      <c r="K929" s="65"/>
      <c r="L929" s="65"/>
    </row>
    <row r="930" ht="15.75" customHeight="1">
      <c r="C930" s="65"/>
      <c r="D930" s="65"/>
      <c r="E930" s="65"/>
      <c r="F930" s="65"/>
      <c r="H930" s="65"/>
      <c r="J930" s="65"/>
      <c r="K930" s="65"/>
      <c r="L930" s="65"/>
    </row>
    <row r="931" ht="15.75" customHeight="1">
      <c r="C931" s="65"/>
      <c r="D931" s="65"/>
      <c r="E931" s="65"/>
      <c r="F931" s="65"/>
      <c r="H931" s="65"/>
      <c r="J931" s="65"/>
      <c r="K931" s="65"/>
      <c r="L931" s="65"/>
    </row>
    <row r="932" ht="15.75" customHeight="1">
      <c r="C932" s="65"/>
      <c r="D932" s="65"/>
      <c r="E932" s="65"/>
      <c r="F932" s="65"/>
      <c r="H932" s="65"/>
      <c r="J932" s="65"/>
      <c r="K932" s="65"/>
      <c r="L932" s="65"/>
    </row>
    <row r="933" ht="15.75" customHeight="1">
      <c r="C933" s="65"/>
      <c r="D933" s="65"/>
      <c r="E933" s="65"/>
      <c r="F933" s="65"/>
      <c r="H933" s="65"/>
      <c r="J933" s="65"/>
      <c r="K933" s="65"/>
      <c r="L933" s="65"/>
    </row>
    <row r="934" ht="15.75" customHeight="1">
      <c r="C934" s="65"/>
      <c r="D934" s="65"/>
      <c r="E934" s="65"/>
      <c r="F934" s="65"/>
      <c r="H934" s="65"/>
      <c r="J934" s="65"/>
      <c r="K934" s="65"/>
      <c r="L934" s="65"/>
    </row>
    <row r="935" ht="15.75" customHeight="1">
      <c r="C935" s="65"/>
      <c r="D935" s="65"/>
      <c r="E935" s="65"/>
      <c r="F935" s="65"/>
      <c r="H935" s="65"/>
      <c r="J935" s="65"/>
      <c r="K935" s="65"/>
      <c r="L935" s="65"/>
    </row>
    <row r="936" ht="15.75" customHeight="1">
      <c r="C936" s="65"/>
      <c r="D936" s="65"/>
      <c r="E936" s="65"/>
      <c r="F936" s="65"/>
      <c r="H936" s="65"/>
      <c r="J936" s="65"/>
      <c r="K936" s="65"/>
      <c r="L936" s="65"/>
    </row>
    <row r="937" ht="15.75" customHeight="1">
      <c r="C937" s="65"/>
      <c r="D937" s="65"/>
      <c r="E937" s="65"/>
      <c r="F937" s="65"/>
      <c r="H937" s="65"/>
      <c r="J937" s="65"/>
      <c r="K937" s="65"/>
      <c r="L937" s="65"/>
    </row>
    <row r="938" ht="15.75" customHeight="1">
      <c r="C938" s="65"/>
      <c r="D938" s="65"/>
      <c r="E938" s="65"/>
      <c r="F938" s="65"/>
      <c r="H938" s="65"/>
      <c r="J938" s="65"/>
      <c r="K938" s="65"/>
      <c r="L938" s="65"/>
    </row>
    <row r="939" ht="15.75" customHeight="1">
      <c r="C939" s="65"/>
      <c r="D939" s="65"/>
      <c r="E939" s="65"/>
      <c r="F939" s="65"/>
      <c r="H939" s="65"/>
      <c r="J939" s="65"/>
      <c r="K939" s="65"/>
      <c r="L939" s="65"/>
    </row>
    <row r="940" ht="15.75" customHeight="1">
      <c r="C940" s="65"/>
      <c r="D940" s="65"/>
      <c r="E940" s="65"/>
      <c r="F940" s="65"/>
      <c r="H940" s="65"/>
      <c r="J940" s="65"/>
      <c r="K940" s="65"/>
      <c r="L940" s="65"/>
    </row>
    <row r="941" ht="15.75" customHeight="1">
      <c r="C941" s="65"/>
      <c r="D941" s="65"/>
      <c r="E941" s="65"/>
      <c r="F941" s="65"/>
      <c r="H941" s="65"/>
      <c r="J941" s="65"/>
      <c r="K941" s="65"/>
      <c r="L941" s="65"/>
    </row>
    <row r="942" ht="15.75" customHeight="1">
      <c r="C942" s="65"/>
      <c r="D942" s="65"/>
      <c r="E942" s="65"/>
      <c r="F942" s="65"/>
      <c r="H942" s="65"/>
      <c r="J942" s="65"/>
      <c r="K942" s="65"/>
      <c r="L942" s="65"/>
    </row>
    <row r="943" ht="15.75" customHeight="1">
      <c r="C943" s="65"/>
      <c r="D943" s="65"/>
      <c r="E943" s="65"/>
      <c r="F943" s="65"/>
      <c r="H943" s="65"/>
      <c r="J943" s="65"/>
      <c r="K943" s="65"/>
      <c r="L943" s="65"/>
    </row>
    <row r="944" ht="15.75" customHeight="1">
      <c r="C944" s="65"/>
      <c r="D944" s="65"/>
      <c r="E944" s="65"/>
      <c r="F944" s="65"/>
      <c r="H944" s="65"/>
      <c r="J944" s="65"/>
      <c r="K944" s="65"/>
      <c r="L944" s="65"/>
    </row>
    <row r="945" ht="15.75" customHeight="1">
      <c r="C945" s="65"/>
      <c r="D945" s="65"/>
      <c r="E945" s="65"/>
      <c r="F945" s="65"/>
      <c r="H945" s="65"/>
      <c r="J945" s="65"/>
      <c r="K945" s="65"/>
      <c r="L945" s="65"/>
    </row>
    <row r="946" ht="15.75" customHeight="1">
      <c r="C946" s="65"/>
      <c r="D946" s="65"/>
      <c r="E946" s="65"/>
      <c r="F946" s="65"/>
      <c r="H946" s="65"/>
      <c r="J946" s="65"/>
      <c r="K946" s="65"/>
      <c r="L946" s="65"/>
    </row>
    <row r="947" ht="15.75" customHeight="1">
      <c r="C947" s="65"/>
      <c r="D947" s="65"/>
      <c r="E947" s="65"/>
      <c r="F947" s="65"/>
      <c r="H947" s="65"/>
      <c r="J947" s="65"/>
      <c r="K947" s="65"/>
      <c r="L947" s="65"/>
    </row>
    <row r="948" ht="15.75" customHeight="1">
      <c r="C948" s="65"/>
      <c r="D948" s="65"/>
      <c r="E948" s="65"/>
      <c r="F948" s="65"/>
      <c r="H948" s="65"/>
      <c r="J948" s="65"/>
      <c r="K948" s="65"/>
      <c r="L948" s="65"/>
    </row>
    <row r="949" ht="15.75" customHeight="1">
      <c r="C949" s="65"/>
      <c r="D949" s="65"/>
      <c r="E949" s="65"/>
      <c r="F949" s="65"/>
      <c r="H949" s="65"/>
      <c r="J949" s="65"/>
      <c r="K949" s="65"/>
      <c r="L949" s="65"/>
    </row>
    <row r="950" ht="15.75" customHeight="1">
      <c r="C950" s="65"/>
      <c r="D950" s="65"/>
      <c r="E950" s="65"/>
      <c r="F950" s="65"/>
      <c r="H950" s="65"/>
      <c r="J950" s="65"/>
      <c r="K950" s="65"/>
      <c r="L950" s="65"/>
    </row>
    <row r="951" ht="15.75" customHeight="1">
      <c r="C951" s="65"/>
      <c r="D951" s="65"/>
      <c r="E951" s="65"/>
      <c r="F951" s="65"/>
      <c r="H951" s="65"/>
      <c r="J951" s="65"/>
      <c r="K951" s="65"/>
      <c r="L951" s="65"/>
    </row>
    <row r="952" ht="15.75" customHeight="1">
      <c r="C952" s="65"/>
      <c r="D952" s="65"/>
      <c r="E952" s="65"/>
      <c r="F952" s="65"/>
      <c r="H952" s="65"/>
      <c r="J952" s="65"/>
      <c r="K952" s="65"/>
      <c r="L952" s="65"/>
    </row>
    <row r="953" ht="15.75" customHeight="1">
      <c r="C953" s="65"/>
      <c r="D953" s="65"/>
      <c r="E953" s="65"/>
      <c r="F953" s="65"/>
      <c r="H953" s="65"/>
      <c r="J953" s="65"/>
      <c r="K953" s="65"/>
      <c r="L953" s="65"/>
    </row>
    <row r="954" ht="15.75" customHeight="1">
      <c r="C954" s="65"/>
      <c r="D954" s="65"/>
      <c r="E954" s="65"/>
      <c r="F954" s="65"/>
      <c r="H954" s="65"/>
      <c r="J954" s="65"/>
      <c r="K954" s="65"/>
      <c r="L954" s="65"/>
    </row>
    <row r="955" ht="15.75" customHeight="1">
      <c r="C955" s="65"/>
      <c r="D955" s="65"/>
      <c r="E955" s="65"/>
      <c r="F955" s="65"/>
      <c r="H955" s="65"/>
      <c r="J955" s="65"/>
      <c r="K955" s="65"/>
      <c r="L955" s="65"/>
    </row>
    <row r="956" ht="15.75" customHeight="1">
      <c r="C956" s="65"/>
      <c r="D956" s="65"/>
      <c r="E956" s="65"/>
      <c r="F956" s="65"/>
      <c r="H956" s="65"/>
      <c r="J956" s="65"/>
      <c r="K956" s="65"/>
      <c r="L956" s="65"/>
    </row>
    <row r="957" ht="15.75" customHeight="1">
      <c r="C957" s="65"/>
      <c r="D957" s="65"/>
      <c r="E957" s="65"/>
      <c r="F957" s="65"/>
      <c r="H957" s="65"/>
      <c r="J957" s="65"/>
      <c r="K957" s="65"/>
      <c r="L957" s="65"/>
    </row>
    <row r="958" ht="15.75" customHeight="1">
      <c r="C958" s="65"/>
      <c r="D958" s="65"/>
      <c r="E958" s="65"/>
      <c r="F958" s="65"/>
      <c r="H958" s="65"/>
      <c r="J958" s="65"/>
      <c r="K958" s="65"/>
      <c r="L958" s="65"/>
    </row>
    <row r="959" ht="15.75" customHeight="1">
      <c r="C959" s="65"/>
      <c r="D959" s="65"/>
      <c r="E959" s="65"/>
      <c r="F959" s="65"/>
      <c r="H959" s="65"/>
      <c r="J959" s="65"/>
      <c r="K959" s="65"/>
      <c r="L959" s="65"/>
    </row>
    <row r="960" ht="15.75" customHeight="1">
      <c r="C960" s="65"/>
      <c r="D960" s="65"/>
      <c r="E960" s="65"/>
      <c r="F960" s="65"/>
      <c r="H960" s="65"/>
      <c r="J960" s="65"/>
      <c r="K960" s="65"/>
      <c r="L960" s="65"/>
    </row>
    <row r="961" ht="15.75" customHeight="1">
      <c r="C961" s="65"/>
      <c r="D961" s="65"/>
      <c r="E961" s="65"/>
      <c r="F961" s="65"/>
      <c r="H961" s="65"/>
      <c r="J961" s="65"/>
      <c r="K961" s="65"/>
      <c r="L961" s="65"/>
    </row>
    <row r="962" ht="15.75" customHeight="1">
      <c r="C962" s="65"/>
      <c r="D962" s="65"/>
      <c r="E962" s="65"/>
      <c r="F962" s="65"/>
      <c r="H962" s="65"/>
      <c r="J962" s="65"/>
      <c r="K962" s="65"/>
      <c r="L962" s="65"/>
    </row>
    <row r="963" ht="15.75" customHeight="1">
      <c r="C963" s="65"/>
      <c r="D963" s="65"/>
      <c r="E963" s="65"/>
      <c r="F963" s="65"/>
      <c r="H963" s="65"/>
      <c r="J963" s="65"/>
      <c r="K963" s="65"/>
      <c r="L963" s="65"/>
    </row>
    <row r="964" ht="15.75" customHeight="1">
      <c r="C964" s="65"/>
      <c r="D964" s="65"/>
      <c r="E964" s="65"/>
      <c r="F964" s="65"/>
      <c r="H964" s="65"/>
      <c r="J964" s="65"/>
      <c r="K964" s="65"/>
      <c r="L964" s="65"/>
    </row>
    <row r="965" ht="15.75" customHeight="1">
      <c r="C965" s="65"/>
      <c r="D965" s="65"/>
      <c r="E965" s="65"/>
      <c r="F965" s="65"/>
      <c r="H965" s="65"/>
      <c r="J965" s="65"/>
      <c r="K965" s="65"/>
      <c r="L965" s="65"/>
    </row>
    <row r="966" ht="15.75" customHeight="1">
      <c r="C966" s="65"/>
      <c r="D966" s="65"/>
      <c r="E966" s="65"/>
      <c r="F966" s="65"/>
      <c r="H966" s="65"/>
      <c r="J966" s="65"/>
      <c r="K966" s="65"/>
      <c r="L966" s="65"/>
    </row>
    <row r="967" ht="15.75" customHeight="1">
      <c r="C967" s="65"/>
      <c r="D967" s="65"/>
      <c r="E967" s="65"/>
      <c r="F967" s="65"/>
      <c r="H967" s="65"/>
      <c r="J967" s="65"/>
      <c r="K967" s="65"/>
      <c r="L967" s="65"/>
    </row>
    <row r="968" ht="15.75" customHeight="1">
      <c r="C968" s="65"/>
      <c r="D968" s="65"/>
      <c r="E968" s="65"/>
      <c r="F968" s="65"/>
      <c r="H968" s="65"/>
      <c r="J968" s="65"/>
      <c r="K968" s="65"/>
      <c r="L968" s="65"/>
    </row>
    <row r="969" ht="15.75" customHeight="1">
      <c r="C969" s="65"/>
      <c r="D969" s="65"/>
      <c r="E969" s="65"/>
      <c r="F969" s="65"/>
      <c r="H969" s="65"/>
      <c r="J969" s="65"/>
      <c r="K969" s="65"/>
      <c r="L969" s="65"/>
    </row>
    <row r="970" ht="15.75" customHeight="1">
      <c r="C970" s="65"/>
      <c r="D970" s="65"/>
      <c r="E970" s="65"/>
      <c r="F970" s="65"/>
      <c r="H970" s="65"/>
      <c r="J970" s="65"/>
      <c r="K970" s="65"/>
      <c r="L970" s="65"/>
    </row>
    <row r="971" ht="15.75" customHeight="1">
      <c r="C971" s="65"/>
      <c r="D971" s="65"/>
      <c r="E971" s="65"/>
      <c r="F971" s="65"/>
      <c r="H971" s="65"/>
      <c r="J971" s="65"/>
      <c r="K971" s="65"/>
      <c r="L971" s="65"/>
    </row>
    <row r="972" ht="15.75" customHeight="1">
      <c r="C972" s="65"/>
      <c r="D972" s="65"/>
      <c r="E972" s="65"/>
      <c r="F972" s="65"/>
      <c r="H972" s="65"/>
      <c r="J972" s="65"/>
      <c r="K972" s="65"/>
      <c r="L972" s="65"/>
    </row>
    <row r="973" ht="15.75" customHeight="1">
      <c r="C973" s="65"/>
      <c r="D973" s="65"/>
      <c r="E973" s="65"/>
      <c r="F973" s="65"/>
      <c r="H973" s="65"/>
      <c r="J973" s="65"/>
      <c r="K973" s="65"/>
      <c r="L973" s="65"/>
    </row>
    <row r="974" ht="15.75" customHeight="1">
      <c r="C974" s="65"/>
      <c r="D974" s="65"/>
      <c r="E974" s="65"/>
      <c r="F974" s="65"/>
      <c r="H974" s="65"/>
      <c r="J974" s="65"/>
      <c r="K974" s="65"/>
      <c r="L974" s="65"/>
    </row>
    <row r="975" ht="15.75" customHeight="1">
      <c r="C975" s="65"/>
      <c r="D975" s="65"/>
      <c r="E975" s="65"/>
      <c r="F975" s="65"/>
      <c r="H975" s="65"/>
      <c r="J975" s="65"/>
      <c r="K975" s="65"/>
      <c r="L975" s="65"/>
    </row>
    <row r="976" ht="15.75" customHeight="1">
      <c r="C976" s="65"/>
      <c r="D976" s="65"/>
      <c r="E976" s="65"/>
      <c r="F976" s="65"/>
      <c r="H976" s="65"/>
      <c r="J976" s="65"/>
      <c r="K976" s="65"/>
      <c r="L976" s="65"/>
    </row>
    <row r="977" ht="15.75" customHeight="1">
      <c r="C977" s="65"/>
      <c r="D977" s="65"/>
      <c r="E977" s="65"/>
      <c r="F977" s="65"/>
      <c r="H977" s="65"/>
      <c r="J977" s="65"/>
      <c r="K977" s="65"/>
      <c r="L977" s="65"/>
    </row>
    <row r="978" ht="15.75" customHeight="1">
      <c r="C978" s="65"/>
      <c r="D978" s="65"/>
      <c r="E978" s="65"/>
      <c r="F978" s="65"/>
      <c r="H978" s="65"/>
      <c r="J978" s="65"/>
      <c r="K978" s="65"/>
      <c r="L978" s="65"/>
    </row>
    <row r="979" ht="15.75" customHeight="1">
      <c r="C979" s="65"/>
      <c r="D979" s="65"/>
      <c r="E979" s="65"/>
      <c r="F979" s="65"/>
      <c r="H979" s="65"/>
      <c r="J979" s="65"/>
      <c r="K979" s="65"/>
      <c r="L979" s="65"/>
    </row>
    <row r="980" ht="15.75" customHeight="1">
      <c r="C980" s="65"/>
      <c r="D980" s="65"/>
      <c r="E980" s="65"/>
      <c r="F980" s="65"/>
      <c r="H980" s="65"/>
      <c r="J980" s="65"/>
      <c r="K980" s="65"/>
      <c r="L980" s="65"/>
    </row>
    <row r="981" ht="15.75" customHeight="1">
      <c r="C981" s="65"/>
      <c r="D981" s="65"/>
      <c r="E981" s="65"/>
      <c r="F981" s="65"/>
      <c r="H981" s="65"/>
      <c r="J981" s="65"/>
      <c r="K981" s="65"/>
      <c r="L981" s="65"/>
    </row>
    <row r="982" ht="15.75" customHeight="1">
      <c r="C982" s="65"/>
      <c r="D982" s="65"/>
      <c r="E982" s="65"/>
      <c r="F982" s="65"/>
      <c r="H982" s="65"/>
      <c r="J982" s="65"/>
      <c r="K982" s="65"/>
      <c r="L982" s="65"/>
    </row>
    <row r="983" ht="15.75" customHeight="1">
      <c r="C983" s="65"/>
      <c r="D983" s="65"/>
      <c r="E983" s="65"/>
      <c r="F983" s="65"/>
      <c r="H983" s="65"/>
      <c r="J983" s="65"/>
      <c r="K983" s="65"/>
      <c r="L983" s="65"/>
    </row>
    <row r="984" ht="15.75" customHeight="1">
      <c r="C984" s="65"/>
      <c r="D984" s="65"/>
      <c r="E984" s="65"/>
      <c r="F984" s="65"/>
      <c r="H984" s="65"/>
      <c r="J984" s="65"/>
      <c r="K984" s="65"/>
      <c r="L984" s="65"/>
    </row>
    <row r="985" ht="15.75" customHeight="1">
      <c r="C985" s="65"/>
      <c r="D985" s="65"/>
      <c r="E985" s="65"/>
      <c r="F985" s="65"/>
      <c r="H985" s="65"/>
      <c r="J985" s="65"/>
      <c r="K985" s="65"/>
      <c r="L985" s="65"/>
    </row>
    <row r="986" ht="15.75" customHeight="1">
      <c r="C986" s="65"/>
      <c r="D986" s="65"/>
      <c r="E986" s="65"/>
      <c r="F986" s="65"/>
      <c r="H986" s="65"/>
      <c r="J986" s="65"/>
      <c r="K986" s="65"/>
      <c r="L986" s="65"/>
    </row>
    <row r="987" ht="15.75" customHeight="1">
      <c r="C987" s="65"/>
      <c r="D987" s="65"/>
      <c r="E987" s="65"/>
      <c r="F987" s="65"/>
      <c r="H987" s="65"/>
      <c r="J987" s="65"/>
      <c r="K987" s="65"/>
      <c r="L987" s="65"/>
    </row>
    <row r="988" ht="15.75" customHeight="1">
      <c r="C988" s="65"/>
      <c r="D988" s="65"/>
      <c r="E988" s="65"/>
      <c r="F988" s="65"/>
      <c r="H988" s="65"/>
      <c r="J988" s="65"/>
      <c r="K988" s="65"/>
      <c r="L988" s="65"/>
    </row>
    <row r="989" ht="15.75" customHeight="1">
      <c r="C989" s="65"/>
      <c r="D989" s="65"/>
      <c r="E989" s="65"/>
      <c r="F989" s="65"/>
      <c r="H989" s="65"/>
      <c r="J989" s="65"/>
      <c r="K989" s="65"/>
      <c r="L989" s="65"/>
    </row>
    <row r="990" ht="15.75" customHeight="1">
      <c r="C990" s="65"/>
      <c r="D990" s="65"/>
      <c r="E990" s="65"/>
      <c r="F990" s="65"/>
      <c r="H990" s="65"/>
      <c r="J990" s="65"/>
      <c r="K990" s="65"/>
      <c r="L990" s="65"/>
    </row>
    <row r="991" ht="15.75" customHeight="1">
      <c r="C991" s="65"/>
      <c r="D991" s="65"/>
      <c r="E991" s="65"/>
      <c r="F991" s="65"/>
      <c r="H991" s="65"/>
      <c r="J991" s="65"/>
      <c r="K991" s="65"/>
      <c r="L991" s="65"/>
    </row>
    <row r="992" ht="15.75" customHeight="1">
      <c r="C992" s="65"/>
      <c r="D992" s="65"/>
      <c r="E992" s="65"/>
      <c r="F992" s="65"/>
      <c r="H992" s="65"/>
      <c r="J992" s="65"/>
      <c r="K992" s="65"/>
      <c r="L992" s="65"/>
    </row>
    <row r="993" ht="15.75" customHeight="1">
      <c r="C993" s="65"/>
      <c r="D993" s="65"/>
      <c r="E993" s="65"/>
      <c r="F993" s="65"/>
      <c r="H993" s="65"/>
      <c r="J993" s="65"/>
      <c r="K993" s="65"/>
      <c r="L993" s="65"/>
    </row>
    <row r="994" ht="15.75" customHeight="1">
      <c r="C994" s="65"/>
      <c r="D994" s="65"/>
      <c r="E994" s="65"/>
      <c r="F994" s="65"/>
      <c r="H994" s="65"/>
      <c r="J994" s="65"/>
      <c r="K994" s="65"/>
      <c r="L994" s="65"/>
    </row>
    <row r="995" ht="15.75" customHeight="1">
      <c r="C995" s="65"/>
      <c r="D995" s="65"/>
      <c r="E995" s="65"/>
      <c r="F995" s="65"/>
      <c r="H995" s="65"/>
      <c r="J995" s="65"/>
      <c r="K995" s="65"/>
      <c r="L995" s="65"/>
    </row>
    <row r="996" ht="15.75" customHeight="1">
      <c r="C996" s="65"/>
      <c r="D996" s="65"/>
      <c r="E996" s="65"/>
      <c r="F996" s="65"/>
      <c r="H996" s="65"/>
      <c r="J996" s="65"/>
      <c r="K996" s="65"/>
      <c r="L996" s="65"/>
    </row>
    <row r="997" ht="15.75" customHeight="1">
      <c r="C997" s="65"/>
      <c r="D997" s="65"/>
      <c r="E997" s="65"/>
      <c r="F997" s="65"/>
      <c r="H997" s="65"/>
      <c r="J997" s="65"/>
      <c r="K997" s="65"/>
      <c r="L997" s="65"/>
    </row>
    <row r="998" ht="15.75" customHeight="1">
      <c r="C998" s="65"/>
      <c r="D998" s="65"/>
      <c r="E998" s="65"/>
      <c r="F998" s="65"/>
      <c r="H998" s="65"/>
      <c r="J998" s="65"/>
      <c r="K998" s="65"/>
      <c r="L998" s="65"/>
    </row>
    <row r="999" ht="15.75" customHeight="1">
      <c r="C999" s="65"/>
      <c r="D999" s="65"/>
      <c r="E999" s="65"/>
      <c r="F999" s="65"/>
      <c r="H999" s="65"/>
      <c r="J999" s="65"/>
      <c r="K999" s="65"/>
      <c r="L999" s="65"/>
    </row>
    <row r="1000" ht="15.75" customHeight="1">
      <c r="C1000" s="65"/>
      <c r="D1000" s="65"/>
      <c r="E1000" s="65"/>
      <c r="F1000" s="65"/>
      <c r="H1000" s="65"/>
      <c r="J1000" s="65"/>
      <c r="K1000" s="65"/>
      <c r="L1000" s="65"/>
    </row>
  </sheetData>
  <autoFilter ref="$A$1:$M$28"/>
  <dataValidations>
    <dataValidation type="list" allowBlank="1" sqref="K2:K1000">
      <formula1>"SCRUM-2,SCRUM-249,SCRUM-17,SCRUM-126,SCRUM-19,SCRUM-130,SCRUM-129,SCRUM-18,SCRUM-132,SCRUM-131,SCRUM-269,SCRUM-275,SCRUM-274,SCRUM-273,SCRUM-23,SCRUM-285,SCRUM-272,SCRUM-271,SCRUM-268,SCRUM-267,SCRUM-265,SCRUM-264,SCRUM-133,SCRUM-327,SCRUM-326,SCRUM-325,S"&amp;"CRUM-310"</formula1>
    </dataValidation>
    <dataValidation type="list" allowBlank="1" sqref="L2:L1000">
      <formula1>'_Lists'!$A$2:$A$43</formula1>
    </dataValidation>
    <dataValidation type="date" operator="greaterThanOrEqual" allowBlank="1" showInputMessage="1" prompt="Due Date - Enter a date (YYYY-MM-DD)" sqref="H2:H1000">
      <formula1>2020-1-1</formula1>
    </dataValidation>
    <dataValidation type="list" allowBlank="1" sqref="F2:F1000">
      <formula1>"Amy Tripp,Napadech,Nattapat Suwansipaisan,Nutgritta Prasomthongsuk,Thiraphat Panthong"</formula1>
    </dataValidation>
    <dataValidation type="list" allowBlank="1" sqref="D2:D1000">
      <formula1>"To Do,In Progress,Done,Closed,Resolved"</formula1>
    </dataValidation>
    <dataValidation type="list" allowBlank="1" sqref="E2:E1000">
      <formula1>"Highest,High,Medium,Low,Lowest"</formula1>
    </dataValidation>
    <dataValidation type="list" allowBlank="1" sqref="J2:J1000">
      <formula1>"SCRUM Sprint 1,SCRUM Sprint 2,SCRUM Sprint 3,SCRUM Sprint 4"</formula1>
    </dataValidation>
    <dataValidation type="list" allowBlank="1" sqref="C2:C1000">
      <formula1>"Epic,Task,Test,Subtask"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2.0"/>
    <col customWidth="1" min="2" max="2" width="45.0"/>
    <col customWidth="1" min="3" max="3" width="13.0"/>
    <col customWidth="1" min="4" max="4" width="14.0"/>
    <col customWidth="1" min="5" max="5" width="11.0"/>
    <col customWidth="1" min="6" max="6" width="17.29"/>
    <col customWidth="1" min="7" max="7" width="13.57"/>
    <col customWidth="1" min="8" max="8" width="13.0"/>
    <col customWidth="1" min="9" max="9" width="16.14"/>
    <col customWidth="1" min="10" max="10" width="17.29"/>
    <col customWidth="1" min="11" max="11" width="17.43"/>
    <col customWidth="1" min="12" max="12" width="20.71"/>
    <col customWidth="1" min="13" max="13" width="17.0"/>
  </cols>
  <sheetData>
    <row r="1" ht="30.0" customHeight="1">
      <c r="A1" s="17" t="s">
        <v>52</v>
      </c>
      <c r="B1" s="17" t="s">
        <v>53</v>
      </c>
      <c r="C1" s="17" t="s">
        <v>54</v>
      </c>
      <c r="D1" s="17" t="s">
        <v>38</v>
      </c>
      <c r="E1" s="17" t="s">
        <v>55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37</v>
      </c>
      <c r="K1" s="17" t="s">
        <v>60</v>
      </c>
      <c r="L1" s="17" t="s">
        <v>61</v>
      </c>
      <c r="M1" s="96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4" t="s">
        <v>28</v>
      </c>
      <c r="B2" s="44" t="s">
        <v>29</v>
      </c>
      <c r="C2" s="45" t="s">
        <v>62</v>
      </c>
      <c r="D2" s="24" t="s">
        <v>44</v>
      </c>
      <c r="E2" s="66" t="s">
        <v>186</v>
      </c>
      <c r="F2" s="47" t="s">
        <v>139</v>
      </c>
      <c r="G2" s="47" t="s">
        <v>64</v>
      </c>
      <c r="H2" s="48" t="s">
        <v>547</v>
      </c>
      <c r="I2" s="47"/>
      <c r="J2" s="47"/>
      <c r="K2" s="47"/>
      <c r="L2" s="47"/>
      <c r="M2" s="9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 outlineLevel="1">
      <c r="A3" s="49" t="s">
        <v>548</v>
      </c>
      <c r="B3" s="49" t="s">
        <v>549</v>
      </c>
      <c r="C3" s="50" t="s">
        <v>68</v>
      </c>
      <c r="D3" s="24" t="s">
        <v>44</v>
      </c>
      <c r="E3" s="51" t="s">
        <v>69</v>
      </c>
      <c r="F3" s="52" t="s">
        <v>139</v>
      </c>
      <c r="G3" s="52" t="s">
        <v>64</v>
      </c>
      <c r="H3" s="53" t="s">
        <v>547</v>
      </c>
      <c r="I3" s="52"/>
      <c r="J3" s="52" t="s">
        <v>42</v>
      </c>
      <c r="K3" s="52" t="s">
        <v>28</v>
      </c>
      <c r="L3" s="52" t="s">
        <v>29</v>
      </c>
      <c r="M3" s="9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customHeight="1" outlineLevel="2">
      <c r="A4" s="54" t="s">
        <v>550</v>
      </c>
      <c r="B4" s="54" t="s">
        <v>551</v>
      </c>
      <c r="C4" s="55" t="s">
        <v>75</v>
      </c>
      <c r="D4" s="19" t="s">
        <v>14</v>
      </c>
      <c r="E4" s="46" t="s">
        <v>63</v>
      </c>
      <c r="F4" s="56" t="s">
        <v>139</v>
      </c>
      <c r="G4" s="56" t="s">
        <v>129</v>
      </c>
      <c r="H4" s="59" t="s">
        <v>129</v>
      </c>
      <c r="I4" s="56"/>
      <c r="J4" s="56" t="s">
        <v>42</v>
      </c>
      <c r="K4" s="56" t="s">
        <v>548</v>
      </c>
      <c r="L4" s="56" t="s">
        <v>549</v>
      </c>
      <c r="M4" s="9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 outlineLevel="2">
      <c r="A5" s="57" t="s">
        <v>552</v>
      </c>
      <c r="B5" s="57" t="s">
        <v>553</v>
      </c>
      <c r="C5" s="55" t="s">
        <v>75</v>
      </c>
      <c r="D5" s="19" t="s">
        <v>14</v>
      </c>
      <c r="E5" s="66" t="s">
        <v>186</v>
      </c>
      <c r="F5" s="58" t="s">
        <v>139</v>
      </c>
      <c r="G5" s="58" t="s">
        <v>554</v>
      </c>
      <c r="H5" s="60" t="s">
        <v>555</v>
      </c>
      <c r="I5" s="58"/>
      <c r="J5" s="58" t="s">
        <v>42</v>
      </c>
      <c r="K5" s="58" t="s">
        <v>548</v>
      </c>
      <c r="L5" s="58" t="s">
        <v>549</v>
      </c>
      <c r="M5" s="9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customHeight="1" outlineLevel="2">
      <c r="A6" s="54" t="s">
        <v>556</v>
      </c>
      <c r="B6" s="54" t="s">
        <v>557</v>
      </c>
      <c r="C6" s="55" t="s">
        <v>75</v>
      </c>
      <c r="D6" s="19" t="s">
        <v>14</v>
      </c>
      <c r="E6" s="46" t="s">
        <v>63</v>
      </c>
      <c r="F6" s="56" t="s">
        <v>139</v>
      </c>
      <c r="G6" s="56" t="s">
        <v>192</v>
      </c>
      <c r="H6" s="59" t="s">
        <v>555</v>
      </c>
      <c r="I6" s="56"/>
      <c r="J6" s="56" t="s">
        <v>42</v>
      </c>
      <c r="K6" s="56" t="s">
        <v>548</v>
      </c>
      <c r="L6" s="56" t="s">
        <v>549</v>
      </c>
      <c r="M6" s="9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9.5" customHeight="1" outlineLevel="2">
      <c r="A7" s="57" t="s">
        <v>558</v>
      </c>
      <c r="B7" s="57" t="s">
        <v>559</v>
      </c>
      <c r="C7" s="55" t="s">
        <v>75</v>
      </c>
      <c r="D7" s="19" t="s">
        <v>14</v>
      </c>
      <c r="E7" s="66" t="s">
        <v>186</v>
      </c>
      <c r="F7" s="58" t="s">
        <v>139</v>
      </c>
      <c r="G7" s="58" t="s">
        <v>128</v>
      </c>
      <c r="H7" s="60" t="s">
        <v>555</v>
      </c>
      <c r="I7" s="58"/>
      <c r="J7" s="58" t="s">
        <v>42</v>
      </c>
      <c r="K7" s="58" t="s">
        <v>548</v>
      </c>
      <c r="L7" s="58" t="s">
        <v>549</v>
      </c>
      <c r="M7" s="9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customHeight="1" outlineLevel="2">
      <c r="A8" s="54" t="s">
        <v>560</v>
      </c>
      <c r="B8" s="54" t="s">
        <v>561</v>
      </c>
      <c r="C8" s="55" t="s">
        <v>75</v>
      </c>
      <c r="D8" s="27" t="s">
        <v>235</v>
      </c>
      <c r="E8" s="46" t="s">
        <v>63</v>
      </c>
      <c r="F8" s="56" t="s">
        <v>139</v>
      </c>
      <c r="G8" s="56" t="s">
        <v>192</v>
      </c>
      <c r="H8" s="59" t="s">
        <v>555</v>
      </c>
      <c r="I8" s="56"/>
      <c r="J8" s="56" t="s">
        <v>42</v>
      </c>
      <c r="K8" s="56" t="s">
        <v>548</v>
      </c>
      <c r="L8" s="56" t="s">
        <v>549</v>
      </c>
      <c r="M8" s="9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9.5" customHeight="1" outlineLevel="2">
      <c r="A9" s="57" t="s">
        <v>562</v>
      </c>
      <c r="B9" s="57" t="s">
        <v>563</v>
      </c>
      <c r="C9" s="55" t="s">
        <v>75</v>
      </c>
      <c r="D9" s="27" t="s">
        <v>235</v>
      </c>
      <c r="E9" s="51" t="s">
        <v>69</v>
      </c>
      <c r="F9" s="58" t="s">
        <v>139</v>
      </c>
      <c r="G9" s="58" t="s">
        <v>128</v>
      </c>
      <c r="H9" s="60" t="s">
        <v>303</v>
      </c>
      <c r="I9" s="58"/>
      <c r="J9" s="58" t="s">
        <v>42</v>
      </c>
      <c r="K9" s="58" t="s">
        <v>548</v>
      </c>
      <c r="L9" s="58" t="s">
        <v>549</v>
      </c>
      <c r="M9" s="9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9.5" customHeight="1" outlineLevel="2">
      <c r="A10" s="54" t="s">
        <v>564</v>
      </c>
      <c r="B10" s="54" t="s">
        <v>565</v>
      </c>
      <c r="C10" s="55" t="s">
        <v>75</v>
      </c>
      <c r="D10" s="27" t="s">
        <v>235</v>
      </c>
      <c r="E10" s="51" t="s">
        <v>69</v>
      </c>
      <c r="F10" s="56" t="s">
        <v>139</v>
      </c>
      <c r="G10" s="56" t="s">
        <v>128</v>
      </c>
      <c r="H10" s="59" t="s">
        <v>303</v>
      </c>
      <c r="I10" s="56"/>
      <c r="J10" s="56" t="s">
        <v>42</v>
      </c>
      <c r="K10" s="56" t="s">
        <v>548</v>
      </c>
      <c r="L10" s="56" t="s">
        <v>549</v>
      </c>
      <c r="M10" s="9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.5" customHeight="1" outlineLevel="2">
      <c r="A11" s="57" t="s">
        <v>566</v>
      </c>
      <c r="B11" s="57" t="s">
        <v>567</v>
      </c>
      <c r="C11" s="55" t="s">
        <v>75</v>
      </c>
      <c r="D11" s="27" t="s">
        <v>235</v>
      </c>
      <c r="E11" s="66" t="s">
        <v>186</v>
      </c>
      <c r="F11" s="58" t="s">
        <v>139</v>
      </c>
      <c r="G11" s="58" t="s">
        <v>128</v>
      </c>
      <c r="H11" s="60" t="s">
        <v>334</v>
      </c>
      <c r="I11" s="58"/>
      <c r="J11" s="58" t="s">
        <v>42</v>
      </c>
      <c r="K11" s="58" t="s">
        <v>548</v>
      </c>
      <c r="L11" s="58" t="s">
        <v>549</v>
      </c>
      <c r="M11" s="9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9.5" customHeight="1" outlineLevel="2">
      <c r="A12" s="54" t="s">
        <v>568</v>
      </c>
      <c r="B12" s="54" t="s">
        <v>569</v>
      </c>
      <c r="C12" s="55" t="s">
        <v>75</v>
      </c>
      <c r="D12" s="27" t="s">
        <v>235</v>
      </c>
      <c r="E12" s="66" t="s">
        <v>186</v>
      </c>
      <c r="F12" s="56" t="s">
        <v>139</v>
      </c>
      <c r="G12" s="56" t="s">
        <v>128</v>
      </c>
      <c r="H12" s="59" t="s">
        <v>334</v>
      </c>
      <c r="I12" s="56"/>
      <c r="J12" s="56" t="s">
        <v>42</v>
      </c>
      <c r="K12" s="56" t="s">
        <v>548</v>
      </c>
      <c r="L12" s="56" t="s">
        <v>549</v>
      </c>
      <c r="M12" s="9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.5" customHeight="1" outlineLevel="2">
      <c r="A13" s="57" t="s">
        <v>570</v>
      </c>
      <c r="B13" s="57" t="s">
        <v>571</v>
      </c>
      <c r="C13" s="55" t="s">
        <v>75</v>
      </c>
      <c r="D13" s="27" t="s">
        <v>235</v>
      </c>
      <c r="E13" s="46" t="s">
        <v>63</v>
      </c>
      <c r="F13" s="58" t="s">
        <v>139</v>
      </c>
      <c r="G13" s="58" t="s">
        <v>192</v>
      </c>
      <c r="H13" s="60" t="s">
        <v>555</v>
      </c>
      <c r="I13" s="58"/>
      <c r="J13" s="58" t="s">
        <v>42</v>
      </c>
      <c r="K13" s="58" t="s">
        <v>548</v>
      </c>
      <c r="L13" s="58" t="s">
        <v>549</v>
      </c>
      <c r="M13" s="9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9.5" customHeight="1" outlineLevel="2">
      <c r="A14" s="54" t="s">
        <v>572</v>
      </c>
      <c r="B14" s="54" t="s">
        <v>573</v>
      </c>
      <c r="C14" s="55" t="s">
        <v>75</v>
      </c>
      <c r="D14" s="27" t="s">
        <v>235</v>
      </c>
      <c r="E14" s="51" t="s">
        <v>69</v>
      </c>
      <c r="F14" s="56" t="s">
        <v>139</v>
      </c>
      <c r="G14" s="56" t="s">
        <v>129</v>
      </c>
      <c r="H14" s="59" t="s">
        <v>303</v>
      </c>
      <c r="I14" s="56"/>
      <c r="J14" s="56" t="s">
        <v>42</v>
      </c>
      <c r="K14" s="56" t="s">
        <v>548</v>
      </c>
      <c r="L14" s="56" t="s">
        <v>549</v>
      </c>
      <c r="M14" s="9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9.5" customHeight="1" outlineLevel="2">
      <c r="A15" s="57" t="s">
        <v>574</v>
      </c>
      <c r="B15" s="57" t="s">
        <v>575</v>
      </c>
      <c r="C15" s="55" t="s">
        <v>75</v>
      </c>
      <c r="D15" s="27" t="s">
        <v>235</v>
      </c>
      <c r="E15" s="51" t="s">
        <v>69</v>
      </c>
      <c r="F15" s="58" t="s">
        <v>139</v>
      </c>
      <c r="G15" s="58" t="s">
        <v>318</v>
      </c>
      <c r="H15" s="60" t="s">
        <v>303</v>
      </c>
      <c r="I15" s="58"/>
      <c r="J15" s="58" t="s">
        <v>42</v>
      </c>
      <c r="K15" s="58" t="s">
        <v>548</v>
      </c>
      <c r="L15" s="58" t="s">
        <v>549</v>
      </c>
      <c r="M15" s="9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9.5" customHeight="1" outlineLevel="2">
      <c r="A16" s="54" t="s">
        <v>576</v>
      </c>
      <c r="B16" s="54" t="s">
        <v>577</v>
      </c>
      <c r="C16" s="55" t="s">
        <v>75</v>
      </c>
      <c r="D16" s="27" t="s">
        <v>235</v>
      </c>
      <c r="E16" s="68" t="s">
        <v>205</v>
      </c>
      <c r="F16" s="56" t="s">
        <v>139</v>
      </c>
      <c r="G16" s="56" t="s">
        <v>129</v>
      </c>
      <c r="H16" s="59" t="s">
        <v>303</v>
      </c>
      <c r="I16" s="56"/>
      <c r="J16" s="56" t="s">
        <v>42</v>
      </c>
      <c r="K16" s="56" t="s">
        <v>548</v>
      </c>
      <c r="L16" s="56" t="s">
        <v>549</v>
      </c>
      <c r="M16" s="9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9.5" customHeight="1" outlineLevel="1">
      <c r="A17" s="49" t="s">
        <v>578</v>
      </c>
      <c r="B17" s="49" t="s">
        <v>579</v>
      </c>
      <c r="C17" s="50" t="s">
        <v>68</v>
      </c>
      <c r="D17" s="27" t="s">
        <v>235</v>
      </c>
      <c r="E17" s="51" t="s">
        <v>69</v>
      </c>
      <c r="F17" s="52" t="s">
        <v>139</v>
      </c>
      <c r="G17" s="52" t="s">
        <v>539</v>
      </c>
      <c r="H17" s="53" t="s">
        <v>547</v>
      </c>
      <c r="I17" s="52"/>
      <c r="J17" s="52" t="s">
        <v>42</v>
      </c>
      <c r="K17" s="52" t="s">
        <v>28</v>
      </c>
      <c r="L17" s="52" t="s">
        <v>29</v>
      </c>
      <c r="M17" s="9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9.5" customHeight="1" outlineLevel="1">
      <c r="A18" s="49" t="s">
        <v>580</v>
      </c>
      <c r="B18" s="49" t="s">
        <v>581</v>
      </c>
      <c r="C18" s="50" t="s">
        <v>68</v>
      </c>
      <c r="D18" s="27" t="s">
        <v>235</v>
      </c>
      <c r="E18" s="51" t="s">
        <v>69</v>
      </c>
      <c r="F18" s="52" t="s">
        <v>139</v>
      </c>
      <c r="G18" s="52" t="s">
        <v>539</v>
      </c>
      <c r="H18" s="53" t="s">
        <v>547</v>
      </c>
      <c r="I18" s="52"/>
      <c r="J18" s="52" t="s">
        <v>42</v>
      </c>
      <c r="K18" s="52" t="s">
        <v>28</v>
      </c>
      <c r="L18" s="52" t="s">
        <v>29</v>
      </c>
      <c r="M18" s="9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0" customHeight="1">
      <c r="A19" s="4"/>
      <c r="B19" s="4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0" customHeight="1">
      <c r="A20" s="4"/>
      <c r="B20" s="4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C221" s="65"/>
      <c r="D221" s="65"/>
      <c r="E221" s="65"/>
      <c r="F221" s="65"/>
      <c r="H221" s="65"/>
      <c r="J221" s="65"/>
      <c r="K221" s="65"/>
      <c r="L221" s="65"/>
    </row>
    <row r="222" ht="15.75" customHeight="1">
      <c r="C222" s="65"/>
      <c r="D222" s="65"/>
      <c r="E222" s="65"/>
      <c r="F222" s="65"/>
      <c r="H222" s="65"/>
      <c r="J222" s="65"/>
      <c r="K222" s="65"/>
      <c r="L222" s="65"/>
    </row>
    <row r="223" ht="15.75" customHeight="1">
      <c r="C223" s="65"/>
      <c r="D223" s="65"/>
      <c r="E223" s="65"/>
      <c r="F223" s="65"/>
      <c r="H223" s="65"/>
      <c r="J223" s="65"/>
      <c r="K223" s="65"/>
      <c r="L223" s="65"/>
    </row>
    <row r="224" ht="15.75" customHeight="1">
      <c r="C224" s="65"/>
      <c r="D224" s="65"/>
      <c r="E224" s="65"/>
      <c r="F224" s="65"/>
      <c r="H224" s="65"/>
      <c r="J224" s="65"/>
      <c r="K224" s="65"/>
      <c r="L224" s="65"/>
    </row>
    <row r="225" ht="15.75" customHeight="1">
      <c r="C225" s="65"/>
      <c r="D225" s="65"/>
      <c r="E225" s="65"/>
      <c r="F225" s="65"/>
      <c r="H225" s="65"/>
      <c r="J225" s="65"/>
      <c r="K225" s="65"/>
      <c r="L225" s="65"/>
    </row>
    <row r="226" ht="15.75" customHeight="1">
      <c r="C226" s="65"/>
      <c r="D226" s="65"/>
      <c r="E226" s="65"/>
      <c r="F226" s="65"/>
      <c r="H226" s="65"/>
      <c r="J226" s="65"/>
      <c r="K226" s="65"/>
      <c r="L226" s="65"/>
    </row>
    <row r="227" ht="15.75" customHeight="1">
      <c r="C227" s="65"/>
      <c r="D227" s="65"/>
      <c r="E227" s="65"/>
      <c r="F227" s="65"/>
      <c r="H227" s="65"/>
      <c r="J227" s="65"/>
      <c r="K227" s="65"/>
      <c r="L227" s="65"/>
    </row>
    <row r="228" ht="15.75" customHeight="1">
      <c r="C228" s="65"/>
      <c r="D228" s="65"/>
      <c r="E228" s="65"/>
      <c r="F228" s="65"/>
      <c r="H228" s="65"/>
      <c r="J228" s="65"/>
      <c r="K228" s="65"/>
      <c r="L228" s="65"/>
    </row>
    <row r="229" ht="15.75" customHeight="1">
      <c r="C229" s="65"/>
      <c r="D229" s="65"/>
      <c r="E229" s="65"/>
      <c r="F229" s="65"/>
      <c r="H229" s="65"/>
      <c r="J229" s="65"/>
      <c r="K229" s="65"/>
      <c r="L229" s="65"/>
    </row>
    <row r="230" ht="15.75" customHeight="1">
      <c r="C230" s="65"/>
      <c r="D230" s="65"/>
      <c r="E230" s="65"/>
      <c r="F230" s="65"/>
      <c r="H230" s="65"/>
      <c r="J230" s="65"/>
      <c r="K230" s="65"/>
      <c r="L230" s="65"/>
    </row>
    <row r="231" ht="15.75" customHeight="1">
      <c r="C231" s="65"/>
      <c r="D231" s="65"/>
      <c r="E231" s="65"/>
      <c r="F231" s="65"/>
      <c r="H231" s="65"/>
      <c r="J231" s="65"/>
      <c r="K231" s="65"/>
      <c r="L231" s="65"/>
    </row>
    <row r="232" ht="15.75" customHeight="1">
      <c r="C232" s="65"/>
      <c r="D232" s="65"/>
      <c r="E232" s="65"/>
      <c r="F232" s="65"/>
      <c r="H232" s="65"/>
      <c r="J232" s="65"/>
      <c r="K232" s="65"/>
      <c r="L232" s="65"/>
    </row>
    <row r="233" ht="15.75" customHeight="1">
      <c r="C233" s="65"/>
      <c r="D233" s="65"/>
      <c r="E233" s="65"/>
      <c r="F233" s="65"/>
      <c r="H233" s="65"/>
      <c r="J233" s="65"/>
      <c r="K233" s="65"/>
      <c r="L233" s="65"/>
    </row>
    <row r="234" ht="15.75" customHeight="1">
      <c r="C234" s="65"/>
      <c r="D234" s="65"/>
      <c r="E234" s="65"/>
      <c r="F234" s="65"/>
      <c r="H234" s="65"/>
      <c r="J234" s="65"/>
      <c r="K234" s="65"/>
      <c r="L234" s="65"/>
    </row>
    <row r="235" ht="15.75" customHeight="1">
      <c r="C235" s="65"/>
      <c r="D235" s="65"/>
      <c r="E235" s="65"/>
      <c r="F235" s="65"/>
      <c r="H235" s="65"/>
      <c r="J235" s="65"/>
      <c r="K235" s="65"/>
      <c r="L235" s="65"/>
    </row>
    <row r="236" ht="15.75" customHeight="1">
      <c r="C236" s="65"/>
      <c r="D236" s="65"/>
      <c r="E236" s="65"/>
      <c r="F236" s="65"/>
      <c r="H236" s="65"/>
      <c r="J236" s="65"/>
      <c r="K236" s="65"/>
      <c r="L236" s="65"/>
    </row>
    <row r="237" ht="15.75" customHeight="1">
      <c r="C237" s="65"/>
      <c r="D237" s="65"/>
      <c r="E237" s="65"/>
      <c r="F237" s="65"/>
      <c r="H237" s="65"/>
      <c r="J237" s="65"/>
      <c r="K237" s="65"/>
      <c r="L237" s="65"/>
    </row>
    <row r="238" ht="15.75" customHeight="1">
      <c r="C238" s="65"/>
      <c r="D238" s="65"/>
      <c r="E238" s="65"/>
      <c r="F238" s="65"/>
      <c r="H238" s="65"/>
      <c r="J238" s="65"/>
      <c r="K238" s="65"/>
      <c r="L238" s="65"/>
    </row>
    <row r="239" ht="15.75" customHeight="1">
      <c r="C239" s="65"/>
      <c r="D239" s="65"/>
      <c r="E239" s="65"/>
      <c r="F239" s="65"/>
      <c r="H239" s="65"/>
      <c r="J239" s="65"/>
      <c r="K239" s="65"/>
      <c r="L239" s="65"/>
    </row>
    <row r="240" ht="15.75" customHeight="1">
      <c r="C240" s="65"/>
      <c r="D240" s="65"/>
      <c r="E240" s="65"/>
      <c r="F240" s="65"/>
      <c r="H240" s="65"/>
      <c r="J240" s="65"/>
      <c r="K240" s="65"/>
      <c r="L240" s="65"/>
    </row>
    <row r="241" ht="15.75" customHeight="1">
      <c r="C241" s="65"/>
      <c r="D241" s="65"/>
      <c r="E241" s="65"/>
      <c r="F241" s="65"/>
      <c r="H241" s="65"/>
      <c r="J241" s="65"/>
      <c r="K241" s="65"/>
      <c r="L241" s="65"/>
    </row>
    <row r="242" ht="15.75" customHeight="1">
      <c r="C242" s="65"/>
      <c r="D242" s="65"/>
      <c r="E242" s="65"/>
      <c r="F242" s="65"/>
      <c r="H242" s="65"/>
      <c r="J242" s="65"/>
      <c r="K242" s="65"/>
      <c r="L242" s="65"/>
    </row>
    <row r="243" ht="15.75" customHeight="1">
      <c r="C243" s="65"/>
      <c r="D243" s="65"/>
      <c r="E243" s="65"/>
      <c r="F243" s="65"/>
      <c r="H243" s="65"/>
      <c r="J243" s="65"/>
      <c r="K243" s="65"/>
      <c r="L243" s="65"/>
    </row>
    <row r="244" ht="15.75" customHeight="1">
      <c r="C244" s="65"/>
      <c r="D244" s="65"/>
      <c r="E244" s="65"/>
      <c r="F244" s="65"/>
      <c r="H244" s="65"/>
      <c r="J244" s="65"/>
      <c r="K244" s="65"/>
      <c r="L244" s="65"/>
    </row>
    <row r="245" ht="15.75" customHeight="1">
      <c r="C245" s="65"/>
      <c r="D245" s="65"/>
      <c r="E245" s="65"/>
      <c r="F245" s="65"/>
      <c r="H245" s="65"/>
      <c r="J245" s="65"/>
      <c r="K245" s="65"/>
      <c r="L245" s="65"/>
    </row>
    <row r="246" ht="15.75" customHeight="1">
      <c r="C246" s="65"/>
      <c r="D246" s="65"/>
      <c r="E246" s="65"/>
      <c r="F246" s="65"/>
      <c r="H246" s="65"/>
      <c r="J246" s="65"/>
      <c r="K246" s="65"/>
      <c r="L246" s="65"/>
    </row>
    <row r="247" ht="15.75" customHeight="1">
      <c r="C247" s="65"/>
      <c r="D247" s="65"/>
      <c r="E247" s="65"/>
      <c r="F247" s="65"/>
      <c r="H247" s="65"/>
      <c r="J247" s="65"/>
      <c r="K247" s="65"/>
      <c r="L247" s="65"/>
    </row>
    <row r="248" ht="15.75" customHeight="1">
      <c r="C248" s="65"/>
      <c r="D248" s="65"/>
      <c r="E248" s="65"/>
      <c r="F248" s="65"/>
      <c r="H248" s="65"/>
      <c r="J248" s="65"/>
      <c r="K248" s="65"/>
      <c r="L248" s="65"/>
    </row>
    <row r="249" ht="15.75" customHeight="1">
      <c r="C249" s="65"/>
      <c r="D249" s="65"/>
      <c r="E249" s="65"/>
      <c r="F249" s="65"/>
      <c r="H249" s="65"/>
      <c r="J249" s="65"/>
      <c r="K249" s="65"/>
      <c r="L249" s="65"/>
    </row>
    <row r="250" ht="15.75" customHeight="1">
      <c r="C250" s="65"/>
      <c r="D250" s="65"/>
      <c r="E250" s="65"/>
      <c r="F250" s="65"/>
      <c r="H250" s="65"/>
      <c r="J250" s="65"/>
      <c r="K250" s="65"/>
      <c r="L250" s="65"/>
    </row>
    <row r="251" ht="15.75" customHeight="1">
      <c r="C251" s="65"/>
      <c r="D251" s="65"/>
      <c r="E251" s="65"/>
      <c r="F251" s="65"/>
      <c r="H251" s="65"/>
      <c r="J251" s="65"/>
      <c r="K251" s="65"/>
      <c r="L251" s="65"/>
    </row>
    <row r="252" ht="15.75" customHeight="1">
      <c r="C252" s="65"/>
      <c r="D252" s="65"/>
      <c r="E252" s="65"/>
      <c r="F252" s="65"/>
      <c r="H252" s="65"/>
      <c r="J252" s="65"/>
      <c r="K252" s="65"/>
      <c r="L252" s="65"/>
    </row>
    <row r="253" ht="15.75" customHeight="1">
      <c r="C253" s="65"/>
      <c r="D253" s="65"/>
      <c r="E253" s="65"/>
      <c r="F253" s="65"/>
      <c r="H253" s="65"/>
      <c r="J253" s="65"/>
      <c r="K253" s="65"/>
      <c r="L253" s="65"/>
    </row>
    <row r="254" ht="15.75" customHeight="1">
      <c r="C254" s="65"/>
      <c r="D254" s="65"/>
      <c r="E254" s="65"/>
      <c r="F254" s="65"/>
      <c r="H254" s="65"/>
      <c r="J254" s="65"/>
      <c r="K254" s="65"/>
      <c r="L254" s="65"/>
    </row>
    <row r="255" ht="15.75" customHeight="1">
      <c r="C255" s="65"/>
      <c r="D255" s="65"/>
      <c r="E255" s="65"/>
      <c r="F255" s="65"/>
      <c r="H255" s="65"/>
      <c r="J255" s="65"/>
      <c r="K255" s="65"/>
      <c r="L255" s="65"/>
    </row>
    <row r="256" ht="15.75" customHeight="1">
      <c r="C256" s="65"/>
      <c r="D256" s="65"/>
      <c r="E256" s="65"/>
      <c r="F256" s="65"/>
      <c r="H256" s="65"/>
      <c r="J256" s="65"/>
      <c r="K256" s="65"/>
      <c r="L256" s="65"/>
    </row>
    <row r="257" ht="15.75" customHeight="1">
      <c r="C257" s="65"/>
      <c r="D257" s="65"/>
      <c r="E257" s="65"/>
      <c r="F257" s="65"/>
      <c r="H257" s="65"/>
      <c r="J257" s="65"/>
      <c r="K257" s="65"/>
      <c r="L257" s="65"/>
    </row>
    <row r="258" ht="15.75" customHeight="1">
      <c r="C258" s="65"/>
      <c r="D258" s="65"/>
      <c r="E258" s="65"/>
      <c r="F258" s="65"/>
      <c r="H258" s="65"/>
      <c r="J258" s="65"/>
      <c r="K258" s="65"/>
      <c r="L258" s="65"/>
    </row>
    <row r="259" ht="15.75" customHeight="1">
      <c r="C259" s="65"/>
      <c r="D259" s="65"/>
      <c r="E259" s="65"/>
      <c r="F259" s="65"/>
      <c r="H259" s="65"/>
      <c r="J259" s="65"/>
      <c r="K259" s="65"/>
      <c r="L259" s="65"/>
    </row>
    <row r="260" ht="15.75" customHeight="1">
      <c r="C260" s="65"/>
      <c r="D260" s="65"/>
      <c r="E260" s="65"/>
      <c r="F260" s="65"/>
      <c r="H260" s="65"/>
      <c r="J260" s="65"/>
      <c r="K260" s="65"/>
      <c r="L260" s="65"/>
    </row>
    <row r="261" ht="15.75" customHeight="1">
      <c r="C261" s="65"/>
      <c r="D261" s="65"/>
      <c r="E261" s="65"/>
      <c r="F261" s="65"/>
      <c r="H261" s="65"/>
      <c r="J261" s="65"/>
      <c r="K261" s="65"/>
      <c r="L261" s="65"/>
    </row>
    <row r="262" ht="15.75" customHeight="1">
      <c r="C262" s="65"/>
      <c r="D262" s="65"/>
      <c r="E262" s="65"/>
      <c r="F262" s="65"/>
      <c r="H262" s="65"/>
      <c r="J262" s="65"/>
      <c r="K262" s="65"/>
      <c r="L262" s="65"/>
    </row>
    <row r="263" ht="15.75" customHeight="1">
      <c r="C263" s="65"/>
      <c r="D263" s="65"/>
      <c r="E263" s="65"/>
      <c r="F263" s="65"/>
      <c r="H263" s="65"/>
      <c r="J263" s="65"/>
      <c r="K263" s="65"/>
      <c r="L263" s="65"/>
    </row>
    <row r="264" ht="15.75" customHeight="1">
      <c r="C264" s="65"/>
      <c r="D264" s="65"/>
      <c r="E264" s="65"/>
      <c r="F264" s="65"/>
      <c r="H264" s="65"/>
      <c r="J264" s="65"/>
      <c r="K264" s="65"/>
      <c r="L264" s="65"/>
    </row>
    <row r="265" ht="15.75" customHeight="1">
      <c r="C265" s="65"/>
      <c r="D265" s="65"/>
      <c r="E265" s="65"/>
      <c r="F265" s="65"/>
      <c r="H265" s="65"/>
      <c r="J265" s="65"/>
      <c r="K265" s="65"/>
      <c r="L265" s="65"/>
    </row>
    <row r="266" ht="15.75" customHeight="1">
      <c r="C266" s="65"/>
      <c r="D266" s="65"/>
      <c r="E266" s="65"/>
      <c r="F266" s="65"/>
      <c r="H266" s="65"/>
      <c r="J266" s="65"/>
      <c r="K266" s="65"/>
      <c r="L266" s="65"/>
    </row>
    <row r="267" ht="15.75" customHeight="1">
      <c r="C267" s="65"/>
      <c r="D267" s="65"/>
      <c r="E267" s="65"/>
      <c r="F267" s="65"/>
      <c r="H267" s="65"/>
      <c r="J267" s="65"/>
      <c r="K267" s="65"/>
      <c r="L267" s="65"/>
    </row>
    <row r="268" ht="15.75" customHeight="1">
      <c r="C268" s="65"/>
      <c r="D268" s="65"/>
      <c r="E268" s="65"/>
      <c r="F268" s="65"/>
      <c r="H268" s="65"/>
      <c r="J268" s="65"/>
      <c r="K268" s="65"/>
      <c r="L268" s="65"/>
    </row>
    <row r="269" ht="15.75" customHeight="1">
      <c r="C269" s="65"/>
      <c r="D269" s="65"/>
      <c r="E269" s="65"/>
      <c r="F269" s="65"/>
      <c r="H269" s="65"/>
      <c r="J269" s="65"/>
      <c r="K269" s="65"/>
      <c r="L269" s="65"/>
    </row>
    <row r="270" ht="15.75" customHeight="1">
      <c r="C270" s="65"/>
      <c r="D270" s="65"/>
      <c r="E270" s="65"/>
      <c r="F270" s="65"/>
      <c r="H270" s="65"/>
      <c r="J270" s="65"/>
      <c r="K270" s="65"/>
      <c r="L270" s="65"/>
    </row>
    <row r="271" ht="15.75" customHeight="1">
      <c r="C271" s="65"/>
      <c r="D271" s="65"/>
      <c r="E271" s="65"/>
      <c r="F271" s="65"/>
      <c r="H271" s="65"/>
      <c r="J271" s="65"/>
      <c r="K271" s="65"/>
      <c r="L271" s="65"/>
    </row>
    <row r="272" ht="15.75" customHeight="1">
      <c r="C272" s="65"/>
      <c r="D272" s="65"/>
      <c r="E272" s="65"/>
      <c r="F272" s="65"/>
      <c r="H272" s="65"/>
      <c r="J272" s="65"/>
      <c r="K272" s="65"/>
      <c r="L272" s="65"/>
    </row>
    <row r="273" ht="15.75" customHeight="1">
      <c r="C273" s="65"/>
      <c r="D273" s="65"/>
      <c r="E273" s="65"/>
      <c r="F273" s="65"/>
      <c r="H273" s="65"/>
      <c r="J273" s="65"/>
      <c r="K273" s="65"/>
      <c r="L273" s="65"/>
    </row>
    <row r="274" ht="15.75" customHeight="1">
      <c r="C274" s="65"/>
      <c r="D274" s="65"/>
      <c r="E274" s="65"/>
      <c r="F274" s="65"/>
      <c r="H274" s="65"/>
      <c r="J274" s="65"/>
      <c r="K274" s="65"/>
      <c r="L274" s="65"/>
    </row>
    <row r="275" ht="15.75" customHeight="1">
      <c r="C275" s="65"/>
      <c r="D275" s="65"/>
      <c r="E275" s="65"/>
      <c r="F275" s="65"/>
      <c r="H275" s="65"/>
      <c r="J275" s="65"/>
      <c r="K275" s="65"/>
      <c r="L275" s="65"/>
    </row>
    <row r="276" ht="15.75" customHeight="1">
      <c r="C276" s="65"/>
      <c r="D276" s="65"/>
      <c r="E276" s="65"/>
      <c r="F276" s="65"/>
      <c r="H276" s="65"/>
      <c r="J276" s="65"/>
      <c r="K276" s="65"/>
      <c r="L276" s="65"/>
    </row>
    <row r="277" ht="15.75" customHeight="1">
      <c r="C277" s="65"/>
      <c r="D277" s="65"/>
      <c r="E277" s="65"/>
      <c r="F277" s="65"/>
      <c r="H277" s="65"/>
      <c r="J277" s="65"/>
      <c r="K277" s="65"/>
      <c r="L277" s="65"/>
    </row>
    <row r="278" ht="15.75" customHeight="1">
      <c r="C278" s="65"/>
      <c r="D278" s="65"/>
      <c r="E278" s="65"/>
      <c r="F278" s="65"/>
      <c r="H278" s="65"/>
      <c r="J278" s="65"/>
      <c r="K278" s="65"/>
      <c r="L278" s="65"/>
    </row>
    <row r="279" ht="15.75" customHeight="1">
      <c r="C279" s="65"/>
      <c r="D279" s="65"/>
      <c r="E279" s="65"/>
      <c r="F279" s="65"/>
      <c r="H279" s="65"/>
      <c r="J279" s="65"/>
      <c r="K279" s="65"/>
      <c r="L279" s="65"/>
    </row>
    <row r="280" ht="15.75" customHeight="1">
      <c r="C280" s="65"/>
      <c r="D280" s="65"/>
      <c r="E280" s="65"/>
      <c r="F280" s="65"/>
      <c r="H280" s="65"/>
      <c r="J280" s="65"/>
      <c r="K280" s="65"/>
      <c r="L280" s="65"/>
    </row>
    <row r="281" ht="15.75" customHeight="1">
      <c r="C281" s="65"/>
      <c r="D281" s="65"/>
      <c r="E281" s="65"/>
      <c r="F281" s="65"/>
      <c r="H281" s="65"/>
      <c r="J281" s="65"/>
      <c r="K281" s="65"/>
      <c r="L281" s="65"/>
    </row>
    <row r="282" ht="15.75" customHeight="1">
      <c r="C282" s="65"/>
      <c r="D282" s="65"/>
      <c r="E282" s="65"/>
      <c r="F282" s="65"/>
      <c r="H282" s="65"/>
      <c r="J282" s="65"/>
      <c r="K282" s="65"/>
      <c r="L282" s="65"/>
    </row>
    <row r="283" ht="15.75" customHeight="1">
      <c r="C283" s="65"/>
      <c r="D283" s="65"/>
      <c r="E283" s="65"/>
      <c r="F283" s="65"/>
      <c r="H283" s="65"/>
      <c r="J283" s="65"/>
      <c r="K283" s="65"/>
      <c r="L283" s="65"/>
    </row>
    <row r="284" ht="15.75" customHeight="1">
      <c r="C284" s="65"/>
      <c r="D284" s="65"/>
      <c r="E284" s="65"/>
      <c r="F284" s="65"/>
      <c r="H284" s="65"/>
      <c r="J284" s="65"/>
      <c r="K284" s="65"/>
      <c r="L284" s="65"/>
    </row>
    <row r="285" ht="15.75" customHeight="1">
      <c r="C285" s="65"/>
      <c r="D285" s="65"/>
      <c r="E285" s="65"/>
      <c r="F285" s="65"/>
      <c r="H285" s="65"/>
      <c r="J285" s="65"/>
      <c r="K285" s="65"/>
      <c r="L285" s="65"/>
    </row>
    <row r="286" ht="15.75" customHeight="1">
      <c r="C286" s="65"/>
      <c r="D286" s="65"/>
      <c r="E286" s="65"/>
      <c r="F286" s="65"/>
      <c r="H286" s="65"/>
      <c r="J286" s="65"/>
      <c r="K286" s="65"/>
      <c r="L286" s="65"/>
    </row>
    <row r="287" ht="15.75" customHeight="1">
      <c r="C287" s="65"/>
      <c r="D287" s="65"/>
      <c r="E287" s="65"/>
      <c r="F287" s="65"/>
      <c r="H287" s="65"/>
      <c r="J287" s="65"/>
      <c r="K287" s="65"/>
      <c r="L287" s="65"/>
    </row>
    <row r="288" ht="15.75" customHeight="1">
      <c r="C288" s="65"/>
      <c r="D288" s="65"/>
      <c r="E288" s="65"/>
      <c r="F288" s="65"/>
      <c r="H288" s="65"/>
      <c r="J288" s="65"/>
      <c r="K288" s="65"/>
      <c r="L288" s="65"/>
    </row>
    <row r="289" ht="15.75" customHeight="1">
      <c r="C289" s="65"/>
      <c r="D289" s="65"/>
      <c r="E289" s="65"/>
      <c r="F289" s="65"/>
      <c r="H289" s="65"/>
      <c r="J289" s="65"/>
      <c r="K289" s="65"/>
      <c r="L289" s="65"/>
    </row>
    <row r="290" ht="15.75" customHeight="1">
      <c r="C290" s="65"/>
      <c r="D290" s="65"/>
      <c r="E290" s="65"/>
      <c r="F290" s="65"/>
      <c r="H290" s="65"/>
      <c r="J290" s="65"/>
      <c r="K290" s="65"/>
      <c r="L290" s="65"/>
    </row>
    <row r="291" ht="15.75" customHeight="1">
      <c r="C291" s="65"/>
      <c r="D291" s="65"/>
      <c r="E291" s="65"/>
      <c r="F291" s="65"/>
      <c r="H291" s="65"/>
      <c r="J291" s="65"/>
      <c r="K291" s="65"/>
      <c r="L291" s="65"/>
    </row>
    <row r="292" ht="15.75" customHeight="1">
      <c r="C292" s="65"/>
      <c r="D292" s="65"/>
      <c r="E292" s="65"/>
      <c r="F292" s="65"/>
      <c r="H292" s="65"/>
      <c r="J292" s="65"/>
      <c r="K292" s="65"/>
      <c r="L292" s="65"/>
    </row>
    <row r="293" ht="15.75" customHeight="1">
      <c r="C293" s="65"/>
      <c r="D293" s="65"/>
      <c r="E293" s="65"/>
      <c r="F293" s="65"/>
      <c r="H293" s="65"/>
      <c r="J293" s="65"/>
      <c r="K293" s="65"/>
      <c r="L293" s="65"/>
    </row>
    <row r="294" ht="15.75" customHeight="1">
      <c r="C294" s="65"/>
      <c r="D294" s="65"/>
      <c r="E294" s="65"/>
      <c r="F294" s="65"/>
      <c r="H294" s="65"/>
      <c r="J294" s="65"/>
      <c r="K294" s="65"/>
      <c r="L294" s="65"/>
    </row>
    <row r="295" ht="15.75" customHeight="1">
      <c r="C295" s="65"/>
      <c r="D295" s="65"/>
      <c r="E295" s="65"/>
      <c r="F295" s="65"/>
      <c r="H295" s="65"/>
      <c r="J295" s="65"/>
      <c r="K295" s="65"/>
      <c r="L295" s="65"/>
    </row>
    <row r="296" ht="15.75" customHeight="1">
      <c r="C296" s="65"/>
      <c r="D296" s="65"/>
      <c r="E296" s="65"/>
      <c r="F296" s="65"/>
      <c r="H296" s="65"/>
      <c r="J296" s="65"/>
      <c r="K296" s="65"/>
      <c r="L296" s="65"/>
    </row>
    <row r="297" ht="15.75" customHeight="1">
      <c r="C297" s="65"/>
      <c r="D297" s="65"/>
      <c r="E297" s="65"/>
      <c r="F297" s="65"/>
      <c r="H297" s="65"/>
      <c r="J297" s="65"/>
      <c r="K297" s="65"/>
      <c r="L297" s="65"/>
    </row>
    <row r="298" ht="15.75" customHeight="1">
      <c r="C298" s="65"/>
      <c r="D298" s="65"/>
      <c r="E298" s="65"/>
      <c r="F298" s="65"/>
      <c r="H298" s="65"/>
      <c r="J298" s="65"/>
      <c r="K298" s="65"/>
      <c r="L298" s="65"/>
    </row>
    <row r="299" ht="15.75" customHeight="1">
      <c r="C299" s="65"/>
      <c r="D299" s="65"/>
      <c r="E299" s="65"/>
      <c r="F299" s="65"/>
      <c r="H299" s="65"/>
      <c r="J299" s="65"/>
      <c r="K299" s="65"/>
      <c r="L299" s="65"/>
    </row>
    <row r="300" ht="15.75" customHeight="1">
      <c r="C300" s="65"/>
      <c r="D300" s="65"/>
      <c r="E300" s="65"/>
      <c r="F300" s="65"/>
      <c r="H300" s="65"/>
      <c r="J300" s="65"/>
      <c r="K300" s="65"/>
      <c r="L300" s="65"/>
    </row>
    <row r="301" ht="15.75" customHeight="1">
      <c r="C301" s="65"/>
      <c r="D301" s="65"/>
      <c r="E301" s="65"/>
      <c r="F301" s="65"/>
      <c r="H301" s="65"/>
      <c r="J301" s="65"/>
      <c r="K301" s="65"/>
      <c r="L301" s="65"/>
    </row>
    <row r="302" ht="15.75" customHeight="1">
      <c r="C302" s="65"/>
      <c r="D302" s="65"/>
      <c r="E302" s="65"/>
      <c r="F302" s="65"/>
      <c r="H302" s="65"/>
      <c r="J302" s="65"/>
      <c r="K302" s="65"/>
      <c r="L302" s="65"/>
    </row>
    <row r="303" ht="15.75" customHeight="1">
      <c r="C303" s="65"/>
      <c r="D303" s="65"/>
      <c r="E303" s="65"/>
      <c r="F303" s="65"/>
      <c r="H303" s="65"/>
      <c r="J303" s="65"/>
      <c r="K303" s="65"/>
      <c r="L303" s="65"/>
    </row>
    <row r="304" ht="15.75" customHeight="1">
      <c r="C304" s="65"/>
      <c r="D304" s="65"/>
      <c r="E304" s="65"/>
      <c r="F304" s="65"/>
      <c r="H304" s="65"/>
      <c r="J304" s="65"/>
      <c r="K304" s="65"/>
      <c r="L304" s="65"/>
    </row>
    <row r="305" ht="15.75" customHeight="1">
      <c r="C305" s="65"/>
      <c r="D305" s="65"/>
      <c r="E305" s="65"/>
      <c r="F305" s="65"/>
      <c r="H305" s="65"/>
      <c r="J305" s="65"/>
      <c r="K305" s="65"/>
      <c r="L305" s="65"/>
    </row>
    <row r="306" ht="15.75" customHeight="1">
      <c r="C306" s="65"/>
      <c r="D306" s="65"/>
      <c r="E306" s="65"/>
      <c r="F306" s="65"/>
      <c r="H306" s="65"/>
      <c r="J306" s="65"/>
      <c r="K306" s="65"/>
      <c r="L306" s="65"/>
    </row>
    <row r="307" ht="15.75" customHeight="1">
      <c r="C307" s="65"/>
      <c r="D307" s="65"/>
      <c r="E307" s="65"/>
      <c r="F307" s="65"/>
      <c r="H307" s="65"/>
      <c r="J307" s="65"/>
      <c r="K307" s="65"/>
      <c r="L307" s="65"/>
    </row>
    <row r="308" ht="15.75" customHeight="1">
      <c r="C308" s="65"/>
      <c r="D308" s="65"/>
      <c r="E308" s="65"/>
      <c r="F308" s="65"/>
      <c r="H308" s="65"/>
      <c r="J308" s="65"/>
      <c r="K308" s="65"/>
      <c r="L308" s="65"/>
    </row>
    <row r="309" ht="15.75" customHeight="1">
      <c r="C309" s="65"/>
      <c r="D309" s="65"/>
      <c r="E309" s="65"/>
      <c r="F309" s="65"/>
      <c r="H309" s="65"/>
      <c r="J309" s="65"/>
      <c r="K309" s="65"/>
      <c r="L309" s="65"/>
    </row>
    <row r="310" ht="15.75" customHeight="1">
      <c r="C310" s="65"/>
      <c r="D310" s="65"/>
      <c r="E310" s="65"/>
      <c r="F310" s="65"/>
      <c r="H310" s="65"/>
      <c r="J310" s="65"/>
      <c r="K310" s="65"/>
      <c r="L310" s="65"/>
    </row>
    <row r="311" ht="15.75" customHeight="1">
      <c r="C311" s="65"/>
      <c r="D311" s="65"/>
      <c r="E311" s="65"/>
      <c r="F311" s="65"/>
      <c r="H311" s="65"/>
      <c r="J311" s="65"/>
      <c r="K311" s="65"/>
      <c r="L311" s="65"/>
    </row>
    <row r="312" ht="15.75" customHeight="1">
      <c r="C312" s="65"/>
      <c r="D312" s="65"/>
      <c r="E312" s="65"/>
      <c r="F312" s="65"/>
      <c r="H312" s="65"/>
      <c r="J312" s="65"/>
      <c r="K312" s="65"/>
      <c r="L312" s="65"/>
    </row>
    <row r="313" ht="15.75" customHeight="1">
      <c r="C313" s="65"/>
      <c r="D313" s="65"/>
      <c r="E313" s="65"/>
      <c r="F313" s="65"/>
      <c r="H313" s="65"/>
      <c r="J313" s="65"/>
      <c r="K313" s="65"/>
      <c r="L313" s="65"/>
    </row>
    <row r="314" ht="15.75" customHeight="1">
      <c r="C314" s="65"/>
      <c r="D314" s="65"/>
      <c r="E314" s="65"/>
      <c r="F314" s="65"/>
      <c r="H314" s="65"/>
      <c r="J314" s="65"/>
      <c r="K314" s="65"/>
      <c r="L314" s="65"/>
    </row>
    <row r="315" ht="15.75" customHeight="1">
      <c r="C315" s="65"/>
      <c r="D315" s="65"/>
      <c r="E315" s="65"/>
      <c r="F315" s="65"/>
      <c r="H315" s="65"/>
      <c r="J315" s="65"/>
      <c r="K315" s="65"/>
      <c r="L315" s="65"/>
    </row>
    <row r="316" ht="15.75" customHeight="1">
      <c r="C316" s="65"/>
      <c r="D316" s="65"/>
      <c r="E316" s="65"/>
      <c r="F316" s="65"/>
      <c r="H316" s="65"/>
      <c r="J316" s="65"/>
      <c r="K316" s="65"/>
      <c r="L316" s="65"/>
    </row>
    <row r="317" ht="15.75" customHeight="1">
      <c r="C317" s="65"/>
      <c r="D317" s="65"/>
      <c r="E317" s="65"/>
      <c r="F317" s="65"/>
      <c r="H317" s="65"/>
      <c r="J317" s="65"/>
      <c r="K317" s="65"/>
      <c r="L317" s="65"/>
    </row>
    <row r="318" ht="15.75" customHeight="1">
      <c r="C318" s="65"/>
      <c r="D318" s="65"/>
      <c r="E318" s="65"/>
      <c r="F318" s="65"/>
      <c r="H318" s="65"/>
      <c r="J318" s="65"/>
      <c r="K318" s="65"/>
      <c r="L318" s="65"/>
    </row>
    <row r="319" ht="15.75" customHeight="1">
      <c r="C319" s="65"/>
      <c r="D319" s="65"/>
      <c r="E319" s="65"/>
      <c r="F319" s="65"/>
      <c r="H319" s="65"/>
      <c r="J319" s="65"/>
      <c r="K319" s="65"/>
      <c r="L319" s="65"/>
    </row>
    <row r="320" ht="15.75" customHeight="1">
      <c r="C320" s="65"/>
      <c r="D320" s="65"/>
      <c r="E320" s="65"/>
      <c r="F320" s="65"/>
      <c r="H320" s="65"/>
      <c r="J320" s="65"/>
      <c r="K320" s="65"/>
      <c r="L320" s="65"/>
    </row>
    <row r="321" ht="15.75" customHeight="1">
      <c r="C321" s="65"/>
      <c r="D321" s="65"/>
      <c r="E321" s="65"/>
      <c r="F321" s="65"/>
      <c r="H321" s="65"/>
      <c r="J321" s="65"/>
      <c r="K321" s="65"/>
      <c r="L321" s="65"/>
    </row>
    <row r="322" ht="15.75" customHeight="1">
      <c r="C322" s="65"/>
      <c r="D322" s="65"/>
      <c r="E322" s="65"/>
      <c r="F322" s="65"/>
      <c r="H322" s="65"/>
      <c r="J322" s="65"/>
      <c r="K322" s="65"/>
      <c r="L322" s="65"/>
    </row>
    <row r="323" ht="15.75" customHeight="1">
      <c r="C323" s="65"/>
      <c r="D323" s="65"/>
      <c r="E323" s="65"/>
      <c r="F323" s="65"/>
      <c r="H323" s="65"/>
      <c r="J323" s="65"/>
      <c r="K323" s="65"/>
      <c r="L323" s="65"/>
    </row>
    <row r="324" ht="15.75" customHeight="1">
      <c r="C324" s="65"/>
      <c r="D324" s="65"/>
      <c r="E324" s="65"/>
      <c r="F324" s="65"/>
      <c r="H324" s="65"/>
      <c r="J324" s="65"/>
      <c r="K324" s="65"/>
      <c r="L324" s="65"/>
    </row>
    <row r="325" ht="15.75" customHeight="1">
      <c r="C325" s="65"/>
      <c r="D325" s="65"/>
      <c r="E325" s="65"/>
      <c r="F325" s="65"/>
      <c r="H325" s="65"/>
      <c r="J325" s="65"/>
      <c r="K325" s="65"/>
      <c r="L325" s="65"/>
    </row>
    <row r="326" ht="15.75" customHeight="1">
      <c r="C326" s="65"/>
      <c r="D326" s="65"/>
      <c r="E326" s="65"/>
      <c r="F326" s="65"/>
      <c r="H326" s="65"/>
      <c r="J326" s="65"/>
      <c r="K326" s="65"/>
      <c r="L326" s="65"/>
    </row>
    <row r="327" ht="15.75" customHeight="1">
      <c r="C327" s="65"/>
      <c r="D327" s="65"/>
      <c r="E327" s="65"/>
      <c r="F327" s="65"/>
      <c r="H327" s="65"/>
      <c r="J327" s="65"/>
      <c r="K327" s="65"/>
      <c r="L327" s="65"/>
    </row>
    <row r="328" ht="15.75" customHeight="1">
      <c r="C328" s="65"/>
      <c r="D328" s="65"/>
      <c r="E328" s="65"/>
      <c r="F328" s="65"/>
      <c r="H328" s="65"/>
      <c r="J328" s="65"/>
      <c r="K328" s="65"/>
      <c r="L328" s="65"/>
    </row>
    <row r="329" ht="15.75" customHeight="1">
      <c r="C329" s="65"/>
      <c r="D329" s="65"/>
      <c r="E329" s="65"/>
      <c r="F329" s="65"/>
      <c r="H329" s="65"/>
      <c r="J329" s="65"/>
      <c r="K329" s="65"/>
      <c r="L329" s="65"/>
    </row>
    <row r="330" ht="15.75" customHeight="1">
      <c r="C330" s="65"/>
      <c r="D330" s="65"/>
      <c r="E330" s="65"/>
      <c r="F330" s="65"/>
      <c r="H330" s="65"/>
      <c r="J330" s="65"/>
      <c r="K330" s="65"/>
      <c r="L330" s="65"/>
    </row>
    <row r="331" ht="15.75" customHeight="1">
      <c r="C331" s="65"/>
      <c r="D331" s="65"/>
      <c r="E331" s="65"/>
      <c r="F331" s="65"/>
      <c r="H331" s="65"/>
      <c r="J331" s="65"/>
      <c r="K331" s="65"/>
      <c r="L331" s="65"/>
    </row>
    <row r="332" ht="15.75" customHeight="1">
      <c r="C332" s="65"/>
      <c r="D332" s="65"/>
      <c r="E332" s="65"/>
      <c r="F332" s="65"/>
      <c r="H332" s="65"/>
      <c r="J332" s="65"/>
      <c r="K332" s="65"/>
      <c r="L332" s="65"/>
    </row>
    <row r="333" ht="15.75" customHeight="1">
      <c r="C333" s="65"/>
      <c r="D333" s="65"/>
      <c r="E333" s="65"/>
      <c r="F333" s="65"/>
      <c r="H333" s="65"/>
      <c r="J333" s="65"/>
      <c r="K333" s="65"/>
      <c r="L333" s="65"/>
    </row>
    <row r="334" ht="15.75" customHeight="1">
      <c r="C334" s="65"/>
      <c r="D334" s="65"/>
      <c r="E334" s="65"/>
      <c r="F334" s="65"/>
      <c r="H334" s="65"/>
      <c r="J334" s="65"/>
      <c r="K334" s="65"/>
      <c r="L334" s="65"/>
    </row>
    <row r="335" ht="15.75" customHeight="1">
      <c r="C335" s="65"/>
      <c r="D335" s="65"/>
      <c r="E335" s="65"/>
      <c r="F335" s="65"/>
      <c r="H335" s="65"/>
      <c r="J335" s="65"/>
      <c r="K335" s="65"/>
      <c r="L335" s="65"/>
    </row>
    <row r="336" ht="15.75" customHeight="1">
      <c r="C336" s="65"/>
      <c r="D336" s="65"/>
      <c r="E336" s="65"/>
      <c r="F336" s="65"/>
      <c r="H336" s="65"/>
      <c r="J336" s="65"/>
      <c r="K336" s="65"/>
      <c r="L336" s="65"/>
    </row>
    <row r="337" ht="15.75" customHeight="1">
      <c r="C337" s="65"/>
      <c r="D337" s="65"/>
      <c r="E337" s="65"/>
      <c r="F337" s="65"/>
      <c r="H337" s="65"/>
      <c r="J337" s="65"/>
      <c r="K337" s="65"/>
      <c r="L337" s="65"/>
    </row>
    <row r="338" ht="15.75" customHeight="1">
      <c r="C338" s="65"/>
      <c r="D338" s="65"/>
      <c r="E338" s="65"/>
      <c r="F338" s="65"/>
      <c r="H338" s="65"/>
      <c r="J338" s="65"/>
      <c r="K338" s="65"/>
      <c r="L338" s="65"/>
    </row>
    <row r="339" ht="15.75" customHeight="1">
      <c r="C339" s="65"/>
      <c r="D339" s="65"/>
      <c r="E339" s="65"/>
      <c r="F339" s="65"/>
      <c r="H339" s="65"/>
      <c r="J339" s="65"/>
      <c r="K339" s="65"/>
      <c r="L339" s="65"/>
    </row>
    <row r="340" ht="15.75" customHeight="1">
      <c r="C340" s="65"/>
      <c r="D340" s="65"/>
      <c r="E340" s="65"/>
      <c r="F340" s="65"/>
      <c r="H340" s="65"/>
      <c r="J340" s="65"/>
      <c r="K340" s="65"/>
      <c r="L340" s="65"/>
    </row>
    <row r="341" ht="15.75" customHeight="1">
      <c r="C341" s="65"/>
      <c r="D341" s="65"/>
      <c r="E341" s="65"/>
      <c r="F341" s="65"/>
      <c r="H341" s="65"/>
      <c r="J341" s="65"/>
      <c r="K341" s="65"/>
      <c r="L341" s="65"/>
    </row>
    <row r="342" ht="15.75" customHeight="1">
      <c r="C342" s="65"/>
      <c r="D342" s="65"/>
      <c r="E342" s="65"/>
      <c r="F342" s="65"/>
      <c r="H342" s="65"/>
      <c r="J342" s="65"/>
      <c r="K342" s="65"/>
      <c r="L342" s="65"/>
    </row>
    <row r="343" ht="15.75" customHeight="1">
      <c r="C343" s="65"/>
      <c r="D343" s="65"/>
      <c r="E343" s="65"/>
      <c r="F343" s="65"/>
      <c r="H343" s="65"/>
      <c r="J343" s="65"/>
      <c r="K343" s="65"/>
      <c r="L343" s="65"/>
    </row>
    <row r="344" ht="15.75" customHeight="1">
      <c r="C344" s="65"/>
      <c r="D344" s="65"/>
      <c r="E344" s="65"/>
      <c r="F344" s="65"/>
      <c r="H344" s="65"/>
      <c r="J344" s="65"/>
      <c r="K344" s="65"/>
      <c r="L344" s="65"/>
    </row>
    <row r="345" ht="15.75" customHeight="1">
      <c r="C345" s="65"/>
      <c r="D345" s="65"/>
      <c r="E345" s="65"/>
      <c r="F345" s="65"/>
      <c r="H345" s="65"/>
      <c r="J345" s="65"/>
      <c r="K345" s="65"/>
      <c r="L345" s="65"/>
    </row>
    <row r="346" ht="15.75" customHeight="1">
      <c r="C346" s="65"/>
      <c r="D346" s="65"/>
      <c r="E346" s="65"/>
      <c r="F346" s="65"/>
      <c r="H346" s="65"/>
      <c r="J346" s="65"/>
      <c r="K346" s="65"/>
      <c r="L346" s="65"/>
    </row>
    <row r="347" ht="15.75" customHeight="1">
      <c r="C347" s="65"/>
      <c r="D347" s="65"/>
      <c r="E347" s="65"/>
      <c r="F347" s="65"/>
      <c r="H347" s="65"/>
      <c r="J347" s="65"/>
      <c r="K347" s="65"/>
      <c r="L347" s="65"/>
    </row>
    <row r="348" ht="15.75" customHeight="1">
      <c r="C348" s="65"/>
      <c r="D348" s="65"/>
      <c r="E348" s="65"/>
      <c r="F348" s="65"/>
      <c r="H348" s="65"/>
      <c r="J348" s="65"/>
      <c r="K348" s="65"/>
      <c r="L348" s="65"/>
    </row>
    <row r="349" ht="15.75" customHeight="1">
      <c r="C349" s="65"/>
      <c r="D349" s="65"/>
      <c r="E349" s="65"/>
      <c r="F349" s="65"/>
      <c r="H349" s="65"/>
      <c r="J349" s="65"/>
      <c r="K349" s="65"/>
      <c r="L349" s="65"/>
    </row>
    <row r="350" ht="15.75" customHeight="1">
      <c r="C350" s="65"/>
      <c r="D350" s="65"/>
      <c r="E350" s="65"/>
      <c r="F350" s="65"/>
      <c r="H350" s="65"/>
      <c r="J350" s="65"/>
      <c r="K350" s="65"/>
      <c r="L350" s="65"/>
    </row>
    <row r="351" ht="15.75" customHeight="1">
      <c r="C351" s="65"/>
      <c r="D351" s="65"/>
      <c r="E351" s="65"/>
      <c r="F351" s="65"/>
      <c r="H351" s="65"/>
      <c r="J351" s="65"/>
      <c r="K351" s="65"/>
      <c r="L351" s="65"/>
    </row>
    <row r="352" ht="15.75" customHeight="1">
      <c r="C352" s="65"/>
      <c r="D352" s="65"/>
      <c r="E352" s="65"/>
      <c r="F352" s="65"/>
      <c r="H352" s="65"/>
      <c r="J352" s="65"/>
      <c r="K352" s="65"/>
      <c r="L352" s="65"/>
    </row>
    <row r="353" ht="15.75" customHeight="1">
      <c r="C353" s="65"/>
      <c r="D353" s="65"/>
      <c r="E353" s="65"/>
      <c r="F353" s="65"/>
      <c r="H353" s="65"/>
      <c r="J353" s="65"/>
      <c r="K353" s="65"/>
      <c r="L353" s="65"/>
    </row>
    <row r="354" ht="15.75" customHeight="1">
      <c r="C354" s="65"/>
      <c r="D354" s="65"/>
      <c r="E354" s="65"/>
      <c r="F354" s="65"/>
      <c r="H354" s="65"/>
      <c r="J354" s="65"/>
      <c r="K354" s="65"/>
      <c r="L354" s="65"/>
    </row>
    <row r="355" ht="15.75" customHeight="1">
      <c r="C355" s="65"/>
      <c r="D355" s="65"/>
      <c r="E355" s="65"/>
      <c r="F355" s="65"/>
      <c r="H355" s="65"/>
      <c r="J355" s="65"/>
      <c r="K355" s="65"/>
      <c r="L355" s="65"/>
    </row>
    <row r="356" ht="15.75" customHeight="1">
      <c r="C356" s="65"/>
      <c r="D356" s="65"/>
      <c r="E356" s="65"/>
      <c r="F356" s="65"/>
      <c r="H356" s="65"/>
      <c r="J356" s="65"/>
      <c r="K356" s="65"/>
      <c r="L356" s="65"/>
    </row>
    <row r="357" ht="15.75" customHeight="1">
      <c r="C357" s="65"/>
      <c r="D357" s="65"/>
      <c r="E357" s="65"/>
      <c r="F357" s="65"/>
      <c r="H357" s="65"/>
      <c r="J357" s="65"/>
      <c r="K357" s="65"/>
      <c r="L357" s="65"/>
    </row>
    <row r="358" ht="15.75" customHeight="1">
      <c r="C358" s="65"/>
      <c r="D358" s="65"/>
      <c r="E358" s="65"/>
      <c r="F358" s="65"/>
      <c r="H358" s="65"/>
      <c r="J358" s="65"/>
      <c r="K358" s="65"/>
      <c r="L358" s="65"/>
    </row>
    <row r="359" ht="15.75" customHeight="1">
      <c r="C359" s="65"/>
      <c r="D359" s="65"/>
      <c r="E359" s="65"/>
      <c r="F359" s="65"/>
      <c r="H359" s="65"/>
      <c r="J359" s="65"/>
      <c r="K359" s="65"/>
      <c r="L359" s="65"/>
    </row>
    <row r="360" ht="15.75" customHeight="1">
      <c r="C360" s="65"/>
      <c r="D360" s="65"/>
      <c r="E360" s="65"/>
      <c r="F360" s="65"/>
      <c r="H360" s="65"/>
      <c r="J360" s="65"/>
      <c r="K360" s="65"/>
      <c r="L360" s="65"/>
    </row>
    <row r="361" ht="15.75" customHeight="1">
      <c r="C361" s="65"/>
      <c r="D361" s="65"/>
      <c r="E361" s="65"/>
      <c r="F361" s="65"/>
      <c r="H361" s="65"/>
      <c r="J361" s="65"/>
      <c r="K361" s="65"/>
      <c r="L361" s="65"/>
    </row>
    <row r="362" ht="15.75" customHeight="1">
      <c r="C362" s="65"/>
      <c r="D362" s="65"/>
      <c r="E362" s="65"/>
      <c r="F362" s="65"/>
      <c r="H362" s="65"/>
      <c r="J362" s="65"/>
      <c r="K362" s="65"/>
      <c r="L362" s="65"/>
    </row>
    <row r="363" ht="15.75" customHeight="1">
      <c r="C363" s="65"/>
      <c r="D363" s="65"/>
      <c r="E363" s="65"/>
      <c r="F363" s="65"/>
      <c r="H363" s="65"/>
      <c r="J363" s="65"/>
      <c r="K363" s="65"/>
      <c r="L363" s="65"/>
    </row>
    <row r="364" ht="15.75" customHeight="1">
      <c r="C364" s="65"/>
      <c r="D364" s="65"/>
      <c r="E364" s="65"/>
      <c r="F364" s="65"/>
      <c r="H364" s="65"/>
      <c r="J364" s="65"/>
      <c r="K364" s="65"/>
      <c r="L364" s="65"/>
    </row>
    <row r="365" ht="15.75" customHeight="1">
      <c r="C365" s="65"/>
      <c r="D365" s="65"/>
      <c r="E365" s="65"/>
      <c r="F365" s="65"/>
      <c r="H365" s="65"/>
      <c r="J365" s="65"/>
      <c r="K365" s="65"/>
      <c r="L365" s="65"/>
    </row>
    <row r="366" ht="15.75" customHeight="1">
      <c r="C366" s="65"/>
      <c r="D366" s="65"/>
      <c r="E366" s="65"/>
      <c r="F366" s="65"/>
      <c r="H366" s="65"/>
      <c r="J366" s="65"/>
      <c r="K366" s="65"/>
      <c r="L366" s="65"/>
    </row>
    <row r="367" ht="15.75" customHeight="1">
      <c r="C367" s="65"/>
      <c r="D367" s="65"/>
      <c r="E367" s="65"/>
      <c r="F367" s="65"/>
      <c r="H367" s="65"/>
      <c r="J367" s="65"/>
      <c r="K367" s="65"/>
      <c r="L367" s="65"/>
    </row>
    <row r="368" ht="15.75" customHeight="1">
      <c r="C368" s="65"/>
      <c r="D368" s="65"/>
      <c r="E368" s="65"/>
      <c r="F368" s="65"/>
      <c r="H368" s="65"/>
      <c r="J368" s="65"/>
      <c r="K368" s="65"/>
      <c r="L368" s="65"/>
    </row>
    <row r="369" ht="15.75" customHeight="1">
      <c r="C369" s="65"/>
      <c r="D369" s="65"/>
      <c r="E369" s="65"/>
      <c r="F369" s="65"/>
      <c r="H369" s="65"/>
      <c r="J369" s="65"/>
      <c r="K369" s="65"/>
      <c r="L369" s="65"/>
    </row>
    <row r="370" ht="15.75" customHeight="1">
      <c r="C370" s="65"/>
      <c r="D370" s="65"/>
      <c r="E370" s="65"/>
      <c r="F370" s="65"/>
      <c r="H370" s="65"/>
      <c r="J370" s="65"/>
      <c r="K370" s="65"/>
      <c r="L370" s="65"/>
    </row>
    <row r="371" ht="15.75" customHeight="1">
      <c r="C371" s="65"/>
      <c r="D371" s="65"/>
      <c r="E371" s="65"/>
      <c r="F371" s="65"/>
      <c r="H371" s="65"/>
      <c r="J371" s="65"/>
      <c r="K371" s="65"/>
      <c r="L371" s="65"/>
    </row>
    <row r="372" ht="15.75" customHeight="1">
      <c r="C372" s="65"/>
      <c r="D372" s="65"/>
      <c r="E372" s="65"/>
      <c r="F372" s="65"/>
      <c r="H372" s="65"/>
      <c r="J372" s="65"/>
      <c r="K372" s="65"/>
      <c r="L372" s="65"/>
    </row>
    <row r="373" ht="15.75" customHeight="1">
      <c r="C373" s="65"/>
      <c r="D373" s="65"/>
      <c r="E373" s="65"/>
      <c r="F373" s="65"/>
      <c r="H373" s="65"/>
      <c r="J373" s="65"/>
      <c r="K373" s="65"/>
      <c r="L373" s="65"/>
    </row>
    <row r="374" ht="15.75" customHeight="1">
      <c r="C374" s="65"/>
      <c r="D374" s="65"/>
      <c r="E374" s="65"/>
      <c r="F374" s="65"/>
      <c r="H374" s="65"/>
      <c r="J374" s="65"/>
      <c r="K374" s="65"/>
      <c r="L374" s="65"/>
    </row>
    <row r="375" ht="15.75" customHeight="1">
      <c r="C375" s="65"/>
      <c r="D375" s="65"/>
      <c r="E375" s="65"/>
      <c r="F375" s="65"/>
      <c r="H375" s="65"/>
      <c r="J375" s="65"/>
      <c r="K375" s="65"/>
      <c r="L375" s="65"/>
    </row>
    <row r="376" ht="15.75" customHeight="1">
      <c r="C376" s="65"/>
      <c r="D376" s="65"/>
      <c r="E376" s="65"/>
      <c r="F376" s="65"/>
      <c r="H376" s="65"/>
      <c r="J376" s="65"/>
      <c r="K376" s="65"/>
      <c r="L376" s="65"/>
    </row>
    <row r="377" ht="15.75" customHeight="1">
      <c r="C377" s="65"/>
      <c r="D377" s="65"/>
      <c r="E377" s="65"/>
      <c r="F377" s="65"/>
      <c r="H377" s="65"/>
      <c r="J377" s="65"/>
      <c r="K377" s="65"/>
      <c r="L377" s="65"/>
    </row>
    <row r="378" ht="15.75" customHeight="1">
      <c r="C378" s="65"/>
      <c r="D378" s="65"/>
      <c r="E378" s="65"/>
      <c r="F378" s="65"/>
      <c r="H378" s="65"/>
      <c r="J378" s="65"/>
      <c r="K378" s="65"/>
      <c r="L378" s="65"/>
    </row>
    <row r="379" ht="15.75" customHeight="1">
      <c r="C379" s="65"/>
      <c r="D379" s="65"/>
      <c r="E379" s="65"/>
      <c r="F379" s="65"/>
      <c r="H379" s="65"/>
      <c r="J379" s="65"/>
      <c r="K379" s="65"/>
      <c r="L379" s="65"/>
    </row>
    <row r="380" ht="15.75" customHeight="1">
      <c r="C380" s="65"/>
      <c r="D380" s="65"/>
      <c r="E380" s="65"/>
      <c r="F380" s="65"/>
      <c r="H380" s="65"/>
      <c r="J380" s="65"/>
      <c r="K380" s="65"/>
      <c r="L380" s="65"/>
    </row>
    <row r="381" ht="15.75" customHeight="1">
      <c r="C381" s="65"/>
      <c r="D381" s="65"/>
      <c r="E381" s="65"/>
      <c r="F381" s="65"/>
      <c r="H381" s="65"/>
      <c r="J381" s="65"/>
      <c r="K381" s="65"/>
      <c r="L381" s="65"/>
    </row>
    <row r="382" ht="15.75" customHeight="1">
      <c r="C382" s="65"/>
      <c r="D382" s="65"/>
      <c r="E382" s="65"/>
      <c r="F382" s="65"/>
      <c r="H382" s="65"/>
      <c r="J382" s="65"/>
      <c r="K382" s="65"/>
      <c r="L382" s="65"/>
    </row>
    <row r="383" ht="15.75" customHeight="1">
      <c r="C383" s="65"/>
      <c r="D383" s="65"/>
      <c r="E383" s="65"/>
      <c r="F383" s="65"/>
      <c r="H383" s="65"/>
      <c r="J383" s="65"/>
      <c r="K383" s="65"/>
      <c r="L383" s="65"/>
    </row>
    <row r="384" ht="15.75" customHeight="1">
      <c r="C384" s="65"/>
      <c r="D384" s="65"/>
      <c r="E384" s="65"/>
      <c r="F384" s="65"/>
      <c r="H384" s="65"/>
      <c r="J384" s="65"/>
      <c r="K384" s="65"/>
      <c r="L384" s="65"/>
    </row>
    <row r="385" ht="15.75" customHeight="1">
      <c r="C385" s="65"/>
      <c r="D385" s="65"/>
      <c r="E385" s="65"/>
      <c r="F385" s="65"/>
      <c r="H385" s="65"/>
      <c r="J385" s="65"/>
      <c r="K385" s="65"/>
      <c r="L385" s="65"/>
    </row>
    <row r="386" ht="15.75" customHeight="1">
      <c r="C386" s="65"/>
      <c r="D386" s="65"/>
      <c r="E386" s="65"/>
      <c r="F386" s="65"/>
      <c r="H386" s="65"/>
      <c r="J386" s="65"/>
      <c r="K386" s="65"/>
      <c r="L386" s="65"/>
    </row>
    <row r="387" ht="15.75" customHeight="1">
      <c r="C387" s="65"/>
      <c r="D387" s="65"/>
      <c r="E387" s="65"/>
      <c r="F387" s="65"/>
      <c r="H387" s="65"/>
      <c r="J387" s="65"/>
      <c r="K387" s="65"/>
      <c r="L387" s="65"/>
    </row>
    <row r="388" ht="15.75" customHeight="1">
      <c r="C388" s="65"/>
      <c r="D388" s="65"/>
      <c r="E388" s="65"/>
      <c r="F388" s="65"/>
      <c r="H388" s="65"/>
      <c r="J388" s="65"/>
      <c r="K388" s="65"/>
      <c r="L388" s="65"/>
    </row>
    <row r="389" ht="15.75" customHeight="1">
      <c r="C389" s="65"/>
      <c r="D389" s="65"/>
      <c r="E389" s="65"/>
      <c r="F389" s="65"/>
      <c r="H389" s="65"/>
      <c r="J389" s="65"/>
      <c r="K389" s="65"/>
      <c r="L389" s="65"/>
    </row>
    <row r="390" ht="15.75" customHeight="1">
      <c r="C390" s="65"/>
      <c r="D390" s="65"/>
      <c r="E390" s="65"/>
      <c r="F390" s="65"/>
      <c r="H390" s="65"/>
      <c r="J390" s="65"/>
      <c r="K390" s="65"/>
      <c r="L390" s="65"/>
    </row>
    <row r="391" ht="15.75" customHeight="1">
      <c r="C391" s="65"/>
      <c r="D391" s="65"/>
      <c r="E391" s="65"/>
      <c r="F391" s="65"/>
      <c r="H391" s="65"/>
      <c r="J391" s="65"/>
      <c r="K391" s="65"/>
      <c r="L391" s="65"/>
    </row>
    <row r="392" ht="15.75" customHeight="1">
      <c r="C392" s="65"/>
      <c r="D392" s="65"/>
      <c r="E392" s="65"/>
      <c r="F392" s="65"/>
      <c r="H392" s="65"/>
      <c r="J392" s="65"/>
      <c r="K392" s="65"/>
      <c r="L392" s="65"/>
    </row>
    <row r="393" ht="15.75" customHeight="1">
      <c r="C393" s="65"/>
      <c r="D393" s="65"/>
      <c r="E393" s="65"/>
      <c r="F393" s="65"/>
      <c r="H393" s="65"/>
      <c r="J393" s="65"/>
      <c r="K393" s="65"/>
      <c r="L393" s="65"/>
    </row>
    <row r="394" ht="15.75" customHeight="1">
      <c r="C394" s="65"/>
      <c r="D394" s="65"/>
      <c r="E394" s="65"/>
      <c r="F394" s="65"/>
      <c r="H394" s="65"/>
      <c r="J394" s="65"/>
      <c r="K394" s="65"/>
      <c r="L394" s="65"/>
    </row>
    <row r="395" ht="15.75" customHeight="1">
      <c r="C395" s="65"/>
      <c r="D395" s="65"/>
      <c r="E395" s="65"/>
      <c r="F395" s="65"/>
      <c r="H395" s="65"/>
      <c r="J395" s="65"/>
      <c r="K395" s="65"/>
      <c r="L395" s="65"/>
    </row>
    <row r="396" ht="15.75" customHeight="1">
      <c r="C396" s="65"/>
      <c r="D396" s="65"/>
      <c r="E396" s="65"/>
      <c r="F396" s="65"/>
      <c r="H396" s="65"/>
      <c r="J396" s="65"/>
      <c r="K396" s="65"/>
      <c r="L396" s="65"/>
    </row>
    <row r="397" ht="15.75" customHeight="1">
      <c r="C397" s="65"/>
      <c r="D397" s="65"/>
      <c r="E397" s="65"/>
      <c r="F397" s="65"/>
      <c r="H397" s="65"/>
      <c r="J397" s="65"/>
      <c r="K397" s="65"/>
      <c r="L397" s="65"/>
    </row>
    <row r="398" ht="15.75" customHeight="1">
      <c r="C398" s="65"/>
      <c r="D398" s="65"/>
      <c r="E398" s="65"/>
      <c r="F398" s="65"/>
      <c r="H398" s="65"/>
      <c r="J398" s="65"/>
      <c r="K398" s="65"/>
      <c r="L398" s="65"/>
    </row>
    <row r="399" ht="15.75" customHeight="1">
      <c r="C399" s="65"/>
      <c r="D399" s="65"/>
      <c r="E399" s="65"/>
      <c r="F399" s="65"/>
      <c r="H399" s="65"/>
      <c r="J399" s="65"/>
      <c r="K399" s="65"/>
      <c r="L399" s="65"/>
    </row>
    <row r="400" ht="15.75" customHeight="1">
      <c r="C400" s="65"/>
      <c r="D400" s="65"/>
      <c r="E400" s="65"/>
      <c r="F400" s="65"/>
      <c r="H400" s="65"/>
      <c r="J400" s="65"/>
      <c r="K400" s="65"/>
      <c r="L400" s="65"/>
    </row>
    <row r="401" ht="15.75" customHeight="1">
      <c r="C401" s="65"/>
      <c r="D401" s="65"/>
      <c r="E401" s="65"/>
      <c r="F401" s="65"/>
      <c r="H401" s="65"/>
      <c r="J401" s="65"/>
      <c r="K401" s="65"/>
      <c r="L401" s="65"/>
    </row>
    <row r="402" ht="15.75" customHeight="1">
      <c r="C402" s="65"/>
      <c r="D402" s="65"/>
      <c r="E402" s="65"/>
      <c r="F402" s="65"/>
      <c r="H402" s="65"/>
      <c r="J402" s="65"/>
      <c r="K402" s="65"/>
      <c r="L402" s="65"/>
    </row>
    <row r="403" ht="15.75" customHeight="1">
      <c r="C403" s="65"/>
      <c r="D403" s="65"/>
      <c r="E403" s="65"/>
      <c r="F403" s="65"/>
      <c r="H403" s="65"/>
      <c r="J403" s="65"/>
      <c r="K403" s="65"/>
      <c r="L403" s="65"/>
    </row>
    <row r="404" ht="15.75" customHeight="1">
      <c r="C404" s="65"/>
      <c r="D404" s="65"/>
      <c r="E404" s="65"/>
      <c r="F404" s="65"/>
      <c r="H404" s="65"/>
      <c r="J404" s="65"/>
      <c r="K404" s="65"/>
      <c r="L404" s="65"/>
    </row>
    <row r="405" ht="15.75" customHeight="1">
      <c r="C405" s="65"/>
      <c r="D405" s="65"/>
      <c r="E405" s="65"/>
      <c r="F405" s="65"/>
      <c r="H405" s="65"/>
      <c r="J405" s="65"/>
      <c r="K405" s="65"/>
      <c r="L405" s="65"/>
    </row>
    <row r="406" ht="15.75" customHeight="1">
      <c r="C406" s="65"/>
      <c r="D406" s="65"/>
      <c r="E406" s="65"/>
      <c r="F406" s="65"/>
      <c r="H406" s="65"/>
      <c r="J406" s="65"/>
      <c r="K406" s="65"/>
      <c r="L406" s="65"/>
    </row>
    <row r="407" ht="15.75" customHeight="1">
      <c r="C407" s="65"/>
      <c r="D407" s="65"/>
      <c r="E407" s="65"/>
      <c r="F407" s="65"/>
      <c r="H407" s="65"/>
      <c r="J407" s="65"/>
      <c r="K407" s="65"/>
      <c r="L407" s="65"/>
    </row>
    <row r="408" ht="15.75" customHeight="1">
      <c r="C408" s="65"/>
      <c r="D408" s="65"/>
      <c r="E408" s="65"/>
      <c r="F408" s="65"/>
      <c r="H408" s="65"/>
      <c r="J408" s="65"/>
      <c r="K408" s="65"/>
      <c r="L408" s="65"/>
    </row>
    <row r="409" ht="15.75" customHeight="1">
      <c r="C409" s="65"/>
      <c r="D409" s="65"/>
      <c r="E409" s="65"/>
      <c r="F409" s="65"/>
      <c r="H409" s="65"/>
      <c r="J409" s="65"/>
      <c r="K409" s="65"/>
      <c r="L409" s="65"/>
    </row>
    <row r="410" ht="15.75" customHeight="1">
      <c r="C410" s="65"/>
      <c r="D410" s="65"/>
      <c r="E410" s="65"/>
      <c r="F410" s="65"/>
      <c r="H410" s="65"/>
      <c r="J410" s="65"/>
      <c r="K410" s="65"/>
      <c r="L410" s="65"/>
    </row>
    <row r="411" ht="15.75" customHeight="1">
      <c r="C411" s="65"/>
      <c r="D411" s="65"/>
      <c r="E411" s="65"/>
      <c r="F411" s="65"/>
      <c r="H411" s="65"/>
      <c r="J411" s="65"/>
      <c r="K411" s="65"/>
      <c r="L411" s="65"/>
    </row>
    <row r="412" ht="15.75" customHeight="1">
      <c r="C412" s="65"/>
      <c r="D412" s="65"/>
      <c r="E412" s="65"/>
      <c r="F412" s="65"/>
      <c r="H412" s="65"/>
      <c r="J412" s="65"/>
      <c r="K412" s="65"/>
      <c r="L412" s="65"/>
    </row>
    <row r="413" ht="15.75" customHeight="1">
      <c r="C413" s="65"/>
      <c r="D413" s="65"/>
      <c r="E413" s="65"/>
      <c r="F413" s="65"/>
      <c r="H413" s="65"/>
      <c r="J413" s="65"/>
      <c r="K413" s="65"/>
      <c r="L413" s="65"/>
    </row>
    <row r="414" ht="15.75" customHeight="1">
      <c r="C414" s="65"/>
      <c r="D414" s="65"/>
      <c r="E414" s="65"/>
      <c r="F414" s="65"/>
      <c r="H414" s="65"/>
      <c r="J414" s="65"/>
      <c r="K414" s="65"/>
      <c r="L414" s="65"/>
    </row>
    <row r="415" ht="15.75" customHeight="1">
      <c r="C415" s="65"/>
      <c r="D415" s="65"/>
      <c r="E415" s="65"/>
      <c r="F415" s="65"/>
      <c r="H415" s="65"/>
      <c r="J415" s="65"/>
      <c r="K415" s="65"/>
      <c r="L415" s="65"/>
    </row>
    <row r="416" ht="15.75" customHeight="1">
      <c r="C416" s="65"/>
      <c r="D416" s="65"/>
      <c r="E416" s="65"/>
      <c r="F416" s="65"/>
      <c r="H416" s="65"/>
      <c r="J416" s="65"/>
      <c r="K416" s="65"/>
      <c r="L416" s="65"/>
    </row>
    <row r="417" ht="15.75" customHeight="1">
      <c r="C417" s="65"/>
      <c r="D417" s="65"/>
      <c r="E417" s="65"/>
      <c r="F417" s="65"/>
      <c r="H417" s="65"/>
      <c r="J417" s="65"/>
      <c r="K417" s="65"/>
      <c r="L417" s="65"/>
    </row>
    <row r="418" ht="15.75" customHeight="1">
      <c r="C418" s="65"/>
      <c r="D418" s="65"/>
      <c r="E418" s="65"/>
      <c r="F418" s="65"/>
      <c r="H418" s="65"/>
      <c r="J418" s="65"/>
      <c r="K418" s="65"/>
      <c r="L418" s="65"/>
    </row>
    <row r="419" ht="15.75" customHeight="1">
      <c r="C419" s="65"/>
      <c r="D419" s="65"/>
      <c r="E419" s="65"/>
      <c r="F419" s="65"/>
      <c r="H419" s="65"/>
      <c r="J419" s="65"/>
      <c r="K419" s="65"/>
      <c r="L419" s="65"/>
    </row>
    <row r="420" ht="15.75" customHeight="1">
      <c r="C420" s="65"/>
      <c r="D420" s="65"/>
      <c r="E420" s="65"/>
      <c r="F420" s="65"/>
      <c r="H420" s="65"/>
      <c r="J420" s="65"/>
      <c r="K420" s="65"/>
      <c r="L420" s="65"/>
    </row>
    <row r="421" ht="15.75" customHeight="1">
      <c r="C421" s="65"/>
      <c r="D421" s="65"/>
      <c r="E421" s="65"/>
      <c r="F421" s="65"/>
      <c r="H421" s="65"/>
      <c r="J421" s="65"/>
      <c r="K421" s="65"/>
      <c r="L421" s="65"/>
    </row>
    <row r="422" ht="15.75" customHeight="1">
      <c r="C422" s="65"/>
      <c r="D422" s="65"/>
      <c r="E422" s="65"/>
      <c r="F422" s="65"/>
      <c r="H422" s="65"/>
      <c r="J422" s="65"/>
      <c r="K422" s="65"/>
      <c r="L422" s="65"/>
    </row>
    <row r="423" ht="15.75" customHeight="1">
      <c r="C423" s="65"/>
      <c r="D423" s="65"/>
      <c r="E423" s="65"/>
      <c r="F423" s="65"/>
      <c r="H423" s="65"/>
      <c r="J423" s="65"/>
      <c r="K423" s="65"/>
      <c r="L423" s="65"/>
    </row>
    <row r="424" ht="15.75" customHeight="1">
      <c r="C424" s="65"/>
      <c r="D424" s="65"/>
      <c r="E424" s="65"/>
      <c r="F424" s="65"/>
      <c r="H424" s="65"/>
      <c r="J424" s="65"/>
      <c r="K424" s="65"/>
      <c r="L424" s="65"/>
    </row>
    <row r="425" ht="15.75" customHeight="1">
      <c r="C425" s="65"/>
      <c r="D425" s="65"/>
      <c r="E425" s="65"/>
      <c r="F425" s="65"/>
      <c r="H425" s="65"/>
      <c r="J425" s="65"/>
      <c r="K425" s="65"/>
      <c r="L425" s="65"/>
    </row>
    <row r="426" ht="15.75" customHeight="1">
      <c r="C426" s="65"/>
      <c r="D426" s="65"/>
      <c r="E426" s="65"/>
      <c r="F426" s="65"/>
      <c r="H426" s="65"/>
      <c r="J426" s="65"/>
      <c r="K426" s="65"/>
      <c r="L426" s="65"/>
    </row>
    <row r="427" ht="15.75" customHeight="1">
      <c r="C427" s="65"/>
      <c r="D427" s="65"/>
      <c r="E427" s="65"/>
      <c r="F427" s="65"/>
      <c r="H427" s="65"/>
      <c r="J427" s="65"/>
      <c r="K427" s="65"/>
      <c r="L427" s="65"/>
    </row>
    <row r="428" ht="15.75" customHeight="1">
      <c r="C428" s="65"/>
      <c r="D428" s="65"/>
      <c r="E428" s="65"/>
      <c r="F428" s="65"/>
      <c r="H428" s="65"/>
      <c r="J428" s="65"/>
      <c r="K428" s="65"/>
      <c r="L428" s="65"/>
    </row>
    <row r="429" ht="15.75" customHeight="1">
      <c r="C429" s="65"/>
      <c r="D429" s="65"/>
      <c r="E429" s="65"/>
      <c r="F429" s="65"/>
      <c r="H429" s="65"/>
      <c r="J429" s="65"/>
      <c r="K429" s="65"/>
      <c r="L429" s="65"/>
    </row>
    <row r="430" ht="15.75" customHeight="1">
      <c r="C430" s="65"/>
      <c r="D430" s="65"/>
      <c r="E430" s="65"/>
      <c r="F430" s="65"/>
      <c r="H430" s="65"/>
      <c r="J430" s="65"/>
      <c r="K430" s="65"/>
      <c r="L430" s="65"/>
    </row>
    <row r="431" ht="15.75" customHeight="1">
      <c r="C431" s="65"/>
      <c r="D431" s="65"/>
      <c r="E431" s="65"/>
      <c r="F431" s="65"/>
      <c r="H431" s="65"/>
      <c r="J431" s="65"/>
      <c r="K431" s="65"/>
      <c r="L431" s="65"/>
    </row>
    <row r="432" ht="15.75" customHeight="1">
      <c r="C432" s="65"/>
      <c r="D432" s="65"/>
      <c r="E432" s="65"/>
      <c r="F432" s="65"/>
      <c r="H432" s="65"/>
      <c r="J432" s="65"/>
      <c r="K432" s="65"/>
      <c r="L432" s="65"/>
    </row>
    <row r="433" ht="15.75" customHeight="1">
      <c r="C433" s="65"/>
      <c r="D433" s="65"/>
      <c r="E433" s="65"/>
      <c r="F433" s="65"/>
      <c r="H433" s="65"/>
      <c r="J433" s="65"/>
      <c r="K433" s="65"/>
      <c r="L433" s="65"/>
    </row>
    <row r="434" ht="15.75" customHeight="1">
      <c r="C434" s="65"/>
      <c r="D434" s="65"/>
      <c r="E434" s="65"/>
      <c r="F434" s="65"/>
      <c r="H434" s="65"/>
      <c r="J434" s="65"/>
      <c r="K434" s="65"/>
      <c r="L434" s="65"/>
    </row>
    <row r="435" ht="15.75" customHeight="1">
      <c r="C435" s="65"/>
      <c r="D435" s="65"/>
      <c r="E435" s="65"/>
      <c r="F435" s="65"/>
      <c r="H435" s="65"/>
      <c r="J435" s="65"/>
      <c r="K435" s="65"/>
      <c r="L435" s="65"/>
    </row>
    <row r="436" ht="15.75" customHeight="1">
      <c r="C436" s="65"/>
      <c r="D436" s="65"/>
      <c r="E436" s="65"/>
      <c r="F436" s="65"/>
      <c r="H436" s="65"/>
      <c r="J436" s="65"/>
      <c r="K436" s="65"/>
      <c r="L436" s="65"/>
    </row>
    <row r="437" ht="15.75" customHeight="1">
      <c r="C437" s="65"/>
      <c r="D437" s="65"/>
      <c r="E437" s="65"/>
      <c r="F437" s="65"/>
      <c r="H437" s="65"/>
      <c r="J437" s="65"/>
      <c r="K437" s="65"/>
      <c r="L437" s="65"/>
    </row>
    <row r="438" ht="15.75" customHeight="1">
      <c r="C438" s="65"/>
      <c r="D438" s="65"/>
      <c r="E438" s="65"/>
      <c r="F438" s="65"/>
      <c r="H438" s="65"/>
      <c r="J438" s="65"/>
      <c r="K438" s="65"/>
      <c r="L438" s="65"/>
    </row>
    <row r="439" ht="15.75" customHeight="1">
      <c r="C439" s="65"/>
      <c r="D439" s="65"/>
      <c r="E439" s="65"/>
      <c r="F439" s="65"/>
      <c r="H439" s="65"/>
      <c r="J439" s="65"/>
      <c r="K439" s="65"/>
      <c r="L439" s="65"/>
    </row>
    <row r="440" ht="15.75" customHeight="1">
      <c r="C440" s="65"/>
      <c r="D440" s="65"/>
      <c r="E440" s="65"/>
      <c r="F440" s="65"/>
      <c r="H440" s="65"/>
      <c r="J440" s="65"/>
      <c r="K440" s="65"/>
      <c r="L440" s="65"/>
    </row>
    <row r="441" ht="15.75" customHeight="1">
      <c r="C441" s="65"/>
      <c r="D441" s="65"/>
      <c r="E441" s="65"/>
      <c r="F441" s="65"/>
      <c r="H441" s="65"/>
      <c r="J441" s="65"/>
      <c r="K441" s="65"/>
      <c r="L441" s="65"/>
    </row>
    <row r="442" ht="15.75" customHeight="1">
      <c r="C442" s="65"/>
      <c r="D442" s="65"/>
      <c r="E442" s="65"/>
      <c r="F442" s="65"/>
      <c r="H442" s="65"/>
      <c r="J442" s="65"/>
      <c r="K442" s="65"/>
      <c r="L442" s="65"/>
    </row>
    <row r="443" ht="15.75" customHeight="1">
      <c r="C443" s="65"/>
      <c r="D443" s="65"/>
      <c r="E443" s="65"/>
      <c r="F443" s="65"/>
      <c r="H443" s="65"/>
      <c r="J443" s="65"/>
      <c r="K443" s="65"/>
      <c r="L443" s="65"/>
    </row>
    <row r="444" ht="15.75" customHeight="1">
      <c r="C444" s="65"/>
      <c r="D444" s="65"/>
      <c r="E444" s="65"/>
      <c r="F444" s="65"/>
      <c r="H444" s="65"/>
      <c r="J444" s="65"/>
      <c r="K444" s="65"/>
      <c r="L444" s="65"/>
    </row>
    <row r="445" ht="15.75" customHeight="1">
      <c r="C445" s="65"/>
      <c r="D445" s="65"/>
      <c r="E445" s="65"/>
      <c r="F445" s="65"/>
      <c r="H445" s="65"/>
      <c r="J445" s="65"/>
      <c r="K445" s="65"/>
      <c r="L445" s="65"/>
    </row>
    <row r="446" ht="15.75" customHeight="1">
      <c r="C446" s="65"/>
      <c r="D446" s="65"/>
      <c r="E446" s="65"/>
      <c r="F446" s="65"/>
      <c r="H446" s="65"/>
      <c r="J446" s="65"/>
      <c r="K446" s="65"/>
      <c r="L446" s="65"/>
    </row>
    <row r="447" ht="15.75" customHeight="1">
      <c r="C447" s="65"/>
      <c r="D447" s="65"/>
      <c r="E447" s="65"/>
      <c r="F447" s="65"/>
      <c r="H447" s="65"/>
      <c r="J447" s="65"/>
      <c r="K447" s="65"/>
      <c r="L447" s="65"/>
    </row>
    <row r="448" ht="15.75" customHeight="1">
      <c r="C448" s="65"/>
      <c r="D448" s="65"/>
      <c r="E448" s="65"/>
      <c r="F448" s="65"/>
      <c r="H448" s="65"/>
      <c r="J448" s="65"/>
      <c r="K448" s="65"/>
      <c r="L448" s="65"/>
    </row>
    <row r="449" ht="15.75" customHeight="1">
      <c r="C449" s="65"/>
      <c r="D449" s="65"/>
      <c r="E449" s="65"/>
      <c r="F449" s="65"/>
      <c r="H449" s="65"/>
      <c r="J449" s="65"/>
      <c r="K449" s="65"/>
      <c r="L449" s="65"/>
    </row>
    <row r="450" ht="15.75" customHeight="1">
      <c r="C450" s="65"/>
      <c r="D450" s="65"/>
      <c r="E450" s="65"/>
      <c r="F450" s="65"/>
      <c r="H450" s="65"/>
      <c r="J450" s="65"/>
      <c r="K450" s="65"/>
      <c r="L450" s="65"/>
    </row>
    <row r="451" ht="15.75" customHeight="1">
      <c r="C451" s="65"/>
      <c r="D451" s="65"/>
      <c r="E451" s="65"/>
      <c r="F451" s="65"/>
      <c r="H451" s="65"/>
      <c r="J451" s="65"/>
      <c r="K451" s="65"/>
      <c r="L451" s="65"/>
    </row>
    <row r="452" ht="15.75" customHeight="1">
      <c r="C452" s="65"/>
      <c r="D452" s="65"/>
      <c r="E452" s="65"/>
      <c r="F452" s="65"/>
      <c r="H452" s="65"/>
      <c r="J452" s="65"/>
      <c r="K452" s="65"/>
      <c r="L452" s="65"/>
    </row>
    <row r="453" ht="15.75" customHeight="1">
      <c r="C453" s="65"/>
      <c r="D453" s="65"/>
      <c r="E453" s="65"/>
      <c r="F453" s="65"/>
      <c r="H453" s="65"/>
      <c r="J453" s="65"/>
      <c r="K453" s="65"/>
      <c r="L453" s="65"/>
    </row>
    <row r="454" ht="15.75" customHeight="1">
      <c r="C454" s="65"/>
      <c r="D454" s="65"/>
      <c r="E454" s="65"/>
      <c r="F454" s="65"/>
      <c r="H454" s="65"/>
      <c r="J454" s="65"/>
      <c r="K454" s="65"/>
      <c r="L454" s="65"/>
    </row>
    <row r="455" ht="15.75" customHeight="1">
      <c r="C455" s="65"/>
      <c r="D455" s="65"/>
      <c r="E455" s="65"/>
      <c r="F455" s="65"/>
      <c r="H455" s="65"/>
      <c r="J455" s="65"/>
      <c r="K455" s="65"/>
      <c r="L455" s="65"/>
    </row>
    <row r="456" ht="15.75" customHeight="1">
      <c r="C456" s="65"/>
      <c r="D456" s="65"/>
      <c r="E456" s="65"/>
      <c r="F456" s="65"/>
      <c r="H456" s="65"/>
      <c r="J456" s="65"/>
      <c r="K456" s="65"/>
      <c r="L456" s="65"/>
    </row>
    <row r="457" ht="15.75" customHeight="1">
      <c r="C457" s="65"/>
      <c r="D457" s="65"/>
      <c r="E457" s="65"/>
      <c r="F457" s="65"/>
      <c r="H457" s="65"/>
      <c r="J457" s="65"/>
      <c r="K457" s="65"/>
      <c r="L457" s="65"/>
    </row>
    <row r="458" ht="15.75" customHeight="1">
      <c r="C458" s="65"/>
      <c r="D458" s="65"/>
      <c r="E458" s="65"/>
      <c r="F458" s="65"/>
      <c r="H458" s="65"/>
      <c r="J458" s="65"/>
      <c r="K458" s="65"/>
      <c r="L458" s="65"/>
    </row>
    <row r="459" ht="15.75" customHeight="1">
      <c r="C459" s="65"/>
      <c r="D459" s="65"/>
      <c r="E459" s="65"/>
      <c r="F459" s="65"/>
      <c r="H459" s="65"/>
      <c r="J459" s="65"/>
      <c r="K459" s="65"/>
      <c r="L459" s="65"/>
    </row>
    <row r="460" ht="15.75" customHeight="1">
      <c r="C460" s="65"/>
      <c r="D460" s="65"/>
      <c r="E460" s="65"/>
      <c r="F460" s="65"/>
      <c r="H460" s="65"/>
      <c r="J460" s="65"/>
      <c r="K460" s="65"/>
      <c r="L460" s="65"/>
    </row>
    <row r="461" ht="15.75" customHeight="1">
      <c r="C461" s="65"/>
      <c r="D461" s="65"/>
      <c r="E461" s="65"/>
      <c r="F461" s="65"/>
      <c r="H461" s="65"/>
      <c r="J461" s="65"/>
      <c r="K461" s="65"/>
      <c r="L461" s="65"/>
    </row>
    <row r="462" ht="15.75" customHeight="1">
      <c r="C462" s="65"/>
      <c r="D462" s="65"/>
      <c r="E462" s="65"/>
      <c r="F462" s="65"/>
      <c r="H462" s="65"/>
      <c r="J462" s="65"/>
      <c r="K462" s="65"/>
      <c r="L462" s="65"/>
    </row>
    <row r="463" ht="15.75" customHeight="1">
      <c r="C463" s="65"/>
      <c r="D463" s="65"/>
      <c r="E463" s="65"/>
      <c r="F463" s="65"/>
      <c r="H463" s="65"/>
      <c r="J463" s="65"/>
      <c r="K463" s="65"/>
      <c r="L463" s="65"/>
    </row>
    <row r="464" ht="15.75" customHeight="1">
      <c r="C464" s="65"/>
      <c r="D464" s="65"/>
      <c r="E464" s="65"/>
      <c r="F464" s="65"/>
      <c r="H464" s="65"/>
      <c r="J464" s="65"/>
      <c r="K464" s="65"/>
      <c r="L464" s="65"/>
    </row>
    <row r="465" ht="15.75" customHeight="1">
      <c r="C465" s="65"/>
      <c r="D465" s="65"/>
      <c r="E465" s="65"/>
      <c r="F465" s="65"/>
      <c r="H465" s="65"/>
      <c r="J465" s="65"/>
      <c r="K465" s="65"/>
      <c r="L465" s="65"/>
    </row>
    <row r="466" ht="15.75" customHeight="1">
      <c r="C466" s="65"/>
      <c r="D466" s="65"/>
      <c r="E466" s="65"/>
      <c r="F466" s="65"/>
      <c r="H466" s="65"/>
      <c r="J466" s="65"/>
      <c r="K466" s="65"/>
      <c r="L466" s="65"/>
    </row>
    <row r="467" ht="15.75" customHeight="1">
      <c r="C467" s="65"/>
      <c r="D467" s="65"/>
      <c r="E467" s="65"/>
      <c r="F467" s="65"/>
      <c r="H467" s="65"/>
      <c r="J467" s="65"/>
      <c r="K467" s="65"/>
      <c r="L467" s="65"/>
    </row>
    <row r="468" ht="15.75" customHeight="1">
      <c r="C468" s="65"/>
      <c r="D468" s="65"/>
      <c r="E468" s="65"/>
      <c r="F468" s="65"/>
      <c r="H468" s="65"/>
      <c r="J468" s="65"/>
      <c r="K468" s="65"/>
      <c r="L468" s="65"/>
    </row>
    <row r="469" ht="15.75" customHeight="1">
      <c r="C469" s="65"/>
      <c r="D469" s="65"/>
      <c r="E469" s="65"/>
      <c r="F469" s="65"/>
      <c r="H469" s="65"/>
      <c r="J469" s="65"/>
      <c r="K469" s="65"/>
      <c r="L469" s="65"/>
    </row>
    <row r="470" ht="15.75" customHeight="1">
      <c r="C470" s="65"/>
      <c r="D470" s="65"/>
      <c r="E470" s="65"/>
      <c r="F470" s="65"/>
      <c r="H470" s="65"/>
      <c r="J470" s="65"/>
      <c r="K470" s="65"/>
      <c r="L470" s="65"/>
    </row>
    <row r="471" ht="15.75" customHeight="1">
      <c r="C471" s="65"/>
      <c r="D471" s="65"/>
      <c r="E471" s="65"/>
      <c r="F471" s="65"/>
      <c r="H471" s="65"/>
      <c r="J471" s="65"/>
      <c r="K471" s="65"/>
      <c r="L471" s="65"/>
    </row>
    <row r="472" ht="15.75" customHeight="1">
      <c r="C472" s="65"/>
      <c r="D472" s="65"/>
      <c r="E472" s="65"/>
      <c r="F472" s="65"/>
      <c r="H472" s="65"/>
      <c r="J472" s="65"/>
      <c r="K472" s="65"/>
      <c r="L472" s="65"/>
    </row>
    <row r="473" ht="15.75" customHeight="1">
      <c r="C473" s="65"/>
      <c r="D473" s="65"/>
      <c r="E473" s="65"/>
      <c r="F473" s="65"/>
      <c r="H473" s="65"/>
      <c r="J473" s="65"/>
      <c r="K473" s="65"/>
      <c r="L473" s="65"/>
    </row>
    <row r="474" ht="15.75" customHeight="1">
      <c r="C474" s="65"/>
      <c r="D474" s="65"/>
      <c r="E474" s="65"/>
      <c r="F474" s="65"/>
      <c r="H474" s="65"/>
      <c r="J474" s="65"/>
      <c r="K474" s="65"/>
      <c r="L474" s="65"/>
    </row>
    <row r="475" ht="15.75" customHeight="1">
      <c r="C475" s="65"/>
      <c r="D475" s="65"/>
      <c r="E475" s="65"/>
      <c r="F475" s="65"/>
      <c r="H475" s="65"/>
      <c r="J475" s="65"/>
      <c r="K475" s="65"/>
      <c r="L475" s="65"/>
    </row>
    <row r="476" ht="15.75" customHeight="1">
      <c r="C476" s="65"/>
      <c r="D476" s="65"/>
      <c r="E476" s="65"/>
      <c r="F476" s="65"/>
      <c r="H476" s="65"/>
      <c r="J476" s="65"/>
      <c r="K476" s="65"/>
      <c r="L476" s="65"/>
    </row>
    <row r="477" ht="15.75" customHeight="1">
      <c r="C477" s="65"/>
      <c r="D477" s="65"/>
      <c r="E477" s="65"/>
      <c r="F477" s="65"/>
      <c r="H477" s="65"/>
      <c r="J477" s="65"/>
      <c r="K477" s="65"/>
      <c r="L477" s="65"/>
    </row>
    <row r="478" ht="15.75" customHeight="1">
      <c r="C478" s="65"/>
      <c r="D478" s="65"/>
      <c r="E478" s="65"/>
      <c r="F478" s="65"/>
      <c r="H478" s="65"/>
      <c r="J478" s="65"/>
      <c r="K478" s="65"/>
      <c r="L478" s="65"/>
    </row>
    <row r="479" ht="15.75" customHeight="1">
      <c r="C479" s="65"/>
      <c r="D479" s="65"/>
      <c r="E479" s="65"/>
      <c r="F479" s="65"/>
      <c r="H479" s="65"/>
      <c r="J479" s="65"/>
      <c r="K479" s="65"/>
      <c r="L479" s="65"/>
    </row>
    <row r="480" ht="15.75" customHeight="1">
      <c r="C480" s="65"/>
      <c r="D480" s="65"/>
      <c r="E480" s="65"/>
      <c r="F480" s="65"/>
      <c r="H480" s="65"/>
      <c r="J480" s="65"/>
      <c r="K480" s="65"/>
      <c r="L480" s="65"/>
    </row>
    <row r="481" ht="15.75" customHeight="1">
      <c r="C481" s="65"/>
      <c r="D481" s="65"/>
      <c r="E481" s="65"/>
      <c r="F481" s="65"/>
      <c r="H481" s="65"/>
      <c r="J481" s="65"/>
      <c r="K481" s="65"/>
      <c r="L481" s="65"/>
    </row>
    <row r="482" ht="15.75" customHeight="1">
      <c r="C482" s="65"/>
      <c r="D482" s="65"/>
      <c r="E482" s="65"/>
      <c r="F482" s="65"/>
      <c r="H482" s="65"/>
      <c r="J482" s="65"/>
      <c r="K482" s="65"/>
      <c r="L482" s="65"/>
    </row>
    <row r="483" ht="15.75" customHeight="1">
      <c r="C483" s="65"/>
      <c r="D483" s="65"/>
      <c r="E483" s="65"/>
      <c r="F483" s="65"/>
      <c r="H483" s="65"/>
      <c r="J483" s="65"/>
      <c r="K483" s="65"/>
      <c r="L483" s="65"/>
    </row>
    <row r="484" ht="15.75" customHeight="1">
      <c r="C484" s="65"/>
      <c r="D484" s="65"/>
      <c r="E484" s="65"/>
      <c r="F484" s="65"/>
      <c r="H484" s="65"/>
      <c r="J484" s="65"/>
      <c r="K484" s="65"/>
      <c r="L484" s="65"/>
    </row>
    <row r="485" ht="15.75" customHeight="1">
      <c r="C485" s="65"/>
      <c r="D485" s="65"/>
      <c r="E485" s="65"/>
      <c r="F485" s="65"/>
      <c r="H485" s="65"/>
      <c r="J485" s="65"/>
      <c r="K485" s="65"/>
      <c r="L485" s="65"/>
    </row>
    <row r="486" ht="15.75" customHeight="1">
      <c r="C486" s="65"/>
      <c r="D486" s="65"/>
      <c r="E486" s="65"/>
      <c r="F486" s="65"/>
      <c r="H486" s="65"/>
      <c r="J486" s="65"/>
      <c r="K486" s="65"/>
      <c r="L486" s="65"/>
    </row>
    <row r="487" ht="15.75" customHeight="1">
      <c r="C487" s="65"/>
      <c r="D487" s="65"/>
      <c r="E487" s="65"/>
      <c r="F487" s="65"/>
      <c r="H487" s="65"/>
      <c r="J487" s="65"/>
      <c r="K487" s="65"/>
      <c r="L487" s="65"/>
    </row>
    <row r="488" ht="15.75" customHeight="1">
      <c r="C488" s="65"/>
      <c r="D488" s="65"/>
      <c r="E488" s="65"/>
      <c r="F488" s="65"/>
      <c r="H488" s="65"/>
      <c r="J488" s="65"/>
      <c r="K488" s="65"/>
      <c r="L488" s="65"/>
    </row>
    <row r="489" ht="15.75" customHeight="1">
      <c r="C489" s="65"/>
      <c r="D489" s="65"/>
      <c r="E489" s="65"/>
      <c r="F489" s="65"/>
      <c r="H489" s="65"/>
      <c r="J489" s="65"/>
      <c r="K489" s="65"/>
      <c r="L489" s="65"/>
    </row>
    <row r="490" ht="15.75" customHeight="1">
      <c r="C490" s="65"/>
      <c r="D490" s="65"/>
      <c r="E490" s="65"/>
      <c r="F490" s="65"/>
      <c r="H490" s="65"/>
      <c r="J490" s="65"/>
      <c r="K490" s="65"/>
      <c r="L490" s="65"/>
    </row>
    <row r="491" ht="15.75" customHeight="1">
      <c r="C491" s="65"/>
      <c r="D491" s="65"/>
      <c r="E491" s="65"/>
      <c r="F491" s="65"/>
      <c r="H491" s="65"/>
      <c r="J491" s="65"/>
      <c r="K491" s="65"/>
      <c r="L491" s="65"/>
    </row>
    <row r="492" ht="15.75" customHeight="1">
      <c r="C492" s="65"/>
      <c r="D492" s="65"/>
      <c r="E492" s="65"/>
      <c r="F492" s="65"/>
      <c r="H492" s="65"/>
      <c r="J492" s="65"/>
      <c r="K492" s="65"/>
      <c r="L492" s="65"/>
    </row>
    <row r="493" ht="15.75" customHeight="1">
      <c r="C493" s="65"/>
      <c r="D493" s="65"/>
      <c r="E493" s="65"/>
      <c r="F493" s="65"/>
      <c r="H493" s="65"/>
      <c r="J493" s="65"/>
      <c r="K493" s="65"/>
      <c r="L493" s="65"/>
    </row>
    <row r="494" ht="15.75" customHeight="1">
      <c r="C494" s="65"/>
      <c r="D494" s="65"/>
      <c r="E494" s="65"/>
      <c r="F494" s="65"/>
      <c r="H494" s="65"/>
      <c r="J494" s="65"/>
      <c r="K494" s="65"/>
      <c r="L494" s="65"/>
    </row>
    <row r="495" ht="15.75" customHeight="1">
      <c r="C495" s="65"/>
      <c r="D495" s="65"/>
      <c r="E495" s="65"/>
      <c r="F495" s="65"/>
      <c r="H495" s="65"/>
      <c r="J495" s="65"/>
      <c r="K495" s="65"/>
      <c r="L495" s="65"/>
    </row>
    <row r="496" ht="15.75" customHeight="1">
      <c r="C496" s="65"/>
      <c r="D496" s="65"/>
      <c r="E496" s="65"/>
      <c r="F496" s="65"/>
      <c r="H496" s="65"/>
      <c r="J496" s="65"/>
      <c r="K496" s="65"/>
      <c r="L496" s="65"/>
    </row>
    <row r="497" ht="15.75" customHeight="1">
      <c r="C497" s="65"/>
      <c r="D497" s="65"/>
      <c r="E497" s="65"/>
      <c r="F497" s="65"/>
      <c r="H497" s="65"/>
      <c r="J497" s="65"/>
      <c r="K497" s="65"/>
      <c r="L497" s="65"/>
    </row>
    <row r="498" ht="15.75" customHeight="1">
      <c r="C498" s="65"/>
      <c r="D498" s="65"/>
      <c r="E498" s="65"/>
      <c r="F498" s="65"/>
      <c r="H498" s="65"/>
      <c r="J498" s="65"/>
      <c r="K498" s="65"/>
      <c r="L498" s="65"/>
    </row>
    <row r="499" ht="15.75" customHeight="1">
      <c r="C499" s="65"/>
      <c r="D499" s="65"/>
      <c r="E499" s="65"/>
      <c r="F499" s="65"/>
      <c r="H499" s="65"/>
      <c r="J499" s="65"/>
      <c r="K499" s="65"/>
      <c r="L499" s="65"/>
    </row>
    <row r="500" ht="15.75" customHeight="1">
      <c r="C500" s="65"/>
      <c r="D500" s="65"/>
      <c r="E500" s="65"/>
      <c r="F500" s="65"/>
      <c r="H500" s="65"/>
      <c r="J500" s="65"/>
      <c r="K500" s="65"/>
      <c r="L500" s="65"/>
    </row>
    <row r="501" ht="15.75" customHeight="1">
      <c r="C501" s="65"/>
      <c r="D501" s="65"/>
      <c r="E501" s="65"/>
      <c r="F501" s="65"/>
      <c r="H501" s="65"/>
      <c r="J501" s="65"/>
      <c r="K501" s="65"/>
      <c r="L501" s="65"/>
    </row>
    <row r="502" ht="15.75" customHeight="1">
      <c r="C502" s="65"/>
      <c r="D502" s="65"/>
      <c r="E502" s="65"/>
      <c r="F502" s="65"/>
      <c r="H502" s="65"/>
      <c r="J502" s="65"/>
      <c r="K502" s="65"/>
      <c r="L502" s="65"/>
    </row>
    <row r="503" ht="15.75" customHeight="1">
      <c r="C503" s="65"/>
      <c r="D503" s="65"/>
      <c r="E503" s="65"/>
      <c r="F503" s="65"/>
      <c r="H503" s="65"/>
      <c r="J503" s="65"/>
      <c r="K503" s="65"/>
      <c r="L503" s="65"/>
    </row>
    <row r="504" ht="15.75" customHeight="1">
      <c r="C504" s="65"/>
      <c r="D504" s="65"/>
      <c r="E504" s="65"/>
      <c r="F504" s="65"/>
      <c r="H504" s="65"/>
      <c r="J504" s="65"/>
      <c r="K504" s="65"/>
      <c r="L504" s="65"/>
    </row>
    <row r="505" ht="15.75" customHeight="1">
      <c r="C505" s="65"/>
      <c r="D505" s="65"/>
      <c r="E505" s="65"/>
      <c r="F505" s="65"/>
      <c r="H505" s="65"/>
      <c r="J505" s="65"/>
      <c r="K505" s="65"/>
      <c r="L505" s="65"/>
    </row>
    <row r="506" ht="15.75" customHeight="1">
      <c r="C506" s="65"/>
      <c r="D506" s="65"/>
      <c r="E506" s="65"/>
      <c r="F506" s="65"/>
      <c r="H506" s="65"/>
      <c r="J506" s="65"/>
      <c r="K506" s="65"/>
      <c r="L506" s="65"/>
    </row>
    <row r="507" ht="15.75" customHeight="1">
      <c r="C507" s="65"/>
      <c r="D507" s="65"/>
      <c r="E507" s="65"/>
      <c r="F507" s="65"/>
      <c r="H507" s="65"/>
      <c r="J507" s="65"/>
      <c r="K507" s="65"/>
      <c r="L507" s="65"/>
    </row>
    <row r="508" ht="15.75" customHeight="1">
      <c r="C508" s="65"/>
      <c r="D508" s="65"/>
      <c r="E508" s="65"/>
      <c r="F508" s="65"/>
      <c r="H508" s="65"/>
      <c r="J508" s="65"/>
      <c r="K508" s="65"/>
      <c r="L508" s="65"/>
    </row>
    <row r="509" ht="15.75" customHeight="1">
      <c r="C509" s="65"/>
      <c r="D509" s="65"/>
      <c r="E509" s="65"/>
      <c r="F509" s="65"/>
      <c r="H509" s="65"/>
      <c r="J509" s="65"/>
      <c r="K509" s="65"/>
      <c r="L509" s="65"/>
    </row>
    <row r="510" ht="15.75" customHeight="1">
      <c r="C510" s="65"/>
      <c r="D510" s="65"/>
      <c r="E510" s="65"/>
      <c r="F510" s="65"/>
      <c r="H510" s="65"/>
      <c r="J510" s="65"/>
      <c r="K510" s="65"/>
      <c r="L510" s="65"/>
    </row>
    <row r="511" ht="15.75" customHeight="1">
      <c r="C511" s="65"/>
      <c r="D511" s="65"/>
      <c r="E511" s="65"/>
      <c r="F511" s="65"/>
      <c r="H511" s="65"/>
      <c r="J511" s="65"/>
      <c r="K511" s="65"/>
      <c r="L511" s="65"/>
    </row>
    <row r="512" ht="15.75" customHeight="1">
      <c r="C512" s="65"/>
      <c r="D512" s="65"/>
      <c r="E512" s="65"/>
      <c r="F512" s="65"/>
      <c r="H512" s="65"/>
      <c r="J512" s="65"/>
      <c r="K512" s="65"/>
      <c r="L512" s="65"/>
    </row>
    <row r="513" ht="15.75" customHeight="1">
      <c r="C513" s="65"/>
      <c r="D513" s="65"/>
      <c r="E513" s="65"/>
      <c r="F513" s="65"/>
      <c r="H513" s="65"/>
      <c r="J513" s="65"/>
      <c r="K513" s="65"/>
      <c r="L513" s="65"/>
    </row>
    <row r="514" ht="15.75" customHeight="1">
      <c r="C514" s="65"/>
      <c r="D514" s="65"/>
      <c r="E514" s="65"/>
      <c r="F514" s="65"/>
      <c r="H514" s="65"/>
      <c r="J514" s="65"/>
      <c r="K514" s="65"/>
      <c r="L514" s="65"/>
    </row>
    <row r="515" ht="15.75" customHeight="1">
      <c r="C515" s="65"/>
      <c r="D515" s="65"/>
      <c r="E515" s="65"/>
      <c r="F515" s="65"/>
      <c r="H515" s="65"/>
      <c r="J515" s="65"/>
      <c r="K515" s="65"/>
      <c r="L515" s="65"/>
    </row>
    <row r="516" ht="15.75" customHeight="1">
      <c r="C516" s="65"/>
      <c r="D516" s="65"/>
      <c r="E516" s="65"/>
      <c r="F516" s="65"/>
      <c r="H516" s="65"/>
      <c r="J516" s="65"/>
      <c r="K516" s="65"/>
      <c r="L516" s="65"/>
    </row>
    <row r="517" ht="15.75" customHeight="1">
      <c r="C517" s="65"/>
      <c r="D517" s="65"/>
      <c r="E517" s="65"/>
      <c r="F517" s="65"/>
      <c r="H517" s="65"/>
      <c r="J517" s="65"/>
      <c r="K517" s="65"/>
      <c r="L517" s="65"/>
    </row>
    <row r="518" ht="15.75" customHeight="1">
      <c r="C518" s="65"/>
      <c r="D518" s="65"/>
      <c r="E518" s="65"/>
      <c r="F518" s="65"/>
      <c r="H518" s="65"/>
      <c r="J518" s="65"/>
      <c r="K518" s="65"/>
      <c r="L518" s="65"/>
    </row>
    <row r="519" ht="15.75" customHeight="1">
      <c r="C519" s="65"/>
      <c r="D519" s="65"/>
      <c r="E519" s="65"/>
      <c r="F519" s="65"/>
      <c r="H519" s="65"/>
      <c r="J519" s="65"/>
      <c r="K519" s="65"/>
      <c r="L519" s="65"/>
    </row>
    <row r="520" ht="15.75" customHeight="1">
      <c r="C520" s="65"/>
      <c r="D520" s="65"/>
      <c r="E520" s="65"/>
      <c r="F520" s="65"/>
      <c r="H520" s="65"/>
      <c r="J520" s="65"/>
      <c r="K520" s="65"/>
      <c r="L520" s="65"/>
    </row>
    <row r="521" ht="15.75" customHeight="1">
      <c r="C521" s="65"/>
      <c r="D521" s="65"/>
      <c r="E521" s="65"/>
      <c r="F521" s="65"/>
      <c r="H521" s="65"/>
      <c r="J521" s="65"/>
      <c r="K521" s="65"/>
      <c r="L521" s="65"/>
    </row>
    <row r="522" ht="15.75" customHeight="1">
      <c r="C522" s="65"/>
      <c r="D522" s="65"/>
      <c r="E522" s="65"/>
      <c r="F522" s="65"/>
      <c r="H522" s="65"/>
      <c r="J522" s="65"/>
      <c r="K522" s="65"/>
      <c r="L522" s="65"/>
    </row>
    <row r="523" ht="15.75" customHeight="1">
      <c r="C523" s="65"/>
      <c r="D523" s="65"/>
      <c r="E523" s="65"/>
      <c r="F523" s="65"/>
      <c r="H523" s="65"/>
      <c r="J523" s="65"/>
      <c r="K523" s="65"/>
      <c r="L523" s="65"/>
    </row>
    <row r="524" ht="15.75" customHeight="1">
      <c r="C524" s="65"/>
      <c r="D524" s="65"/>
      <c r="E524" s="65"/>
      <c r="F524" s="65"/>
      <c r="H524" s="65"/>
      <c r="J524" s="65"/>
      <c r="K524" s="65"/>
      <c r="L524" s="65"/>
    </row>
    <row r="525" ht="15.75" customHeight="1">
      <c r="C525" s="65"/>
      <c r="D525" s="65"/>
      <c r="E525" s="65"/>
      <c r="F525" s="65"/>
      <c r="H525" s="65"/>
      <c r="J525" s="65"/>
      <c r="K525" s="65"/>
      <c r="L525" s="65"/>
    </row>
    <row r="526" ht="15.75" customHeight="1">
      <c r="C526" s="65"/>
      <c r="D526" s="65"/>
      <c r="E526" s="65"/>
      <c r="F526" s="65"/>
      <c r="H526" s="65"/>
      <c r="J526" s="65"/>
      <c r="K526" s="65"/>
      <c r="L526" s="65"/>
    </row>
    <row r="527" ht="15.75" customHeight="1">
      <c r="C527" s="65"/>
      <c r="D527" s="65"/>
      <c r="E527" s="65"/>
      <c r="F527" s="65"/>
      <c r="H527" s="65"/>
      <c r="J527" s="65"/>
      <c r="K527" s="65"/>
      <c r="L527" s="65"/>
    </row>
    <row r="528" ht="15.75" customHeight="1">
      <c r="C528" s="65"/>
      <c r="D528" s="65"/>
      <c r="E528" s="65"/>
      <c r="F528" s="65"/>
      <c r="H528" s="65"/>
      <c r="J528" s="65"/>
      <c r="K528" s="65"/>
      <c r="L528" s="65"/>
    </row>
    <row r="529" ht="15.75" customHeight="1">
      <c r="C529" s="65"/>
      <c r="D529" s="65"/>
      <c r="E529" s="65"/>
      <c r="F529" s="65"/>
      <c r="H529" s="65"/>
      <c r="J529" s="65"/>
      <c r="K529" s="65"/>
      <c r="L529" s="65"/>
    </row>
    <row r="530" ht="15.75" customHeight="1">
      <c r="C530" s="65"/>
      <c r="D530" s="65"/>
      <c r="E530" s="65"/>
      <c r="F530" s="65"/>
      <c r="H530" s="65"/>
      <c r="J530" s="65"/>
      <c r="K530" s="65"/>
      <c r="L530" s="65"/>
    </row>
    <row r="531" ht="15.75" customHeight="1">
      <c r="C531" s="65"/>
      <c r="D531" s="65"/>
      <c r="E531" s="65"/>
      <c r="F531" s="65"/>
      <c r="H531" s="65"/>
      <c r="J531" s="65"/>
      <c r="K531" s="65"/>
      <c r="L531" s="65"/>
    </row>
    <row r="532" ht="15.75" customHeight="1">
      <c r="C532" s="65"/>
      <c r="D532" s="65"/>
      <c r="E532" s="65"/>
      <c r="F532" s="65"/>
      <c r="H532" s="65"/>
      <c r="J532" s="65"/>
      <c r="K532" s="65"/>
      <c r="L532" s="65"/>
    </row>
    <row r="533" ht="15.75" customHeight="1">
      <c r="C533" s="65"/>
      <c r="D533" s="65"/>
      <c r="E533" s="65"/>
      <c r="F533" s="65"/>
      <c r="H533" s="65"/>
      <c r="J533" s="65"/>
      <c r="K533" s="65"/>
      <c r="L533" s="65"/>
    </row>
    <row r="534" ht="15.75" customHeight="1">
      <c r="C534" s="65"/>
      <c r="D534" s="65"/>
      <c r="E534" s="65"/>
      <c r="F534" s="65"/>
      <c r="H534" s="65"/>
      <c r="J534" s="65"/>
      <c r="K534" s="65"/>
      <c r="L534" s="65"/>
    </row>
    <row r="535" ht="15.75" customHeight="1">
      <c r="C535" s="65"/>
      <c r="D535" s="65"/>
      <c r="E535" s="65"/>
      <c r="F535" s="65"/>
      <c r="H535" s="65"/>
      <c r="J535" s="65"/>
      <c r="K535" s="65"/>
      <c r="L535" s="65"/>
    </row>
    <row r="536" ht="15.75" customHeight="1">
      <c r="C536" s="65"/>
      <c r="D536" s="65"/>
      <c r="E536" s="65"/>
      <c r="F536" s="65"/>
      <c r="H536" s="65"/>
      <c r="J536" s="65"/>
      <c r="K536" s="65"/>
      <c r="L536" s="65"/>
    </row>
    <row r="537" ht="15.75" customHeight="1">
      <c r="C537" s="65"/>
      <c r="D537" s="65"/>
      <c r="E537" s="65"/>
      <c r="F537" s="65"/>
      <c r="H537" s="65"/>
      <c r="J537" s="65"/>
      <c r="K537" s="65"/>
      <c r="L537" s="65"/>
    </row>
    <row r="538" ht="15.75" customHeight="1">
      <c r="C538" s="65"/>
      <c r="D538" s="65"/>
      <c r="E538" s="65"/>
      <c r="F538" s="65"/>
      <c r="H538" s="65"/>
      <c r="J538" s="65"/>
      <c r="K538" s="65"/>
      <c r="L538" s="65"/>
    </row>
    <row r="539" ht="15.75" customHeight="1">
      <c r="C539" s="65"/>
      <c r="D539" s="65"/>
      <c r="E539" s="65"/>
      <c r="F539" s="65"/>
      <c r="H539" s="65"/>
      <c r="J539" s="65"/>
      <c r="K539" s="65"/>
      <c r="L539" s="65"/>
    </row>
    <row r="540" ht="15.75" customHeight="1">
      <c r="C540" s="65"/>
      <c r="D540" s="65"/>
      <c r="E540" s="65"/>
      <c r="F540" s="65"/>
      <c r="H540" s="65"/>
      <c r="J540" s="65"/>
      <c r="K540" s="65"/>
      <c r="L540" s="65"/>
    </row>
    <row r="541" ht="15.75" customHeight="1">
      <c r="C541" s="65"/>
      <c r="D541" s="65"/>
      <c r="E541" s="65"/>
      <c r="F541" s="65"/>
      <c r="H541" s="65"/>
      <c r="J541" s="65"/>
      <c r="K541" s="65"/>
      <c r="L541" s="65"/>
    </row>
    <row r="542" ht="15.75" customHeight="1">
      <c r="C542" s="65"/>
      <c r="D542" s="65"/>
      <c r="E542" s="65"/>
      <c r="F542" s="65"/>
      <c r="H542" s="65"/>
      <c r="J542" s="65"/>
      <c r="K542" s="65"/>
      <c r="L542" s="65"/>
    </row>
    <row r="543" ht="15.75" customHeight="1">
      <c r="C543" s="65"/>
      <c r="D543" s="65"/>
      <c r="E543" s="65"/>
      <c r="F543" s="65"/>
      <c r="H543" s="65"/>
      <c r="J543" s="65"/>
      <c r="K543" s="65"/>
      <c r="L543" s="65"/>
    </row>
    <row r="544" ht="15.75" customHeight="1">
      <c r="C544" s="65"/>
      <c r="D544" s="65"/>
      <c r="E544" s="65"/>
      <c r="F544" s="65"/>
      <c r="H544" s="65"/>
      <c r="J544" s="65"/>
      <c r="K544" s="65"/>
      <c r="L544" s="65"/>
    </row>
    <row r="545" ht="15.75" customHeight="1">
      <c r="C545" s="65"/>
      <c r="D545" s="65"/>
      <c r="E545" s="65"/>
      <c r="F545" s="65"/>
      <c r="H545" s="65"/>
      <c r="J545" s="65"/>
      <c r="K545" s="65"/>
      <c r="L545" s="65"/>
    </row>
    <row r="546" ht="15.75" customHeight="1">
      <c r="C546" s="65"/>
      <c r="D546" s="65"/>
      <c r="E546" s="65"/>
      <c r="F546" s="65"/>
      <c r="H546" s="65"/>
      <c r="J546" s="65"/>
      <c r="K546" s="65"/>
      <c r="L546" s="65"/>
    </row>
    <row r="547" ht="15.75" customHeight="1">
      <c r="C547" s="65"/>
      <c r="D547" s="65"/>
      <c r="E547" s="65"/>
      <c r="F547" s="65"/>
      <c r="H547" s="65"/>
      <c r="J547" s="65"/>
      <c r="K547" s="65"/>
      <c r="L547" s="65"/>
    </row>
    <row r="548" ht="15.75" customHeight="1">
      <c r="C548" s="65"/>
      <c r="D548" s="65"/>
      <c r="E548" s="65"/>
      <c r="F548" s="65"/>
      <c r="H548" s="65"/>
      <c r="J548" s="65"/>
      <c r="K548" s="65"/>
      <c r="L548" s="65"/>
    </row>
    <row r="549" ht="15.75" customHeight="1">
      <c r="C549" s="65"/>
      <c r="D549" s="65"/>
      <c r="E549" s="65"/>
      <c r="F549" s="65"/>
      <c r="H549" s="65"/>
      <c r="J549" s="65"/>
      <c r="K549" s="65"/>
      <c r="L549" s="65"/>
    </row>
    <row r="550" ht="15.75" customHeight="1">
      <c r="C550" s="65"/>
      <c r="D550" s="65"/>
      <c r="E550" s="65"/>
      <c r="F550" s="65"/>
      <c r="H550" s="65"/>
      <c r="J550" s="65"/>
      <c r="K550" s="65"/>
      <c r="L550" s="65"/>
    </row>
    <row r="551" ht="15.75" customHeight="1">
      <c r="C551" s="65"/>
      <c r="D551" s="65"/>
      <c r="E551" s="65"/>
      <c r="F551" s="65"/>
      <c r="H551" s="65"/>
      <c r="J551" s="65"/>
      <c r="K551" s="65"/>
      <c r="L551" s="65"/>
    </row>
    <row r="552" ht="15.75" customHeight="1">
      <c r="C552" s="65"/>
      <c r="D552" s="65"/>
      <c r="E552" s="65"/>
      <c r="F552" s="65"/>
      <c r="H552" s="65"/>
      <c r="J552" s="65"/>
      <c r="K552" s="65"/>
      <c r="L552" s="65"/>
    </row>
    <row r="553" ht="15.75" customHeight="1">
      <c r="C553" s="65"/>
      <c r="D553" s="65"/>
      <c r="E553" s="65"/>
      <c r="F553" s="65"/>
      <c r="H553" s="65"/>
      <c r="J553" s="65"/>
      <c r="K553" s="65"/>
      <c r="L553" s="65"/>
    </row>
    <row r="554" ht="15.75" customHeight="1">
      <c r="C554" s="65"/>
      <c r="D554" s="65"/>
      <c r="E554" s="65"/>
      <c r="F554" s="65"/>
      <c r="H554" s="65"/>
      <c r="J554" s="65"/>
      <c r="K554" s="65"/>
      <c r="L554" s="65"/>
    </row>
    <row r="555" ht="15.75" customHeight="1">
      <c r="C555" s="65"/>
      <c r="D555" s="65"/>
      <c r="E555" s="65"/>
      <c r="F555" s="65"/>
      <c r="H555" s="65"/>
      <c r="J555" s="65"/>
      <c r="K555" s="65"/>
      <c r="L555" s="65"/>
    </row>
    <row r="556" ht="15.75" customHeight="1">
      <c r="C556" s="65"/>
      <c r="D556" s="65"/>
      <c r="E556" s="65"/>
      <c r="F556" s="65"/>
      <c r="H556" s="65"/>
      <c r="J556" s="65"/>
      <c r="K556" s="65"/>
      <c r="L556" s="65"/>
    </row>
    <row r="557" ht="15.75" customHeight="1">
      <c r="C557" s="65"/>
      <c r="D557" s="65"/>
      <c r="E557" s="65"/>
      <c r="F557" s="65"/>
      <c r="H557" s="65"/>
      <c r="J557" s="65"/>
      <c r="K557" s="65"/>
      <c r="L557" s="65"/>
    </row>
    <row r="558" ht="15.75" customHeight="1">
      <c r="C558" s="65"/>
      <c r="D558" s="65"/>
      <c r="E558" s="65"/>
      <c r="F558" s="65"/>
      <c r="H558" s="65"/>
      <c r="J558" s="65"/>
      <c r="K558" s="65"/>
      <c r="L558" s="65"/>
    </row>
    <row r="559" ht="15.75" customHeight="1">
      <c r="C559" s="65"/>
      <c r="D559" s="65"/>
      <c r="E559" s="65"/>
      <c r="F559" s="65"/>
      <c r="H559" s="65"/>
      <c r="J559" s="65"/>
      <c r="K559" s="65"/>
      <c r="L559" s="65"/>
    </row>
    <row r="560" ht="15.75" customHeight="1">
      <c r="C560" s="65"/>
      <c r="D560" s="65"/>
      <c r="E560" s="65"/>
      <c r="F560" s="65"/>
      <c r="H560" s="65"/>
      <c r="J560" s="65"/>
      <c r="K560" s="65"/>
      <c r="L560" s="65"/>
    </row>
    <row r="561" ht="15.75" customHeight="1">
      <c r="C561" s="65"/>
      <c r="D561" s="65"/>
      <c r="E561" s="65"/>
      <c r="F561" s="65"/>
      <c r="H561" s="65"/>
      <c r="J561" s="65"/>
      <c r="K561" s="65"/>
      <c r="L561" s="65"/>
    </row>
    <row r="562" ht="15.75" customHeight="1">
      <c r="C562" s="65"/>
      <c r="D562" s="65"/>
      <c r="E562" s="65"/>
      <c r="F562" s="65"/>
      <c r="H562" s="65"/>
      <c r="J562" s="65"/>
      <c r="K562" s="65"/>
      <c r="L562" s="65"/>
    </row>
    <row r="563" ht="15.75" customHeight="1">
      <c r="C563" s="65"/>
      <c r="D563" s="65"/>
      <c r="E563" s="65"/>
      <c r="F563" s="65"/>
      <c r="H563" s="65"/>
      <c r="J563" s="65"/>
      <c r="K563" s="65"/>
      <c r="L563" s="65"/>
    </row>
    <row r="564" ht="15.75" customHeight="1">
      <c r="C564" s="65"/>
      <c r="D564" s="65"/>
      <c r="E564" s="65"/>
      <c r="F564" s="65"/>
      <c r="H564" s="65"/>
      <c r="J564" s="65"/>
      <c r="K564" s="65"/>
      <c r="L564" s="65"/>
    </row>
    <row r="565" ht="15.75" customHeight="1">
      <c r="C565" s="65"/>
      <c r="D565" s="65"/>
      <c r="E565" s="65"/>
      <c r="F565" s="65"/>
      <c r="H565" s="65"/>
      <c r="J565" s="65"/>
      <c r="K565" s="65"/>
      <c r="L565" s="65"/>
    </row>
    <row r="566" ht="15.75" customHeight="1">
      <c r="C566" s="65"/>
      <c r="D566" s="65"/>
      <c r="E566" s="65"/>
      <c r="F566" s="65"/>
      <c r="H566" s="65"/>
      <c r="J566" s="65"/>
      <c r="K566" s="65"/>
      <c r="L566" s="65"/>
    </row>
    <row r="567" ht="15.75" customHeight="1">
      <c r="C567" s="65"/>
      <c r="D567" s="65"/>
      <c r="E567" s="65"/>
      <c r="F567" s="65"/>
      <c r="H567" s="65"/>
      <c r="J567" s="65"/>
      <c r="K567" s="65"/>
      <c r="L567" s="65"/>
    </row>
    <row r="568" ht="15.75" customHeight="1">
      <c r="C568" s="65"/>
      <c r="D568" s="65"/>
      <c r="E568" s="65"/>
      <c r="F568" s="65"/>
      <c r="H568" s="65"/>
      <c r="J568" s="65"/>
      <c r="K568" s="65"/>
      <c r="L568" s="65"/>
    </row>
    <row r="569" ht="15.75" customHeight="1">
      <c r="C569" s="65"/>
      <c r="D569" s="65"/>
      <c r="E569" s="65"/>
      <c r="F569" s="65"/>
      <c r="H569" s="65"/>
      <c r="J569" s="65"/>
      <c r="K569" s="65"/>
      <c r="L569" s="65"/>
    </row>
    <row r="570" ht="15.75" customHeight="1">
      <c r="C570" s="65"/>
      <c r="D570" s="65"/>
      <c r="E570" s="65"/>
      <c r="F570" s="65"/>
      <c r="H570" s="65"/>
      <c r="J570" s="65"/>
      <c r="K570" s="65"/>
      <c r="L570" s="65"/>
    </row>
    <row r="571" ht="15.75" customHeight="1">
      <c r="C571" s="65"/>
      <c r="D571" s="65"/>
      <c r="E571" s="65"/>
      <c r="F571" s="65"/>
      <c r="H571" s="65"/>
      <c r="J571" s="65"/>
      <c r="K571" s="65"/>
      <c r="L571" s="65"/>
    </row>
    <row r="572" ht="15.75" customHeight="1">
      <c r="C572" s="65"/>
      <c r="D572" s="65"/>
      <c r="E572" s="65"/>
      <c r="F572" s="65"/>
      <c r="H572" s="65"/>
      <c r="J572" s="65"/>
      <c r="K572" s="65"/>
      <c r="L572" s="65"/>
    </row>
    <row r="573" ht="15.75" customHeight="1">
      <c r="C573" s="65"/>
      <c r="D573" s="65"/>
      <c r="E573" s="65"/>
      <c r="F573" s="65"/>
      <c r="H573" s="65"/>
      <c r="J573" s="65"/>
      <c r="K573" s="65"/>
      <c r="L573" s="65"/>
    </row>
    <row r="574" ht="15.75" customHeight="1">
      <c r="C574" s="65"/>
      <c r="D574" s="65"/>
      <c r="E574" s="65"/>
      <c r="F574" s="65"/>
      <c r="H574" s="65"/>
      <c r="J574" s="65"/>
      <c r="K574" s="65"/>
      <c r="L574" s="65"/>
    </row>
    <row r="575" ht="15.75" customHeight="1">
      <c r="C575" s="65"/>
      <c r="D575" s="65"/>
      <c r="E575" s="65"/>
      <c r="F575" s="65"/>
      <c r="H575" s="65"/>
      <c r="J575" s="65"/>
      <c r="K575" s="65"/>
      <c r="L575" s="65"/>
    </row>
    <row r="576" ht="15.75" customHeight="1">
      <c r="C576" s="65"/>
      <c r="D576" s="65"/>
      <c r="E576" s="65"/>
      <c r="F576" s="65"/>
      <c r="H576" s="65"/>
      <c r="J576" s="65"/>
      <c r="K576" s="65"/>
      <c r="L576" s="65"/>
    </row>
    <row r="577" ht="15.75" customHeight="1">
      <c r="C577" s="65"/>
      <c r="D577" s="65"/>
      <c r="E577" s="65"/>
      <c r="F577" s="65"/>
      <c r="H577" s="65"/>
      <c r="J577" s="65"/>
      <c r="K577" s="65"/>
      <c r="L577" s="65"/>
    </row>
    <row r="578" ht="15.75" customHeight="1">
      <c r="C578" s="65"/>
      <c r="D578" s="65"/>
      <c r="E578" s="65"/>
      <c r="F578" s="65"/>
      <c r="H578" s="65"/>
      <c r="J578" s="65"/>
      <c r="K578" s="65"/>
      <c r="L578" s="65"/>
    </row>
    <row r="579" ht="15.75" customHeight="1">
      <c r="C579" s="65"/>
      <c r="D579" s="65"/>
      <c r="E579" s="65"/>
      <c r="F579" s="65"/>
      <c r="H579" s="65"/>
      <c r="J579" s="65"/>
      <c r="K579" s="65"/>
      <c r="L579" s="65"/>
    </row>
    <row r="580" ht="15.75" customHeight="1">
      <c r="C580" s="65"/>
      <c r="D580" s="65"/>
      <c r="E580" s="65"/>
      <c r="F580" s="65"/>
      <c r="H580" s="65"/>
      <c r="J580" s="65"/>
      <c r="K580" s="65"/>
      <c r="L580" s="65"/>
    </row>
    <row r="581" ht="15.75" customHeight="1">
      <c r="C581" s="65"/>
      <c r="D581" s="65"/>
      <c r="E581" s="65"/>
      <c r="F581" s="65"/>
      <c r="H581" s="65"/>
      <c r="J581" s="65"/>
      <c r="K581" s="65"/>
      <c r="L581" s="65"/>
    </row>
    <row r="582" ht="15.75" customHeight="1">
      <c r="C582" s="65"/>
      <c r="D582" s="65"/>
      <c r="E582" s="65"/>
      <c r="F582" s="65"/>
      <c r="H582" s="65"/>
      <c r="J582" s="65"/>
      <c r="K582" s="65"/>
      <c r="L582" s="65"/>
    </row>
    <row r="583" ht="15.75" customHeight="1">
      <c r="C583" s="65"/>
      <c r="D583" s="65"/>
      <c r="E583" s="65"/>
      <c r="F583" s="65"/>
      <c r="H583" s="65"/>
      <c r="J583" s="65"/>
      <c r="K583" s="65"/>
      <c r="L583" s="65"/>
    </row>
    <row r="584" ht="15.75" customHeight="1">
      <c r="C584" s="65"/>
      <c r="D584" s="65"/>
      <c r="E584" s="65"/>
      <c r="F584" s="65"/>
      <c r="H584" s="65"/>
      <c r="J584" s="65"/>
      <c r="K584" s="65"/>
      <c r="L584" s="65"/>
    </row>
    <row r="585" ht="15.75" customHeight="1">
      <c r="C585" s="65"/>
      <c r="D585" s="65"/>
      <c r="E585" s="65"/>
      <c r="F585" s="65"/>
      <c r="H585" s="65"/>
      <c r="J585" s="65"/>
      <c r="K585" s="65"/>
      <c r="L585" s="65"/>
    </row>
    <row r="586" ht="15.75" customHeight="1">
      <c r="C586" s="65"/>
      <c r="D586" s="65"/>
      <c r="E586" s="65"/>
      <c r="F586" s="65"/>
      <c r="H586" s="65"/>
      <c r="J586" s="65"/>
      <c r="K586" s="65"/>
      <c r="L586" s="65"/>
    </row>
    <row r="587" ht="15.75" customHeight="1">
      <c r="C587" s="65"/>
      <c r="D587" s="65"/>
      <c r="E587" s="65"/>
      <c r="F587" s="65"/>
      <c r="H587" s="65"/>
      <c r="J587" s="65"/>
      <c r="K587" s="65"/>
      <c r="L587" s="65"/>
    </row>
    <row r="588" ht="15.75" customHeight="1">
      <c r="C588" s="65"/>
      <c r="D588" s="65"/>
      <c r="E588" s="65"/>
      <c r="F588" s="65"/>
      <c r="H588" s="65"/>
      <c r="J588" s="65"/>
      <c r="K588" s="65"/>
      <c r="L588" s="65"/>
    </row>
    <row r="589" ht="15.75" customHeight="1">
      <c r="C589" s="65"/>
      <c r="D589" s="65"/>
      <c r="E589" s="65"/>
      <c r="F589" s="65"/>
      <c r="H589" s="65"/>
      <c r="J589" s="65"/>
      <c r="K589" s="65"/>
      <c r="L589" s="65"/>
    </row>
    <row r="590" ht="15.75" customHeight="1">
      <c r="C590" s="65"/>
      <c r="D590" s="65"/>
      <c r="E590" s="65"/>
      <c r="F590" s="65"/>
      <c r="H590" s="65"/>
      <c r="J590" s="65"/>
      <c r="K590" s="65"/>
      <c r="L590" s="65"/>
    </row>
    <row r="591" ht="15.75" customHeight="1">
      <c r="C591" s="65"/>
      <c r="D591" s="65"/>
      <c r="E591" s="65"/>
      <c r="F591" s="65"/>
      <c r="H591" s="65"/>
      <c r="J591" s="65"/>
      <c r="K591" s="65"/>
      <c r="L591" s="65"/>
    </row>
    <row r="592" ht="15.75" customHeight="1">
      <c r="C592" s="65"/>
      <c r="D592" s="65"/>
      <c r="E592" s="65"/>
      <c r="F592" s="65"/>
      <c r="H592" s="65"/>
      <c r="J592" s="65"/>
      <c r="K592" s="65"/>
      <c r="L592" s="65"/>
    </row>
    <row r="593" ht="15.75" customHeight="1">
      <c r="C593" s="65"/>
      <c r="D593" s="65"/>
      <c r="E593" s="65"/>
      <c r="F593" s="65"/>
      <c r="H593" s="65"/>
      <c r="J593" s="65"/>
      <c r="K593" s="65"/>
      <c r="L593" s="65"/>
    </row>
    <row r="594" ht="15.75" customHeight="1">
      <c r="C594" s="65"/>
      <c r="D594" s="65"/>
      <c r="E594" s="65"/>
      <c r="F594" s="65"/>
      <c r="H594" s="65"/>
      <c r="J594" s="65"/>
      <c r="K594" s="65"/>
      <c r="L594" s="65"/>
    </row>
    <row r="595" ht="15.75" customHeight="1">
      <c r="C595" s="65"/>
      <c r="D595" s="65"/>
      <c r="E595" s="65"/>
      <c r="F595" s="65"/>
      <c r="H595" s="65"/>
      <c r="J595" s="65"/>
      <c r="K595" s="65"/>
      <c r="L595" s="65"/>
    </row>
    <row r="596" ht="15.75" customHeight="1">
      <c r="C596" s="65"/>
      <c r="D596" s="65"/>
      <c r="E596" s="65"/>
      <c r="F596" s="65"/>
      <c r="H596" s="65"/>
      <c r="J596" s="65"/>
      <c r="K596" s="65"/>
      <c r="L596" s="65"/>
    </row>
    <row r="597" ht="15.75" customHeight="1">
      <c r="C597" s="65"/>
      <c r="D597" s="65"/>
      <c r="E597" s="65"/>
      <c r="F597" s="65"/>
      <c r="H597" s="65"/>
      <c r="J597" s="65"/>
      <c r="K597" s="65"/>
      <c r="L597" s="65"/>
    </row>
    <row r="598" ht="15.75" customHeight="1">
      <c r="C598" s="65"/>
      <c r="D598" s="65"/>
      <c r="E598" s="65"/>
      <c r="F598" s="65"/>
      <c r="H598" s="65"/>
      <c r="J598" s="65"/>
      <c r="K598" s="65"/>
      <c r="L598" s="65"/>
    </row>
    <row r="599" ht="15.75" customHeight="1">
      <c r="C599" s="65"/>
      <c r="D599" s="65"/>
      <c r="E599" s="65"/>
      <c r="F599" s="65"/>
      <c r="H599" s="65"/>
      <c r="J599" s="65"/>
      <c r="K599" s="65"/>
      <c r="L599" s="65"/>
    </row>
    <row r="600" ht="15.75" customHeight="1">
      <c r="C600" s="65"/>
      <c r="D600" s="65"/>
      <c r="E600" s="65"/>
      <c r="F600" s="65"/>
      <c r="H600" s="65"/>
      <c r="J600" s="65"/>
      <c r="K600" s="65"/>
      <c r="L600" s="65"/>
    </row>
    <row r="601" ht="15.75" customHeight="1">
      <c r="C601" s="65"/>
      <c r="D601" s="65"/>
      <c r="E601" s="65"/>
      <c r="F601" s="65"/>
      <c r="H601" s="65"/>
      <c r="J601" s="65"/>
      <c r="K601" s="65"/>
      <c r="L601" s="65"/>
    </row>
    <row r="602" ht="15.75" customHeight="1">
      <c r="C602" s="65"/>
      <c r="D602" s="65"/>
      <c r="E602" s="65"/>
      <c r="F602" s="65"/>
      <c r="H602" s="65"/>
      <c r="J602" s="65"/>
      <c r="K602" s="65"/>
      <c r="L602" s="65"/>
    </row>
    <row r="603" ht="15.75" customHeight="1">
      <c r="C603" s="65"/>
      <c r="D603" s="65"/>
      <c r="E603" s="65"/>
      <c r="F603" s="65"/>
      <c r="H603" s="65"/>
      <c r="J603" s="65"/>
      <c r="K603" s="65"/>
      <c r="L603" s="65"/>
    </row>
    <row r="604" ht="15.75" customHeight="1">
      <c r="C604" s="65"/>
      <c r="D604" s="65"/>
      <c r="E604" s="65"/>
      <c r="F604" s="65"/>
      <c r="H604" s="65"/>
      <c r="J604" s="65"/>
      <c r="K604" s="65"/>
      <c r="L604" s="65"/>
    </row>
    <row r="605" ht="15.75" customHeight="1">
      <c r="C605" s="65"/>
      <c r="D605" s="65"/>
      <c r="E605" s="65"/>
      <c r="F605" s="65"/>
      <c r="H605" s="65"/>
      <c r="J605" s="65"/>
      <c r="K605" s="65"/>
      <c r="L605" s="65"/>
    </row>
    <row r="606" ht="15.75" customHeight="1">
      <c r="C606" s="65"/>
      <c r="D606" s="65"/>
      <c r="E606" s="65"/>
      <c r="F606" s="65"/>
      <c r="H606" s="65"/>
      <c r="J606" s="65"/>
      <c r="K606" s="65"/>
      <c r="L606" s="65"/>
    </row>
    <row r="607" ht="15.75" customHeight="1">
      <c r="C607" s="65"/>
      <c r="D607" s="65"/>
      <c r="E607" s="65"/>
      <c r="F607" s="65"/>
      <c r="H607" s="65"/>
      <c r="J607" s="65"/>
      <c r="K607" s="65"/>
      <c r="L607" s="65"/>
    </row>
    <row r="608" ht="15.75" customHeight="1">
      <c r="C608" s="65"/>
      <c r="D608" s="65"/>
      <c r="E608" s="65"/>
      <c r="F608" s="65"/>
      <c r="H608" s="65"/>
      <c r="J608" s="65"/>
      <c r="K608" s="65"/>
      <c r="L608" s="65"/>
    </row>
    <row r="609" ht="15.75" customHeight="1">
      <c r="C609" s="65"/>
      <c r="D609" s="65"/>
      <c r="E609" s="65"/>
      <c r="F609" s="65"/>
      <c r="H609" s="65"/>
      <c r="J609" s="65"/>
      <c r="K609" s="65"/>
      <c r="L609" s="65"/>
    </row>
    <row r="610" ht="15.75" customHeight="1">
      <c r="C610" s="65"/>
      <c r="D610" s="65"/>
      <c r="E610" s="65"/>
      <c r="F610" s="65"/>
      <c r="H610" s="65"/>
      <c r="J610" s="65"/>
      <c r="K610" s="65"/>
      <c r="L610" s="65"/>
    </row>
    <row r="611" ht="15.75" customHeight="1">
      <c r="C611" s="65"/>
      <c r="D611" s="65"/>
      <c r="E611" s="65"/>
      <c r="F611" s="65"/>
      <c r="H611" s="65"/>
      <c r="J611" s="65"/>
      <c r="K611" s="65"/>
      <c r="L611" s="65"/>
    </row>
    <row r="612" ht="15.75" customHeight="1">
      <c r="C612" s="65"/>
      <c r="D612" s="65"/>
      <c r="E612" s="65"/>
      <c r="F612" s="65"/>
      <c r="H612" s="65"/>
      <c r="J612" s="65"/>
      <c r="K612" s="65"/>
      <c r="L612" s="65"/>
    </row>
    <row r="613" ht="15.75" customHeight="1">
      <c r="C613" s="65"/>
      <c r="D613" s="65"/>
      <c r="E613" s="65"/>
      <c r="F613" s="65"/>
      <c r="H613" s="65"/>
      <c r="J613" s="65"/>
      <c r="K613" s="65"/>
      <c r="L613" s="65"/>
    </row>
    <row r="614" ht="15.75" customHeight="1">
      <c r="C614" s="65"/>
      <c r="D614" s="65"/>
      <c r="E614" s="65"/>
      <c r="F614" s="65"/>
      <c r="H614" s="65"/>
      <c r="J614" s="65"/>
      <c r="K614" s="65"/>
      <c r="L614" s="65"/>
    </row>
    <row r="615" ht="15.75" customHeight="1">
      <c r="C615" s="65"/>
      <c r="D615" s="65"/>
      <c r="E615" s="65"/>
      <c r="F615" s="65"/>
      <c r="H615" s="65"/>
      <c r="J615" s="65"/>
      <c r="K615" s="65"/>
      <c r="L615" s="65"/>
    </row>
    <row r="616" ht="15.75" customHeight="1">
      <c r="C616" s="65"/>
      <c r="D616" s="65"/>
      <c r="E616" s="65"/>
      <c r="F616" s="65"/>
      <c r="H616" s="65"/>
      <c r="J616" s="65"/>
      <c r="K616" s="65"/>
      <c r="L616" s="65"/>
    </row>
    <row r="617" ht="15.75" customHeight="1">
      <c r="C617" s="65"/>
      <c r="D617" s="65"/>
      <c r="E617" s="65"/>
      <c r="F617" s="65"/>
      <c r="H617" s="65"/>
      <c r="J617" s="65"/>
      <c r="K617" s="65"/>
      <c r="L617" s="65"/>
    </row>
    <row r="618" ht="15.75" customHeight="1">
      <c r="C618" s="65"/>
      <c r="D618" s="65"/>
      <c r="E618" s="65"/>
      <c r="F618" s="65"/>
      <c r="H618" s="65"/>
      <c r="J618" s="65"/>
      <c r="K618" s="65"/>
      <c r="L618" s="65"/>
    </row>
    <row r="619" ht="15.75" customHeight="1">
      <c r="C619" s="65"/>
      <c r="D619" s="65"/>
      <c r="E619" s="65"/>
      <c r="F619" s="65"/>
      <c r="H619" s="65"/>
      <c r="J619" s="65"/>
      <c r="K619" s="65"/>
      <c r="L619" s="65"/>
    </row>
    <row r="620" ht="15.75" customHeight="1">
      <c r="C620" s="65"/>
      <c r="D620" s="65"/>
      <c r="E620" s="65"/>
      <c r="F620" s="65"/>
      <c r="H620" s="65"/>
      <c r="J620" s="65"/>
      <c r="K620" s="65"/>
      <c r="L620" s="65"/>
    </row>
    <row r="621" ht="15.75" customHeight="1">
      <c r="C621" s="65"/>
      <c r="D621" s="65"/>
      <c r="E621" s="65"/>
      <c r="F621" s="65"/>
      <c r="H621" s="65"/>
      <c r="J621" s="65"/>
      <c r="K621" s="65"/>
      <c r="L621" s="65"/>
    </row>
    <row r="622" ht="15.75" customHeight="1">
      <c r="C622" s="65"/>
      <c r="D622" s="65"/>
      <c r="E622" s="65"/>
      <c r="F622" s="65"/>
      <c r="H622" s="65"/>
      <c r="J622" s="65"/>
      <c r="K622" s="65"/>
      <c r="L622" s="65"/>
    </row>
    <row r="623" ht="15.75" customHeight="1">
      <c r="C623" s="65"/>
      <c r="D623" s="65"/>
      <c r="E623" s="65"/>
      <c r="F623" s="65"/>
      <c r="H623" s="65"/>
      <c r="J623" s="65"/>
      <c r="K623" s="65"/>
      <c r="L623" s="65"/>
    </row>
    <row r="624" ht="15.75" customHeight="1">
      <c r="C624" s="65"/>
      <c r="D624" s="65"/>
      <c r="E624" s="65"/>
      <c r="F624" s="65"/>
      <c r="H624" s="65"/>
      <c r="J624" s="65"/>
      <c r="K624" s="65"/>
      <c r="L624" s="65"/>
    </row>
    <row r="625" ht="15.75" customHeight="1">
      <c r="C625" s="65"/>
      <c r="D625" s="65"/>
      <c r="E625" s="65"/>
      <c r="F625" s="65"/>
      <c r="H625" s="65"/>
      <c r="J625" s="65"/>
      <c r="K625" s="65"/>
      <c r="L625" s="65"/>
    </row>
    <row r="626" ht="15.75" customHeight="1">
      <c r="C626" s="65"/>
      <c r="D626" s="65"/>
      <c r="E626" s="65"/>
      <c r="F626" s="65"/>
      <c r="H626" s="65"/>
      <c r="J626" s="65"/>
      <c r="K626" s="65"/>
      <c r="L626" s="65"/>
    </row>
    <row r="627" ht="15.75" customHeight="1">
      <c r="C627" s="65"/>
      <c r="D627" s="65"/>
      <c r="E627" s="65"/>
      <c r="F627" s="65"/>
      <c r="H627" s="65"/>
      <c r="J627" s="65"/>
      <c r="K627" s="65"/>
      <c r="L627" s="65"/>
    </row>
    <row r="628" ht="15.75" customHeight="1">
      <c r="C628" s="65"/>
      <c r="D628" s="65"/>
      <c r="E628" s="65"/>
      <c r="F628" s="65"/>
      <c r="H628" s="65"/>
      <c r="J628" s="65"/>
      <c r="K628" s="65"/>
      <c r="L628" s="65"/>
    </row>
    <row r="629" ht="15.75" customHeight="1">
      <c r="C629" s="65"/>
      <c r="D629" s="65"/>
      <c r="E629" s="65"/>
      <c r="F629" s="65"/>
      <c r="H629" s="65"/>
      <c r="J629" s="65"/>
      <c r="K629" s="65"/>
      <c r="L629" s="65"/>
    </row>
    <row r="630" ht="15.75" customHeight="1">
      <c r="C630" s="65"/>
      <c r="D630" s="65"/>
      <c r="E630" s="65"/>
      <c r="F630" s="65"/>
      <c r="H630" s="65"/>
      <c r="J630" s="65"/>
      <c r="K630" s="65"/>
      <c r="L630" s="65"/>
    </row>
    <row r="631" ht="15.75" customHeight="1">
      <c r="C631" s="65"/>
      <c r="D631" s="65"/>
      <c r="E631" s="65"/>
      <c r="F631" s="65"/>
      <c r="H631" s="65"/>
      <c r="J631" s="65"/>
      <c r="K631" s="65"/>
      <c r="L631" s="65"/>
    </row>
    <row r="632" ht="15.75" customHeight="1">
      <c r="C632" s="65"/>
      <c r="D632" s="65"/>
      <c r="E632" s="65"/>
      <c r="F632" s="65"/>
      <c r="H632" s="65"/>
      <c r="J632" s="65"/>
      <c r="K632" s="65"/>
      <c r="L632" s="65"/>
    </row>
    <row r="633" ht="15.75" customHeight="1">
      <c r="C633" s="65"/>
      <c r="D633" s="65"/>
      <c r="E633" s="65"/>
      <c r="F633" s="65"/>
      <c r="H633" s="65"/>
      <c r="J633" s="65"/>
      <c r="K633" s="65"/>
      <c r="L633" s="65"/>
    </row>
    <row r="634" ht="15.75" customHeight="1">
      <c r="C634" s="65"/>
      <c r="D634" s="65"/>
      <c r="E634" s="65"/>
      <c r="F634" s="65"/>
      <c r="H634" s="65"/>
      <c r="J634" s="65"/>
      <c r="K634" s="65"/>
      <c r="L634" s="65"/>
    </row>
    <row r="635" ht="15.75" customHeight="1">
      <c r="C635" s="65"/>
      <c r="D635" s="65"/>
      <c r="E635" s="65"/>
      <c r="F635" s="65"/>
      <c r="H635" s="65"/>
      <c r="J635" s="65"/>
      <c r="K635" s="65"/>
      <c r="L635" s="65"/>
    </row>
    <row r="636" ht="15.75" customHeight="1">
      <c r="C636" s="65"/>
      <c r="D636" s="65"/>
      <c r="E636" s="65"/>
      <c r="F636" s="65"/>
      <c r="H636" s="65"/>
      <c r="J636" s="65"/>
      <c r="K636" s="65"/>
      <c r="L636" s="65"/>
    </row>
    <row r="637" ht="15.75" customHeight="1">
      <c r="C637" s="65"/>
      <c r="D637" s="65"/>
      <c r="E637" s="65"/>
      <c r="F637" s="65"/>
      <c r="H637" s="65"/>
      <c r="J637" s="65"/>
      <c r="K637" s="65"/>
      <c r="L637" s="65"/>
    </row>
    <row r="638" ht="15.75" customHeight="1">
      <c r="C638" s="65"/>
      <c r="D638" s="65"/>
      <c r="E638" s="65"/>
      <c r="F638" s="65"/>
      <c r="H638" s="65"/>
      <c r="J638" s="65"/>
      <c r="K638" s="65"/>
      <c r="L638" s="65"/>
    </row>
    <row r="639" ht="15.75" customHeight="1">
      <c r="C639" s="65"/>
      <c r="D639" s="65"/>
      <c r="E639" s="65"/>
      <c r="F639" s="65"/>
      <c r="H639" s="65"/>
      <c r="J639" s="65"/>
      <c r="K639" s="65"/>
      <c r="L639" s="65"/>
    </row>
    <row r="640" ht="15.75" customHeight="1">
      <c r="C640" s="65"/>
      <c r="D640" s="65"/>
      <c r="E640" s="65"/>
      <c r="F640" s="65"/>
      <c r="H640" s="65"/>
      <c r="J640" s="65"/>
      <c r="K640" s="65"/>
      <c r="L640" s="65"/>
    </row>
    <row r="641" ht="15.75" customHeight="1">
      <c r="C641" s="65"/>
      <c r="D641" s="65"/>
      <c r="E641" s="65"/>
      <c r="F641" s="65"/>
      <c r="H641" s="65"/>
      <c r="J641" s="65"/>
      <c r="K641" s="65"/>
      <c r="L641" s="65"/>
    </row>
    <row r="642" ht="15.75" customHeight="1">
      <c r="C642" s="65"/>
      <c r="D642" s="65"/>
      <c r="E642" s="65"/>
      <c r="F642" s="65"/>
      <c r="H642" s="65"/>
      <c r="J642" s="65"/>
      <c r="K642" s="65"/>
      <c r="L642" s="65"/>
    </row>
    <row r="643" ht="15.75" customHeight="1">
      <c r="C643" s="65"/>
      <c r="D643" s="65"/>
      <c r="E643" s="65"/>
      <c r="F643" s="65"/>
      <c r="H643" s="65"/>
      <c r="J643" s="65"/>
      <c r="K643" s="65"/>
      <c r="L643" s="65"/>
    </row>
    <row r="644" ht="15.75" customHeight="1">
      <c r="C644" s="65"/>
      <c r="D644" s="65"/>
      <c r="E644" s="65"/>
      <c r="F644" s="65"/>
      <c r="H644" s="65"/>
      <c r="J644" s="65"/>
      <c r="K644" s="65"/>
      <c r="L644" s="65"/>
    </row>
    <row r="645" ht="15.75" customHeight="1">
      <c r="C645" s="65"/>
      <c r="D645" s="65"/>
      <c r="E645" s="65"/>
      <c r="F645" s="65"/>
      <c r="H645" s="65"/>
      <c r="J645" s="65"/>
      <c r="K645" s="65"/>
      <c r="L645" s="65"/>
    </row>
    <row r="646" ht="15.75" customHeight="1">
      <c r="C646" s="65"/>
      <c r="D646" s="65"/>
      <c r="E646" s="65"/>
      <c r="F646" s="65"/>
      <c r="H646" s="65"/>
      <c r="J646" s="65"/>
      <c r="K646" s="65"/>
      <c r="L646" s="65"/>
    </row>
    <row r="647" ht="15.75" customHeight="1">
      <c r="C647" s="65"/>
      <c r="D647" s="65"/>
      <c r="E647" s="65"/>
      <c r="F647" s="65"/>
      <c r="H647" s="65"/>
      <c r="J647" s="65"/>
      <c r="K647" s="65"/>
      <c r="L647" s="65"/>
    </row>
    <row r="648" ht="15.75" customHeight="1">
      <c r="C648" s="65"/>
      <c r="D648" s="65"/>
      <c r="E648" s="65"/>
      <c r="F648" s="65"/>
      <c r="H648" s="65"/>
      <c r="J648" s="65"/>
      <c r="K648" s="65"/>
      <c r="L648" s="65"/>
    </row>
    <row r="649" ht="15.75" customHeight="1">
      <c r="C649" s="65"/>
      <c r="D649" s="65"/>
      <c r="E649" s="65"/>
      <c r="F649" s="65"/>
      <c r="H649" s="65"/>
      <c r="J649" s="65"/>
      <c r="K649" s="65"/>
      <c r="L649" s="65"/>
    </row>
    <row r="650" ht="15.75" customHeight="1">
      <c r="C650" s="65"/>
      <c r="D650" s="65"/>
      <c r="E650" s="65"/>
      <c r="F650" s="65"/>
      <c r="H650" s="65"/>
      <c r="J650" s="65"/>
      <c r="K650" s="65"/>
      <c r="L650" s="65"/>
    </row>
    <row r="651" ht="15.75" customHeight="1">
      <c r="C651" s="65"/>
      <c r="D651" s="65"/>
      <c r="E651" s="65"/>
      <c r="F651" s="65"/>
      <c r="H651" s="65"/>
      <c r="J651" s="65"/>
      <c r="K651" s="65"/>
      <c r="L651" s="65"/>
    </row>
    <row r="652" ht="15.75" customHeight="1">
      <c r="C652" s="65"/>
      <c r="D652" s="65"/>
      <c r="E652" s="65"/>
      <c r="F652" s="65"/>
      <c r="H652" s="65"/>
      <c r="J652" s="65"/>
      <c r="K652" s="65"/>
      <c r="L652" s="65"/>
    </row>
    <row r="653" ht="15.75" customHeight="1">
      <c r="C653" s="65"/>
      <c r="D653" s="65"/>
      <c r="E653" s="65"/>
      <c r="F653" s="65"/>
      <c r="H653" s="65"/>
      <c r="J653" s="65"/>
      <c r="K653" s="65"/>
      <c r="L653" s="65"/>
    </row>
    <row r="654" ht="15.75" customHeight="1">
      <c r="C654" s="65"/>
      <c r="D654" s="65"/>
      <c r="E654" s="65"/>
      <c r="F654" s="65"/>
      <c r="H654" s="65"/>
      <c r="J654" s="65"/>
      <c r="K654" s="65"/>
      <c r="L654" s="65"/>
    </row>
    <row r="655" ht="15.75" customHeight="1">
      <c r="C655" s="65"/>
      <c r="D655" s="65"/>
      <c r="E655" s="65"/>
      <c r="F655" s="65"/>
      <c r="H655" s="65"/>
      <c r="J655" s="65"/>
      <c r="K655" s="65"/>
      <c r="L655" s="65"/>
    </row>
    <row r="656" ht="15.75" customHeight="1">
      <c r="C656" s="65"/>
      <c r="D656" s="65"/>
      <c r="E656" s="65"/>
      <c r="F656" s="65"/>
      <c r="H656" s="65"/>
      <c r="J656" s="65"/>
      <c r="K656" s="65"/>
      <c r="L656" s="65"/>
    </row>
    <row r="657" ht="15.75" customHeight="1">
      <c r="C657" s="65"/>
      <c r="D657" s="65"/>
      <c r="E657" s="65"/>
      <c r="F657" s="65"/>
      <c r="H657" s="65"/>
      <c r="J657" s="65"/>
      <c r="K657" s="65"/>
      <c r="L657" s="65"/>
    </row>
    <row r="658" ht="15.75" customHeight="1">
      <c r="C658" s="65"/>
      <c r="D658" s="65"/>
      <c r="E658" s="65"/>
      <c r="F658" s="65"/>
      <c r="H658" s="65"/>
      <c r="J658" s="65"/>
      <c r="K658" s="65"/>
      <c r="L658" s="65"/>
    </row>
    <row r="659" ht="15.75" customHeight="1">
      <c r="C659" s="65"/>
      <c r="D659" s="65"/>
      <c r="E659" s="65"/>
      <c r="F659" s="65"/>
      <c r="H659" s="65"/>
      <c r="J659" s="65"/>
      <c r="K659" s="65"/>
      <c r="L659" s="65"/>
    </row>
    <row r="660" ht="15.75" customHeight="1">
      <c r="C660" s="65"/>
      <c r="D660" s="65"/>
      <c r="E660" s="65"/>
      <c r="F660" s="65"/>
      <c r="H660" s="65"/>
      <c r="J660" s="65"/>
      <c r="K660" s="65"/>
      <c r="L660" s="65"/>
    </row>
    <row r="661" ht="15.75" customHeight="1">
      <c r="C661" s="65"/>
      <c r="D661" s="65"/>
      <c r="E661" s="65"/>
      <c r="F661" s="65"/>
      <c r="H661" s="65"/>
      <c r="J661" s="65"/>
      <c r="K661" s="65"/>
      <c r="L661" s="65"/>
    </row>
    <row r="662" ht="15.75" customHeight="1">
      <c r="C662" s="65"/>
      <c r="D662" s="65"/>
      <c r="E662" s="65"/>
      <c r="F662" s="65"/>
      <c r="H662" s="65"/>
      <c r="J662" s="65"/>
      <c r="K662" s="65"/>
      <c r="L662" s="65"/>
    </row>
    <row r="663" ht="15.75" customHeight="1">
      <c r="C663" s="65"/>
      <c r="D663" s="65"/>
      <c r="E663" s="65"/>
      <c r="F663" s="65"/>
      <c r="H663" s="65"/>
      <c r="J663" s="65"/>
      <c r="K663" s="65"/>
      <c r="L663" s="65"/>
    </row>
    <row r="664" ht="15.75" customHeight="1">
      <c r="C664" s="65"/>
      <c r="D664" s="65"/>
      <c r="E664" s="65"/>
      <c r="F664" s="65"/>
      <c r="H664" s="65"/>
      <c r="J664" s="65"/>
      <c r="K664" s="65"/>
      <c r="L664" s="65"/>
    </row>
    <row r="665" ht="15.75" customHeight="1">
      <c r="C665" s="65"/>
      <c r="D665" s="65"/>
      <c r="E665" s="65"/>
      <c r="F665" s="65"/>
      <c r="H665" s="65"/>
      <c r="J665" s="65"/>
      <c r="K665" s="65"/>
      <c r="L665" s="65"/>
    </row>
    <row r="666" ht="15.75" customHeight="1">
      <c r="C666" s="65"/>
      <c r="D666" s="65"/>
      <c r="E666" s="65"/>
      <c r="F666" s="65"/>
      <c r="H666" s="65"/>
      <c r="J666" s="65"/>
      <c r="K666" s="65"/>
      <c r="L666" s="65"/>
    </row>
    <row r="667" ht="15.75" customHeight="1">
      <c r="C667" s="65"/>
      <c r="D667" s="65"/>
      <c r="E667" s="65"/>
      <c r="F667" s="65"/>
      <c r="H667" s="65"/>
      <c r="J667" s="65"/>
      <c r="K667" s="65"/>
      <c r="L667" s="65"/>
    </row>
    <row r="668" ht="15.75" customHeight="1">
      <c r="C668" s="65"/>
      <c r="D668" s="65"/>
      <c r="E668" s="65"/>
      <c r="F668" s="65"/>
      <c r="H668" s="65"/>
      <c r="J668" s="65"/>
      <c r="K668" s="65"/>
      <c r="L668" s="65"/>
    </row>
    <row r="669" ht="15.75" customHeight="1">
      <c r="C669" s="65"/>
      <c r="D669" s="65"/>
      <c r="E669" s="65"/>
      <c r="F669" s="65"/>
      <c r="H669" s="65"/>
      <c r="J669" s="65"/>
      <c r="K669" s="65"/>
      <c r="L669" s="65"/>
    </row>
    <row r="670" ht="15.75" customHeight="1">
      <c r="C670" s="65"/>
      <c r="D670" s="65"/>
      <c r="E670" s="65"/>
      <c r="F670" s="65"/>
      <c r="H670" s="65"/>
      <c r="J670" s="65"/>
      <c r="K670" s="65"/>
      <c r="L670" s="65"/>
    </row>
    <row r="671" ht="15.75" customHeight="1">
      <c r="C671" s="65"/>
      <c r="D671" s="65"/>
      <c r="E671" s="65"/>
      <c r="F671" s="65"/>
      <c r="H671" s="65"/>
      <c r="J671" s="65"/>
      <c r="K671" s="65"/>
      <c r="L671" s="65"/>
    </row>
    <row r="672" ht="15.75" customHeight="1">
      <c r="C672" s="65"/>
      <c r="D672" s="65"/>
      <c r="E672" s="65"/>
      <c r="F672" s="65"/>
      <c r="H672" s="65"/>
      <c r="J672" s="65"/>
      <c r="K672" s="65"/>
      <c r="L672" s="65"/>
    </row>
    <row r="673" ht="15.75" customHeight="1">
      <c r="C673" s="65"/>
      <c r="D673" s="65"/>
      <c r="E673" s="65"/>
      <c r="F673" s="65"/>
      <c r="H673" s="65"/>
      <c r="J673" s="65"/>
      <c r="K673" s="65"/>
      <c r="L673" s="65"/>
    </row>
    <row r="674" ht="15.75" customHeight="1">
      <c r="C674" s="65"/>
      <c r="D674" s="65"/>
      <c r="E674" s="65"/>
      <c r="F674" s="65"/>
      <c r="H674" s="65"/>
      <c r="J674" s="65"/>
      <c r="K674" s="65"/>
      <c r="L674" s="65"/>
    </row>
    <row r="675" ht="15.75" customHeight="1">
      <c r="C675" s="65"/>
      <c r="D675" s="65"/>
      <c r="E675" s="65"/>
      <c r="F675" s="65"/>
      <c r="H675" s="65"/>
      <c r="J675" s="65"/>
      <c r="K675" s="65"/>
      <c r="L675" s="65"/>
    </row>
    <row r="676" ht="15.75" customHeight="1">
      <c r="C676" s="65"/>
      <c r="D676" s="65"/>
      <c r="E676" s="65"/>
      <c r="F676" s="65"/>
      <c r="H676" s="65"/>
      <c r="J676" s="65"/>
      <c r="K676" s="65"/>
      <c r="L676" s="65"/>
    </row>
    <row r="677" ht="15.75" customHeight="1">
      <c r="C677" s="65"/>
      <c r="D677" s="65"/>
      <c r="E677" s="65"/>
      <c r="F677" s="65"/>
      <c r="H677" s="65"/>
      <c r="J677" s="65"/>
      <c r="K677" s="65"/>
      <c r="L677" s="65"/>
    </row>
    <row r="678" ht="15.75" customHeight="1">
      <c r="C678" s="65"/>
      <c r="D678" s="65"/>
      <c r="E678" s="65"/>
      <c r="F678" s="65"/>
      <c r="H678" s="65"/>
      <c r="J678" s="65"/>
      <c r="K678" s="65"/>
      <c r="L678" s="65"/>
    </row>
    <row r="679" ht="15.75" customHeight="1">
      <c r="C679" s="65"/>
      <c r="D679" s="65"/>
      <c r="E679" s="65"/>
      <c r="F679" s="65"/>
      <c r="H679" s="65"/>
      <c r="J679" s="65"/>
      <c r="K679" s="65"/>
      <c r="L679" s="65"/>
    </row>
    <row r="680" ht="15.75" customHeight="1">
      <c r="C680" s="65"/>
      <c r="D680" s="65"/>
      <c r="E680" s="65"/>
      <c r="F680" s="65"/>
      <c r="H680" s="65"/>
      <c r="J680" s="65"/>
      <c r="K680" s="65"/>
      <c r="L680" s="65"/>
    </row>
    <row r="681" ht="15.75" customHeight="1">
      <c r="C681" s="65"/>
      <c r="D681" s="65"/>
      <c r="E681" s="65"/>
      <c r="F681" s="65"/>
      <c r="H681" s="65"/>
      <c r="J681" s="65"/>
      <c r="K681" s="65"/>
      <c r="L681" s="65"/>
    </row>
    <row r="682" ht="15.75" customHeight="1">
      <c r="C682" s="65"/>
      <c r="D682" s="65"/>
      <c r="E682" s="65"/>
      <c r="F682" s="65"/>
      <c r="H682" s="65"/>
      <c r="J682" s="65"/>
      <c r="K682" s="65"/>
      <c r="L682" s="65"/>
    </row>
    <row r="683" ht="15.75" customHeight="1">
      <c r="C683" s="65"/>
      <c r="D683" s="65"/>
      <c r="E683" s="65"/>
      <c r="F683" s="65"/>
      <c r="H683" s="65"/>
      <c r="J683" s="65"/>
      <c r="K683" s="65"/>
      <c r="L683" s="65"/>
    </row>
    <row r="684" ht="15.75" customHeight="1">
      <c r="C684" s="65"/>
      <c r="D684" s="65"/>
      <c r="E684" s="65"/>
      <c r="F684" s="65"/>
      <c r="H684" s="65"/>
      <c r="J684" s="65"/>
      <c r="K684" s="65"/>
      <c r="L684" s="65"/>
    </row>
    <row r="685" ht="15.75" customHeight="1">
      <c r="C685" s="65"/>
      <c r="D685" s="65"/>
      <c r="E685" s="65"/>
      <c r="F685" s="65"/>
      <c r="H685" s="65"/>
      <c r="J685" s="65"/>
      <c r="K685" s="65"/>
      <c r="L685" s="65"/>
    </row>
    <row r="686" ht="15.75" customHeight="1">
      <c r="C686" s="65"/>
      <c r="D686" s="65"/>
      <c r="E686" s="65"/>
      <c r="F686" s="65"/>
      <c r="H686" s="65"/>
      <c r="J686" s="65"/>
      <c r="K686" s="65"/>
      <c r="L686" s="65"/>
    </row>
    <row r="687" ht="15.75" customHeight="1">
      <c r="C687" s="65"/>
      <c r="D687" s="65"/>
      <c r="E687" s="65"/>
      <c r="F687" s="65"/>
      <c r="H687" s="65"/>
      <c r="J687" s="65"/>
      <c r="K687" s="65"/>
      <c r="L687" s="65"/>
    </row>
    <row r="688" ht="15.75" customHeight="1">
      <c r="C688" s="65"/>
      <c r="D688" s="65"/>
      <c r="E688" s="65"/>
      <c r="F688" s="65"/>
      <c r="H688" s="65"/>
      <c r="J688" s="65"/>
      <c r="K688" s="65"/>
      <c r="L688" s="65"/>
    </row>
    <row r="689" ht="15.75" customHeight="1">
      <c r="C689" s="65"/>
      <c r="D689" s="65"/>
      <c r="E689" s="65"/>
      <c r="F689" s="65"/>
      <c r="H689" s="65"/>
      <c r="J689" s="65"/>
      <c r="K689" s="65"/>
      <c r="L689" s="65"/>
    </row>
    <row r="690" ht="15.75" customHeight="1">
      <c r="C690" s="65"/>
      <c r="D690" s="65"/>
      <c r="E690" s="65"/>
      <c r="F690" s="65"/>
      <c r="H690" s="65"/>
      <c r="J690" s="65"/>
      <c r="K690" s="65"/>
      <c r="L690" s="65"/>
    </row>
    <row r="691" ht="15.75" customHeight="1">
      <c r="C691" s="65"/>
      <c r="D691" s="65"/>
      <c r="E691" s="65"/>
      <c r="F691" s="65"/>
      <c r="H691" s="65"/>
      <c r="J691" s="65"/>
      <c r="K691" s="65"/>
      <c r="L691" s="65"/>
    </row>
    <row r="692" ht="15.75" customHeight="1">
      <c r="C692" s="65"/>
      <c r="D692" s="65"/>
      <c r="E692" s="65"/>
      <c r="F692" s="65"/>
      <c r="H692" s="65"/>
      <c r="J692" s="65"/>
      <c r="K692" s="65"/>
      <c r="L692" s="65"/>
    </row>
    <row r="693" ht="15.75" customHeight="1">
      <c r="C693" s="65"/>
      <c r="D693" s="65"/>
      <c r="E693" s="65"/>
      <c r="F693" s="65"/>
      <c r="H693" s="65"/>
      <c r="J693" s="65"/>
      <c r="K693" s="65"/>
      <c r="L693" s="65"/>
    </row>
    <row r="694" ht="15.75" customHeight="1">
      <c r="C694" s="65"/>
      <c r="D694" s="65"/>
      <c r="E694" s="65"/>
      <c r="F694" s="65"/>
      <c r="H694" s="65"/>
      <c r="J694" s="65"/>
      <c r="K694" s="65"/>
      <c r="L694" s="65"/>
    </row>
    <row r="695" ht="15.75" customHeight="1">
      <c r="C695" s="65"/>
      <c r="D695" s="65"/>
      <c r="E695" s="65"/>
      <c r="F695" s="65"/>
      <c r="H695" s="65"/>
      <c r="J695" s="65"/>
      <c r="K695" s="65"/>
      <c r="L695" s="65"/>
    </row>
    <row r="696" ht="15.75" customHeight="1">
      <c r="C696" s="65"/>
      <c r="D696" s="65"/>
      <c r="E696" s="65"/>
      <c r="F696" s="65"/>
      <c r="H696" s="65"/>
      <c r="J696" s="65"/>
      <c r="K696" s="65"/>
      <c r="L696" s="65"/>
    </row>
    <row r="697" ht="15.75" customHeight="1">
      <c r="C697" s="65"/>
      <c r="D697" s="65"/>
      <c r="E697" s="65"/>
      <c r="F697" s="65"/>
      <c r="H697" s="65"/>
      <c r="J697" s="65"/>
      <c r="K697" s="65"/>
      <c r="L697" s="65"/>
    </row>
    <row r="698" ht="15.75" customHeight="1">
      <c r="C698" s="65"/>
      <c r="D698" s="65"/>
      <c r="E698" s="65"/>
      <c r="F698" s="65"/>
      <c r="H698" s="65"/>
      <c r="J698" s="65"/>
      <c r="K698" s="65"/>
      <c r="L698" s="65"/>
    </row>
    <row r="699" ht="15.75" customHeight="1">
      <c r="C699" s="65"/>
      <c r="D699" s="65"/>
      <c r="E699" s="65"/>
      <c r="F699" s="65"/>
      <c r="H699" s="65"/>
      <c r="J699" s="65"/>
      <c r="K699" s="65"/>
      <c r="L699" s="65"/>
    </row>
    <row r="700" ht="15.75" customHeight="1">
      <c r="C700" s="65"/>
      <c r="D700" s="65"/>
      <c r="E700" s="65"/>
      <c r="F700" s="65"/>
      <c r="H700" s="65"/>
      <c r="J700" s="65"/>
      <c r="K700" s="65"/>
      <c r="L700" s="65"/>
    </row>
    <row r="701" ht="15.75" customHeight="1">
      <c r="C701" s="65"/>
      <c r="D701" s="65"/>
      <c r="E701" s="65"/>
      <c r="F701" s="65"/>
      <c r="H701" s="65"/>
      <c r="J701" s="65"/>
      <c r="K701" s="65"/>
      <c r="L701" s="65"/>
    </row>
    <row r="702" ht="15.75" customHeight="1">
      <c r="C702" s="65"/>
      <c r="D702" s="65"/>
      <c r="E702" s="65"/>
      <c r="F702" s="65"/>
      <c r="H702" s="65"/>
      <c r="J702" s="65"/>
      <c r="K702" s="65"/>
      <c r="L702" s="65"/>
    </row>
    <row r="703" ht="15.75" customHeight="1">
      <c r="C703" s="65"/>
      <c r="D703" s="65"/>
      <c r="E703" s="65"/>
      <c r="F703" s="65"/>
      <c r="H703" s="65"/>
      <c r="J703" s="65"/>
      <c r="K703" s="65"/>
      <c r="L703" s="65"/>
    </row>
    <row r="704" ht="15.75" customHeight="1">
      <c r="C704" s="65"/>
      <c r="D704" s="65"/>
      <c r="E704" s="65"/>
      <c r="F704" s="65"/>
      <c r="H704" s="65"/>
      <c r="J704" s="65"/>
      <c r="K704" s="65"/>
      <c r="L704" s="65"/>
    </row>
    <row r="705" ht="15.75" customHeight="1">
      <c r="C705" s="65"/>
      <c r="D705" s="65"/>
      <c r="E705" s="65"/>
      <c r="F705" s="65"/>
      <c r="H705" s="65"/>
      <c r="J705" s="65"/>
      <c r="K705" s="65"/>
      <c r="L705" s="65"/>
    </row>
    <row r="706" ht="15.75" customHeight="1">
      <c r="C706" s="65"/>
      <c r="D706" s="65"/>
      <c r="E706" s="65"/>
      <c r="F706" s="65"/>
      <c r="H706" s="65"/>
      <c r="J706" s="65"/>
      <c r="K706" s="65"/>
      <c r="L706" s="65"/>
    </row>
    <row r="707" ht="15.75" customHeight="1">
      <c r="C707" s="65"/>
      <c r="D707" s="65"/>
      <c r="E707" s="65"/>
      <c r="F707" s="65"/>
      <c r="H707" s="65"/>
      <c r="J707" s="65"/>
      <c r="K707" s="65"/>
      <c r="L707" s="65"/>
    </row>
    <row r="708" ht="15.75" customHeight="1">
      <c r="C708" s="65"/>
      <c r="D708" s="65"/>
      <c r="E708" s="65"/>
      <c r="F708" s="65"/>
      <c r="H708" s="65"/>
      <c r="J708" s="65"/>
      <c r="K708" s="65"/>
      <c r="L708" s="65"/>
    </row>
    <row r="709" ht="15.75" customHeight="1">
      <c r="C709" s="65"/>
      <c r="D709" s="65"/>
      <c r="E709" s="65"/>
      <c r="F709" s="65"/>
      <c r="H709" s="65"/>
      <c r="J709" s="65"/>
      <c r="K709" s="65"/>
      <c r="L709" s="65"/>
    </row>
    <row r="710" ht="15.75" customHeight="1">
      <c r="C710" s="65"/>
      <c r="D710" s="65"/>
      <c r="E710" s="65"/>
      <c r="F710" s="65"/>
      <c r="H710" s="65"/>
      <c r="J710" s="65"/>
      <c r="K710" s="65"/>
      <c r="L710" s="65"/>
    </row>
    <row r="711" ht="15.75" customHeight="1">
      <c r="C711" s="65"/>
      <c r="D711" s="65"/>
      <c r="E711" s="65"/>
      <c r="F711" s="65"/>
      <c r="H711" s="65"/>
      <c r="J711" s="65"/>
      <c r="K711" s="65"/>
      <c r="L711" s="65"/>
    </row>
    <row r="712" ht="15.75" customHeight="1">
      <c r="C712" s="65"/>
      <c r="D712" s="65"/>
      <c r="E712" s="65"/>
      <c r="F712" s="65"/>
      <c r="H712" s="65"/>
      <c r="J712" s="65"/>
      <c r="K712" s="65"/>
      <c r="L712" s="65"/>
    </row>
    <row r="713" ht="15.75" customHeight="1">
      <c r="C713" s="65"/>
      <c r="D713" s="65"/>
      <c r="E713" s="65"/>
      <c r="F713" s="65"/>
      <c r="H713" s="65"/>
      <c r="J713" s="65"/>
      <c r="K713" s="65"/>
      <c r="L713" s="65"/>
    </row>
    <row r="714" ht="15.75" customHeight="1">
      <c r="C714" s="65"/>
      <c r="D714" s="65"/>
      <c r="E714" s="65"/>
      <c r="F714" s="65"/>
      <c r="H714" s="65"/>
      <c r="J714" s="65"/>
      <c r="K714" s="65"/>
      <c r="L714" s="65"/>
    </row>
    <row r="715" ht="15.75" customHeight="1">
      <c r="C715" s="65"/>
      <c r="D715" s="65"/>
      <c r="E715" s="65"/>
      <c r="F715" s="65"/>
      <c r="H715" s="65"/>
      <c r="J715" s="65"/>
      <c r="K715" s="65"/>
      <c r="L715" s="65"/>
    </row>
    <row r="716" ht="15.75" customHeight="1">
      <c r="C716" s="65"/>
      <c r="D716" s="65"/>
      <c r="E716" s="65"/>
      <c r="F716" s="65"/>
      <c r="H716" s="65"/>
      <c r="J716" s="65"/>
      <c r="K716" s="65"/>
      <c r="L716" s="65"/>
    </row>
    <row r="717" ht="15.75" customHeight="1">
      <c r="C717" s="65"/>
      <c r="D717" s="65"/>
      <c r="E717" s="65"/>
      <c r="F717" s="65"/>
      <c r="H717" s="65"/>
      <c r="J717" s="65"/>
      <c r="K717" s="65"/>
      <c r="L717" s="65"/>
    </row>
    <row r="718" ht="15.75" customHeight="1">
      <c r="C718" s="65"/>
      <c r="D718" s="65"/>
      <c r="E718" s="65"/>
      <c r="F718" s="65"/>
      <c r="H718" s="65"/>
      <c r="J718" s="65"/>
      <c r="K718" s="65"/>
      <c r="L718" s="65"/>
    </row>
    <row r="719" ht="15.75" customHeight="1">
      <c r="C719" s="65"/>
      <c r="D719" s="65"/>
      <c r="E719" s="65"/>
      <c r="F719" s="65"/>
      <c r="H719" s="65"/>
      <c r="J719" s="65"/>
      <c r="K719" s="65"/>
      <c r="L719" s="65"/>
    </row>
    <row r="720" ht="15.75" customHeight="1">
      <c r="C720" s="65"/>
      <c r="D720" s="65"/>
      <c r="E720" s="65"/>
      <c r="F720" s="65"/>
      <c r="H720" s="65"/>
      <c r="J720" s="65"/>
      <c r="K720" s="65"/>
      <c r="L720" s="65"/>
    </row>
    <row r="721" ht="15.75" customHeight="1">
      <c r="C721" s="65"/>
      <c r="D721" s="65"/>
      <c r="E721" s="65"/>
      <c r="F721" s="65"/>
      <c r="H721" s="65"/>
      <c r="J721" s="65"/>
      <c r="K721" s="65"/>
      <c r="L721" s="65"/>
    </row>
    <row r="722" ht="15.75" customHeight="1">
      <c r="C722" s="65"/>
      <c r="D722" s="65"/>
      <c r="E722" s="65"/>
      <c r="F722" s="65"/>
      <c r="H722" s="65"/>
      <c r="J722" s="65"/>
      <c r="K722" s="65"/>
      <c r="L722" s="65"/>
    </row>
    <row r="723" ht="15.75" customHeight="1">
      <c r="C723" s="65"/>
      <c r="D723" s="65"/>
      <c r="E723" s="65"/>
      <c r="F723" s="65"/>
      <c r="H723" s="65"/>
      <c r="J723" s="65"/>
      <c r="K723" s="65"/>
      <c r="L723" s="65"/>
    </row>
    <row r="724" ht="15.75" customHeight="1">
      <c r="C724" s="65"/>
      <c r="D724" s="65"/>
      <c r="E724" s="65"/>
      <c r="F724" s="65"/>
      <c r="H724" s="65"/>
      <c r="J724" s="65"/>
      <c r="K724" s="65"/>
      <c r="L724" s="65"/>
    </row>
    <row r="725" ht="15.75" customHeight="1">
      <c r="C725" s="65"/>
      <c r="D725" s="65"/>
      <c r="E725" s="65"/>
      <c r="F725" s="65"/>
      <c r="H725" s="65"/>
      <c r="J725" s="65"/>
      <c r="K725" s="65"/>
      <c r="L725" s="65"/>
    </row>
    <row r="726" ht="15.75" customHeight="1">
      <c r="C726" s="65"/>
      <c r="D726" s="65"/>
      <c r="E726" s="65"/>
      <c r="F726" s="65"/>
      <c r="H726" s="65"/>
      <c r="J726" s="65"/>
      <c r="K726" s="65"/>
      <c r="L726" s="65"/>
    </row>
    <row r="727" ht="15.75" customHeight="1">
      <c r="C727" s="65"/>
      <c r="D727" s="65"/>
      <c r="E727" s="65"/>
      <c r="F727" s="65"/>
      <c r="H727" s="65"/>
      <c r="J727" s="65"/>
      <c r="K727" s="65"/>
      <c r="L727" s="65"/>
    </row>
    <row r="728" ht="15.75" customHeight="1">
      <c r="C728" s="65"/>
      <c r="D728" s="65"/>
      <c r="E728" s="65"/>
      <c r="F728" s="65"/>
      <c r="H728" s="65"/>
      <c r="J728" s="65"/>
      <c r="K728" s="65"/>
      <c r="L728" s="65"/>
    </row>
    <row r="729" ht="15.75" customHeight="1">
      <c r="C729" s="65"/>
      <c r="D729" s="65"/>
      <c r="E729" s="65"/>
      <c r="F729" s="65"/>
      <c r="H729" s="65"/>
      <c r="J729" s="65"/>
      <c r="K729" s="65"/>
      <c r="L729" s="65"/>
    </row>
    <row r="730" ht="15.75" customHeight="1">
      <c r="C730" s="65"/>
      <c r="D730" s="65"/>
      <c r="E730" s="65"/>
      <c r="F730" s="65"/>
      <c r="H730" s="65"/>
      <c r="J730" s="65"/>
      <c r="K730" s="65"/>
      <c r="L730" s="65"/>
    </row>
    <row r="731" ht="15.75" customHeight="1">
      <c r="C731" s="65"/>
      <c r="D731" s="65"/>
      <c r="E731" s="65"/>
      <c r="F731" s="65"/>
      <c r="H731" s="65"/>
      <c r="J731" s="65"/>
      <c r="K731" s="65"/>
      <c r="L731" s="65"/>
    </row>
    <row r="732" ht="15.75" customHeight="1">
      <c r="C732" s="65"/>
      <c r="D732" s="65"/>
      <c r="E732" s="65"/>
      <c r="F732" s="65"/>
      <c r="H732" s="65"/>
      <c r="J732" s="65"/>
      <c r="K732" s="65"/>
      <c r="L732" s="65"/>
    </row>
    <row r="733" ht="15.75" customHeight="1">
      <c r="C733" s="65"/>
      <c r="D733" s="65"/>
      <c r="E733" s="65"/>
      <c r="F733" s="65"/>
      <c r="H733" s="65"/>
      <c r="J733" s="65"/>
      <c r="K733" s="65"/>
      <c r="L733" s="65"/>
    </row>
    <row r="734" ht="15.75" customHeight="1">
      <c r="C734" s="65"/>
      <c r="D734" s="65"/>
      <c r="E734" s="65"/>
      <c r="F734" s="65"/>
      <c r="H734" s="65"/>
      <c r="J734" s="65"/>
      <c r="K734" s="65"/>
      <c r="L734" s="65"/>
    </row>
    <row r="735" ht="15.75" customHeight="1">
      <c r="C735" s="65"/>
      <c r="D735" s="65"/>
      <c r="E735" s="65"/>
      <c r="F735" s="65"/>
      <c r="H735" s="65"/>
      <c r="J735" s="65"/>
      <c r="K735" s="65"/>
      <c r="L735" s="65"/>
    </row>
    <row r="736" ht="15.75" customHeight="1">
      <c r="C736" s="65"/>
      <c r="D736" s="65"/>
      <c r="E736" s="65"/>
      <c r="F736" s="65"/>
      <c r="H736" s="65"/>
      <c r="J736" s="65"/>
      <c r="K736" s="65"/>
      <c r="L736" s="65"/>
    </row>
    <row r="737" ht="15.75" customHeight="1">
      <c r="C737" s="65"/>
      <c r="D737" s="65"/>
      <c r="E737" s="65"/>
      <c r="F737" s="65"/>
      <c r="H737" s="65"/>
      <c r="J737" s="65"/>
      <c r="K737" s="65"/>
      <c r="L737" s="65"/>
    </row>
    <row r="738" ht="15.75" customHeight="1">
      <c r="C738" s="65"/>
      <c r="D738" s="65"/>
      <c r="E738" s="65"/>
      <c r="F738" s="65"/>
      <c r="H738" s="65"/>
      <c r="J738" s="65"/>
      <c r="K738" s="65"/>
      <c r="L738" s="65"/>
    </row>
    <row r="739" ht="15.75" customHeight="1">
      <c r="C739" s="65"/>
      <c r="D739" s="65"/>
      <c r="E739" s="65"/>
      <c r="F739" s="65"/>
      <c r="H739" s="65"/>
      <c r="J739" s="65"/>
      <c r="K739" s="65"/>
      <c r="L739" s="65"/>
    </row>
    <row r="740" ht="15.75" customHeight="1">
      <c r="C740" s="65"/>
      <c r="D740" s="65"/>
      <c r="E740" s="65"/>
      <c r="F740" s="65"/>
      <c r="H740" s="65"/>
      <c r="J740" s="65"/>
      <c r="K740" s="65"/>
      <c r="L740" s="65"/>
    </row>
    <row r="741" ht="15.75" customHeight="1">
      <c r="C741" s="65"/>
      <c r="D741" s="65"/>
      <c r="E741" s="65"/>
      <c r="F741" s="65"/>
      <c r="H741" s="65"/>
      <c r="J741" s="65"/>
      <c r="K741" s="65"/>
      <c r="L741" s="65"/>
    </row>
    <row r="742" ht="15.75" customHeight="1">
      <c r="C742" s="65"/>
      <c r="D742" s="65"/>
      <c r="E742" s="65"/>
      <c r="F742" s="65"/>
      <c r="H742" s="65"/>
      <c r="J742" s="65"/>
      <c r="K742" s="65"/>
      <c r="L742" s="65"/>
    </row>
    <row r="743" ht="15.75" customHeight="1">
      <c r="C743" s="65"/>
      <c r="D743" s="65"/>
      <c r="E743" s="65"/>
      <c r="F743" s="65"/>
      <c r="H743" s="65"/>
      <c r="J743" s="65"/>
      <c r="K743" s="65"/>
      <c r="L743" s="65"/>
    </row>
    <row r="744" ht="15.75" customHeight="1">
      <c r="C744" s="65"/>
      <c r="D744" s="65"/>
      <c r="E744" s="65"/>
      <c r="F744" s="65"/>
      <c r="H744" s="65"/>
      <c r="J744" s="65"/>
      <c r="K744" s="65"/>
      <c r="L744" s="65"/>
    </row>
    <row r="745" ht="15.75" customHeight="1">
      <c r="C745" s="65"/>
      <c r="D745" s="65"/>
      <c r="E745" s="65"/>
      <c r="F745" s="65"/>
      <c r="H745" s="65"/>
      <c r="J745" s="65"/>
      <c r="K745" s="65"/>
      <c r="L745" s="65"/>
    </row>
    <row r="746" ht="15.75" customHeight="1">
      <c r="C746" s="65"/>
      <c r="D746" s="65"/>
      <c r="E746" s="65"/>
      <c r="F746" s="65"/>
      <c r="H746" s="65"/>
      <c r="J746" s="65"/>
      <c r="K746" s="65"/>
      <c r="L746" s="65"/>
    </row>
    <row r="747" ht="15.75" customHeight="1">
      <c r="C747" s="65"/>
      <c r="D747" s="65"/>
      <c r="E747" s="65"/>
      <c r="F747" s="65"/>
      <c r="H747" s="65"/>
      <c r="J747" s="65"/>
      <c r="K747" s="65"/>
      <c r="L747" s="65"/>
    </row>
    <row r="748" ht="15.75" customHeight="1">
      <c r="C748" s="65"/>
      <c r="D748" s="65"/>
      <c r="E748" s="65"/>
      <c r="F748" s="65"/>
      <c r="H748" s="65"/>
      <c r="J748" s="65"/>
      <c r="K748" s="65"/>
      <c r="L748" s="65"/>
    </row>
    <row r="749" ht="15.75" customHeight="1">
      <c r="C749" s="65"/>
      <c r="D749" s="65"/>
      <c r="E749" s="65"/>
      <c r="F749" s="65"/>
      <c r="H749" s="65"/>
      <c r="J749" s="65"/>
      <c r="K749" s="65"/>
      <c r="L749" s="65"/>
    </row>
    <row r="750" ht="15.75" customHeight="1">
      <c r="C750" s="65"/>
      <c r="D750" s="65"/>
      <c r="E750" s="65"/>
      <c r="F750" s="65"/>
      <c r="H750" s="65"/>
      <c r="J750" s="65"/>
      <c r="K750" s="65"/>
      <c r="L750" s="65"/>
    </row>
    <row r="751" ht="15.75" customHeight="1">
      <c r="C751" s="65"/>
      <c r="D751" s="65"/>
      <c r="E751" s="65"/>
      <c r="F751" s="65"/>
      <c r="H751" s="65"/>
      <c r="J751" s="65"/>
      <c r="K751" s="65"/>
      <c r="L751" s="65"/>
    </row>
    <row r="752" ht="15.75" customHeight="1">
      <c r="C752" s="65"/>
      <c r="D752" s="65"/>
      <c r="E752" s="65"/>
      <c r="F752" s="65"/>
      <c r="H752" s="65"/>
      <c r="J752" s="65"/>
      <c r="K752" s="65"/>
      <c r="L752" s="65"/>
    </row>
    <row r="753" ht="15.75" customHeight="1">
      <c r="C753" s="65"/>
      <c r="D753" s="65"/>
      <c r="E753" s="65"/>
      <c r="F753" s="65"/>
      <c r="H753" s="65"/>
      <c r="J753" s="65"/>
      <c r="K753" s="65"/>
      <c r="L753" s="65"/>
    </row>
    <row r="754" ht="15.75" customHeight="1">
      <c r="C754" s="65"/>
      <c r="D754" s="65"/>
      <c r="E754" s="65"/>
      <c r="F754" s="65"/>
      <c r="H754" s="65"/>
      <c r="J754" s="65"/>
      <c r="K754" s="65"/>
      <c r="L754" s="65"/>
    </row>
    <row r="755" ht="15.75" customHeight="1">
      <c r="C755" s="65"/>
      <c r="D755" s="65"/>
      <c r="E755" s="65"/>
      <c r="F755" s="65"/>
      <c r="H755" s="65"/>
      <c r="J755" s="65"/>
      <c r="K755" s="65"/>
      <c r="L755" s="65"/>
    </row>
    <row r="756" ht="15.75" customHeight="1">
      <c r="C756" s="65"/>
      <c r="D756" s="65"/>
      <c r="E756" s="65"/>
      <c r="F756" s="65"/>
      <c r="H756" s="65"/>
      <c r="J756" s="65"/>
      <c r="K756" s="65"/>
      <c r="L756" s="65"/>
    </row>
    <row r="757" ht="15.75" customHeight="1">
      <c r="C757" s="65"/>
      <c r="D757" s="65"/>
      <c r="E757" s="65"/>
      <c r="F757" s="65"/>
      <c r="H757" s="65"/>
      <c r="J757" s="65"/>
      <c r="K757" s="65"/>
      <c r="L757" s="65"/>
    </row>
    <row r="758" ht="15.75" customHeight="1">
      <c r="C758" s="65"/>
      <c r="D758" s="65"/>
      <c r="E758" s="65"/>
      <c r="F758" s="65"/>
      <c r="H758" s="65"/>
      <c r="J758" s="65"/>
      <c r="K758" s="65"/>
      <c r="L758" s="65"/>
    </row>
    <row r="759" ht="15.75" customHeight="1">
      <c r="C759" s="65"/>
      <c r="D759" s="65"/>
      <c r="E759" s="65"/>
      <c r="F759" s="65"/>
      <c r="H759" s="65"/>
      <c r="J759" s="65"/>
      <c r="K759" s="65"/>
      <c r="L759" s="65"/>
    </row>
    <row r="760" ht="15.75" customHeight="1">
      <c r="C760" s="65"/>
      <c r="D760" s="65"/>
      <c r="E760" s="65"/>
      <c r="F760" s="65"/>
      <c r="H760" s="65"/>
      <c r="J760" s="65"/>
      <c r="K760" s="65"/>
      <c r="L760" s="65"/>
    </row>
    <row r="761" ht="15.75" customHeight="1">
      <c r="C761" s="65"/>
      <c r="D761" s="65"/>
      <c r="E761" s="65"/>
      <c r="F761" s="65"/>
      <c r="H761" s="65"/>
      <c r="J761" s="65"/>
      <c r="K761" s="65"/>
      <c r="L761" s="65"/>
    </row>
    <row r="762" ht="15.75" customHeight="1">
      <c r="C762" s="65"/>
      <c r="D762" s="65"/>
      <c r="E762" s="65"/>
      <c r="F762" s="65"/>
      <c r="H762" s="65"/>
      <c r="J762" s="65"/>
      <c r="K762" s="65"/>
      <c r="L762" s="65"/>
    </row>
    <row r="763" ht="15.75" customHeight="1">
      <c r="C763" s="65"/>
      <c r="D763" s="65"/>
      <c r="E763" s="65"/>
      <c r="F763" s="65"/>
      <c r="H763" s="65"/>
      <c r="J763" s="65"/>
      <c r="K763" s="65"/>
      <c r="L763" s="65"/>
    </row>
    <row r="764" ht="15.75" customHeight="1">
      <c r="C764" s="65"/>
      <c r="D764" s="65"/>
      <c r="E764" s="65"/>
      <c r="F764" s="65"/>
      <c r="H764" s="65"/>
      <c r="J764" s="65"/>
      <c r="K764" s="65"/>
      <c r="L764" s="65"/>
    </row>
    <row r="765" ht="15.75" customHeight="1">
      <c r="C765" s="65"/>
      <c r="D765" s="65"/>
      <c r="E765" s="65"/>
      <c r="F765" s="65"/>
      <c r="H765" s="65"/>
      <c r="J765" s="65"/>
      <c r="K765" s="65"/>
      <c r="L765" s="65"/>
    </row>
    <row r="766" ht="15.75" customHeight="1">
      <c r="C766" s="65"/>
      <c r="D766" s="65"/>
      <c r="E766" s="65"/>
      <c r="F766" s="65"/>
      <c r="H766" s="65"/>
      <c r="J766" s="65"/>
      <c r="K766" s="65"/>
      <c r="L766" s="65"/>
    </row>
    <row r="767" ht="15.75" customHeight="1">
      <c r="C767" s="65"/>
      <c r="D767" s="65"/>
      <c r="E767" s="65"/>
      <c r="F767" s="65"/>
      <c r="H767" s="65"/>
      <c r="J767" s="65"/>
      <c r="K767" s="65"/>
      <c r="L767" s="65"/>
    </row>
    <row r="768" ht="15.75" customHeight="1">
      <c r="C768" s="65"/>
      <c r="D768" s="65"/>
      <c r="E768" s="65"/>
      <c r="F768" s="65"/>
      <c r="H768" s="65"/>
      <c r="J768" s="65"/>
      <c r="K768" s="65"/>
      <c r="L768" s="65"/>
    </row>
    <row r="769" ht="15.75" customHeight="1">
      <c r="C769" s="65"/>
      <c r="D769" s="65"/>
      <c r="E769" s="65"/>
      <c r="F769" s="65"/>
      <c r="H769" s="65"/>
      <c r="J769" s="65"/>
      <c r="K769" s="65"/>
      <c r="L769" s="65"/>
    </row>
    <row r="770" ht="15.75" customHeight="1">
      <c r="C770" s="65"/>
      <c r="D770" s="65"/>
      <c r="E770" s="65"/>
      <c r="F770" s="65"/>
      <c r="H770" s="65"/>
      <c r="J770" s="65"/>
      <c r="K770" s="65"/>
      <c r="L770" s="65"/>
    </row>
    <row r="771" ht="15.75" customHeight="1">
      <c r="C771" s="65"/>
      <c r="D771" s="65"/>
      <c r="E771" s="65"/>
      <c r="F771" s="65"/>
      <c r="H771" s="65"/>
      <c r="J771" s="65"/>
      <c r="K771" s="65"/>
      <c r="L771" s="65"/>
    </row>
    <row r="772" ht="15.75" customHeight="1">
      <c r="C772" s="65"/>
      <c r="D772" s="65"/>
      <c r="E772" s="65"/>
      <c r="F772" s="65"/>
      <c r="H772" s="65"/>
      <c r="J772" s="65"/>
      <c r="K772" s="65"/>
      <c r="L772" s="65"/>
    </row>
    <row r="773" ht="15.75" customHeight="1">
      <c r="C773" s="65"/>
      <c r="D773" s="65"/>
      <c r="E773" s="65"/>
      <c r="F773" s="65"/>
      <c r="H773" s="65"/>
      <c r="J773" s="65"/>
      <c r="K773" s="65"/>
      <c r="L773" s="65"/>
    </row>
    <row r="774" ht="15.75" customHeight="1">
      <c r="C774" s="65"/>
      <c r="D774" s="65"/>
      <c r="E774" s="65"/>
      <c r="F774" s="65"/>
      <c r="H774" s="65"/>
      <c r="J774" s="65"/>
      <c r="K774" s="65"/>
      <c r="L774" s="65"/>
    </row>
    <row r="775" ht="15.75" customHeight="1">
      <c r="C775" s="65"/>
      <c r="D775" s="65"/>
      <c r="E775" s="65"/>
      <c r="F775" s="65"/>
      <c r="H775" s="65"/>
      <c r="J775" s="65"/>
      <c r="K775" s="65"/>
      <c r="L775" s="65"/>
    </row>
    <row r="776" ht="15.75" customHeight="1">
      <c r="C776" s="65"/>
      <c r="D776" s="65"/>
      <c r="E776" s="65"/>
      <c r="F776" s="65"/>
      <c r="H776" s="65"/>
      <c r="J776" s="65"/>
      <c r="K776" s="65"/>
      <c r="L776" s="65"/>
    </row>
    <row r="777" ht="15.75" customHeight="1">
      <c r="C777" s="65"/>
      <c r="D777" s="65"/>
      <c r="E777" s="65"/>
      <c r="F777" s="65"/>
      <c r="H777" s="65"/>
      <c r="J777" s="65"/>
      <c r="K777" s="65"/>
      <c r="L777" s="65"/>
    </row>
    <row r="778" ht="15.75" customHeight="1">
      <c r="C778" s="65"/>
      <c r="D778" s="65"/>
      <c r="E778" s="65"/>
      <c r="F778" s="65"/>
      <c r="H778" s="65"/>
      <c r="J778" s="65"/>
      <c r="K778" s="65"/>
      <c r="L778" s="65"/>
    </row>
    <row r="779" ht="15.75" customHeight="1">
      <c r="C779" s="65"/>
      <c r="D779" s="65"/>
      <c r="E779" s="65"/>
      <c r="F779" s="65"/>
      <c r="H779" s="65"/>
      <c r="J779" s="65"/>
      <c r="K779" s="65"/>
      <c r="L779" s="65"/>
    </row>
    <row r="780" ht="15.75" customHeight="1">
      <c r="C780" s="65"/>
      <c r="D780" s="65"/>
      <c r="E780" s="65"/>
      <c r="F780" s="65"/>
      <c r="H780" s="65"/>
      <c r="J780" s="65"/>
      <c r="K780" s="65"/>
      <c r="L780" s="65"/>
    </row>
    <row r="781" ht="15.75" customHeight="1">
      <c r="C781" s="65"/>
      <c r="D781" s="65"/>
      <c r="E781" s="65"/>
      <c r="F781" s="65"/>
      <c r="H781" s="65"/>
      <c r="J781" s="65"/>
      <c r="K781" s="65"/>
      <c r="L781" s="65"/>
    </row>
    <row r="782" ht="15.75" customHeight="1">
      <c r="C782" s="65"/>
      <c r="D782" s="65"/>
      <c r="E782" s="65"/>
      <c r="F782" s="65"/>
      <c r="H782" s="65"/>
      <c r="J782" s="65"/>
      <c r="K782" s="65"/>
      <c r="L782" s="65"/>
    </row>
    <row r="783" ht="15.75" customHeight="1">
      <c r="C783" s="65"/>
      <c r="D783" s="65"/>
      <c r="E783" s="65"/>
      <c r="F783" s="65"/>
      <c r="H783" s="65"/>
      <c r="J783" s="65"/>
      <c r="K783" s="65"/>
      <c r="L783" s="65"/>
    </row>
    <row r="784" ht="15.75" customHeight="1">
      <c r="C784" s="65"/>
      <c r="D784" s="65"/>
      <c r="E784" s="65"/>
      <c r="F784" s="65"/>
      <c r="H784" s="65"/>
      <c r="J784" s="65"/>
      <c r="K784" s="65"/>
      <c r="L784" s="65"/>
    </row>
    <row r="785" ht="15.75" customHeight="1">
      <c r="C785" s="65"/>
      <c r="D785" s="65"/>
      <c r="E785" s="65"/>
      <c r="F785" s="65"/>
      <c r="H785" s="65"/>
      <c r="J785" s="65"/>
      <c r="K785" s="65"/>
      <c r="L785" s="65"/>
    </row>
    <row r="786" ht="15.75" customHeight="1">
      <c r="C786" s="65"/>
      <c r="D786" s="65"/>
      <c r="E786" s="65"/>
      <c r="F786" s="65"/>
      <c r="H786" s="65"/>
      <c r="J786" s="65"/>
      <c r="K786" s="65"/>
      <c r="L786" s="65"/>
    </row>
    <row r="787" ht="15.75" customHeight="1">
      <c r="C787" s="65"/>
      <c r="D787" s="65"/>
      <c r="E787" s="65"/>
      <c r="F787" s="65"/>
      <c r="H787" s="65"/>
      <c r="J787" s="65"/>
      <c r="K787" s="65"/>
      <c r="L787" s="65"/>
    </row>
    <row r="788" ht="15.75" customHeight="1">
      <c r="C788" s="65"/>
      <c r="D788" s="65"/>
      <c r="E788" s="65"/>
      <c r="F788" s="65"/>
      <c r="H788" s="65"/>
      <c r="J788" s="65"/>
      <c r="K788" s="65"/>
      <c r="L788" s="65"/>
    </row>
    <row r="789" ht="15.75" customHeight="1">
      <c r="C789" s="65"/>
      <c r="D789" s="65"/>
      <c r="E789" s="65"/>
      <c r="F789" s="65"/>
      <c r="H789" s="65"/>
      <c r="J789" s="65"/>
      <c r="K789" s="65"/>
      <c r="L789" s="65"/>
    </row>
    <row r="790" ht="15.75" customHeight="1">
      <c r="C790" s="65"/>
      <c r="D790" s="65"/>
      <c r="E790" s="65"/>
      <c r="F790" s="65"/>
      <c r="H790" s="65"/>
      <c r="J790" s="65"/>
      <c r="K790" s="65"/>
      <c r="L790" s="65"/>
    </row>
    <row r="791" ht="15.75" customHeight="1">
      <c r="C791" s="65"/>
      <c r="D791" s="65"/>
      <c r="E791" s="65"/>
      <c r="F791" s="65"/>
      <c r="H791" s="65"/>
      <c r="J791" s="65"/>
      <c r="K791" s="65"/>
      <c r="L791" s="65"/>
    </row>
    <row r="792" ht="15.75" customHeight="1">
      <c r="C792" s="65"/>
      <c r="D792" s="65"/>
      <c r="E792" s="65"/>
      <c r="F792" s="65"/>
      <c r="H792" s="65"/>
      <c r="J792" s="65"/>
      <c r="K792" s="65"/>
      <c r="L792" s="65"/>
    </row>
    <row r="793" ht="15.75" customHeight="1">
      <c r="C793" s="65"/>
      <c r="D793" s="65"/>
      <c r="E793" s="65"/>
      <c r="F793" s="65"/>
      <c r="H793" s="65"/>
      <c r="J793" s="65"/>
      <c r="K793" s="65"/>
      <c r="L793" s="65"/>
    </row>
    <row r="794" ht="15.75" customHeight="1">
      <c r="C794" s="65"/>
      <c r="D794" s="65"/>
      <c r="E794" s="65"/>
      <c r="F794" s="65"/>
      <c r="H794" s="65"/>
      <c r="J794" s="65"/>
      <c r="K794" s="65"/>
      <c r="L794" s="65"/>
    </row>
    <row r="795" ht="15.75" customHeight="1">
      <c r="C795" s="65"/>
      <c r="D795" s="65"/>
      <c r="E795" s="65"/>
      <c r="F795" s="65"/>
      <c r="H795" s="65"/>
      <c r="J795" s="65"/>
      <c r="K795" s="65"/>
      <c r="L795" s="65"/>
    </row>
    <row r="796" ht="15.75" customHeight="1">
      <c r="C796" s="65"/>
      <c r="D796" s="65"/>
      <c r="E796" s="65"/>
      <c r="F796" s="65"/>
      <c r="H796" s="65"/>
      <c r="J796" s="65"/>
      <c r="K796" s="65"/>
      <c r="L796" s="65"/>
    </row>
    <row r="797" ht="15.75" customHeight="1">
      <c r="C797" s="65"/>
      <c r="D797" s="65"/>
      <c r="E797" s="65"/>
      <c r="F797" s="65"/>
      <c r="H797" s="65"/>
      <c r="J797" s="65"/>
      <c r="K797" s="65"/>
      <c r="L797" s="65"/>
    </row>
    <row r="798" ht="15.75" customHeight="1">
      <c r="C798" s="65"/>
      <c r="D798" s="65"/>
      <c r="E798" s="65"/>
      <c r="F798" s="65"/>
      <c r="H798" s="65"/>
      <c r="J798" s="65"/>
      <c r="K798" s="65"/>
      <c r="L798" s="65"/>
    </row>
    <row r="799" ht="15.75" customHeight="1">
      <c r="C799" s="65"/>
      <c r="D799" s="65"/>
      <c r="E799" s="65"/>
      <c r="F799" s="65"/>
      <c r="H799" s="65"/>
      <c r="J799" s="65"/>
      <c r="K799" s="65"/>
      <c r="L799" s="65"/>
    </row>
    <row r="800" ht="15.75" customHeight="1">
      <c r="C800" s="65"/>
      <c r="D800" s="65"/>
      <c r="E800" s="65"/>
      <c r="F800" s="65"/>
      <c r="H800" s="65"/>
      <c r="J800" s="65"/>
      <c r="K800" s="65"/>
      <c r="L800" s="65"/>
    </row>
    <row r="801" ht="15.75" customHeight="1">
      <c r="C801" s="65"/>
      <c r="D801" s="65"/>
      <c r="E801" s="65"/>
      <c r="F801" s="65"/>
      <c r="H801" s="65"/>
      <c r="J801" s="65"/>
      <c r="K801" s="65"/>
      <c r="L801" s="65"/>
    </row>
    <row r="802" ht="15.75" customHeight="1">
      <c r="C802" s="65"/>
      <c r="D802" s="65"/>
      <c r="E802" s="65"/>
      <c r="F802" s="65"/>
      <c r="H802" s="65"/>
      <c r="J802" s="65"/>
      <c r="K802" s="65"/>
      <c r="L802" s="65"/>
    </row>
    <row r="803" ht="15.75" customHeight="1">
      <c r="C803" s="65"/>
      <c r="D803" s="65"/>
      <c r="E803" s="65"/>
      <c r="F803" s="65"/>
      <c r="H803" s="65"/>
      <c r="J803" s="65"/>
      <c r="K803" s="65"/>
      <c r="L803" s="65"/>
    </row>
    <row r="804" ht="15.75" customHeight="1">
      <c r="C804" s="65"/>
      <c r="D804" s="65"/>
      <c r="E804" s="65"/>
      <c r="F804" s="65"/>
      <c r="H804" s="65"/>
      <c r="J804" s="65"/>
      <c r="K804" s="65"/>
      <c r="L804" s="65"/>
    </row>
    <row r="805" ht="15.75" customHeight="1">
      <c r="C805" s="65"/>
      <c r="D805" s="65"/>
      <c r="E805" s="65"/>
      <c r="F805" s="65"/>
      <c r="H805" s="65"/>
      <c r="J805" s="65"/>
      <c r="K805" s="65"/>
      <c r="L805" s="65"/>
    </row>
    <row r="806" ht="15.75" customHeight="1">
      <c r="C806" s="65"/>
      <c r="D806" s="65"/>
      <c r="E806" s="65"/>
      <c r="F806" s="65"/>
      <c r="H806" s="65"/>
      <c r="J806" s="65"/>
      <c r="K806" s="65"/>
      <c r="L806" s="65"/>
    </row>
    <row r="807" ht="15.75" customHeight="1">
      <c r="C807" s="65"/>
      <c r="D807" s="65"/>
      <c r="E807" s="65"/>
      <c r="F807" s="65"/>
      <c r="H807" s="65"/>
      <c r="J807" s="65"/>
      <c r="K807" s="65"/>
      <c r="L807" s="65"/>
    </row>
    <row r="808" ht="15.75" customHeight="1">
      <c r="C808" s="65"/>
      <c r="D808" s="65"/>
      <c r="E808" s="65"/>
      <c r="F808" s="65"/>
      <c r="H808" s="65"/>
      <c r="J808" s="65"/>
      <c r="K808" s="65"/>
      <c r="L808" s="65"/>
    </row>
    <row r="809" ht="15.75" customHeight="1">
      <c r="C809" s="65"/>
      <c r="D809" s="65"/>
      <c r="E809" s="65"/>
      <c r="F809" s="65"/>
      <c r="H809" s="65"/>
      <c r="J809" s="65"/>
      <c r="K809" s="65"/>
      <c r="L809" s="65"/>
    </row>
    <row r="810" ht="15.75" customHeight="1">
      <c r="C810" s="65"/>
      <c r="D810" s="65"/>
      <c r="E810" s="65"/>
      <c r="F810" s="65"/>
      <c r="H810" s="65"/>
      <c r="J810" s="65"/>
      <c r="K810" s="65"/>
      <c r="L810" s="65"/>
    </row>
    <row r="811" ht="15.75" customHeight="1">
      <c r="C811" s="65"/>
      <c r="D811" s="65"/>
      <c r="E811" s="65"/>
      <c r="F811" s="65"/>
      <c r="H811" s="65"/>
      <c r="J811" s="65"/>
      <c r="K811" s="65"/>
      <c r="L811" s="65"/>
    </row>
    <row r="812" ht="15.75" customHeight="1">
      <c r="C812" s="65"/>
      <c r="D812" s="65"/>
      <c r="E812" s="65"/>
      <c r="F812" s="65"/>
      <c r="H812" s="65"/>
      <c r="J812" s="65"/>
      <c r="K812" s="65"/>
      <c r="L812" s="65"/>
    </row>
    <row r="813" ht="15.75" customHeight="1">
      <c r="C813" s="65"/>
      <c r="D813" s="65"/>
      <c r="E813" s="65"/>
      <c r="F813" s="65"/>
      <c r="H813" s="65"/>
      <c r="J813" s="65"/>
      <c r="K813" s="65"/>
      <c r="L813" s="65"/>
    </row>
    <row r="814" ht="15.75" customHeight="1">
      <c r="C814" s="65"/>
      <c r="D814" s="65"/>
      <c r="E814" s="65"/>
      <c r="F814" s="65"/>
      <c r="H814" s="65"/>
      <c r="J814" s="65"/>
      <c r="K814" s="65"/>
      <c r="L814" s="65"/>
    </row>
    <row r="815" ht="15.75" customHeight="1">
      <c r="C815" s="65"/>
      <c r="D815" s="65"/>
      <c r="E815" s="65"/>
      <c r="F815" s="65"/>
      <c r="H815" s="65"/>
      <c r="J815" s="65"/>
      <c r="K815" s="65"/>
      <c r="L815" s="65"/>
    </row>
    <row r="816" ht="15.75" customHeight="1">
      <c r="C816" s="65"/>
      <c r="D816" s="65"/>
      <c r="E816" s="65"/>
      <c r="F816" s="65"/>
      <c r="H816" s="65"/>
      <c r="J816" s="65"/>
      <c r="K816" s="65"/>
      <c r="L816" s="65"/>
    </row>
    <row r="817" ht="15.75" customHeight="1">
      <c r="C817" s="65"/>
      <c r="D817" s="65"/>
      <c r="E817" s="65"/>
      <c r="F817" s="65"/>
      <c r="H817" s="65"/>
      <c r="J817" s="65"/>
      <c r="K817" s="65"/>
      <c r="L817" s="65"/>
    </row>
    <row r="818" ht="15.75" customHeight="1">
      <c r="C818" s="65"/>
      <c r="D818" s="65"/>
      <c r="E818" s="65"/>
      <c r="F818" s="65"/>
      <c r="H818" s="65"/>
      <c r="J818" s="65"/>
      <c r="K818" s="65"/>
      <c r="L818" s="65"/>
    </row>
    <row r="819" ht="15.75" customHeight="1">
      <c r="C819" s="65"/>
      <c r="D819" s="65"/>
      <c r="E819" s="65"/>
      <c r="F819" s="65"/>
      <c r="H819" s="65"/>
      <c r="J819" s="65"/>
      <c r="K819" s="65"/>
      <c r="L819" s="65"/>
    </row>
    <row r="820" ht="15.75" customHeight="1">
      <c r="C820" s="65"/>
      <c r="D820" s="65"/>
      <c r="E820" s="65"/>
      <c r="F820" s="65"/>
      <c r="H820" s="65"/>
      <c r="J820" s="65"/>
      <c r="K820" s="65"/>
      <c r="L820" s="65"/>
    </row>
    <row r="821" ht="15.75" customHeight="1">
      <c r="C821" s="65"/>
      <c r="D821" s="65"/>
      <c r="E821" s="65"/>
      <c r="F821" s="65"/>
      <c r="H821" s="65"/>
      <c r="J821" s="65"/>
      <c r="K821" s="65"/>
      <c r="L821" s="65"/>
    </row>
    <row r="822" ht="15.75" customHeight="1">
      <c r="C822" s="65"/>
      <c r="D822" s="65"/>
      <c r="E822" s="65"/>
      <c r="F822" s="65"/>
      <c r="H822" s="65"/>
      <c r="J822" s="65"/>
      <c r="K822" s="65"/>
      <c r="L822" s="65"/>
    </row>
    <row r="823" ht="15.75" customHeight="1">
      <c r="C823" s="65"/>
      <c r="D823" s="65"/>
      <c r="E823" s="65"/>
      <c r="F823" s="65"/>
      <c r="H823" s="65"/>
      <c r="J823" s="65"/>
      <c r="K823" s="65"/>
      <c r="L823" s="65"/>
    </row>
    <row r="824" ht="15.75" customHeight="1">
      <c r="C824" s="65"/>
      <c r="D824" s="65"/>
      <c r="E824" s="65"/>
      <c r="F824" s="65"/>
      <c r="H824" s="65"/>
      <c r="J824" s="65"/>
      <c r="K824" s="65"/>
      <c r="L824" s="65"/>
    </row>
    <row r="825" ht="15.75" customHeight="1">
      <c r="C825" s="65"/>
      <c r="D825" s="65"/>
      <c r="E825" s="65"/>
      <c r="F825" s="65"/>
      <c r="H825" s="65"/>
      <c r="J825" s="65"/>
      <c r="K825" s="65"/>
      <c r="L825" s="65"/>
    </row>
    <row r="826" ht="15.75" customHeight="1">
      <c r="C826" s="65"/>
      <c r="D826" s="65"/>
      <c r="E826" s="65"/>
      <c r="F826" s="65"/>
      <c r="H826" s="65"/>
      <c r="J826" s="65"/>
      <c r="K826" s="65"/>
      <c r="L826" s="65"/>
    </row>
    <row r="827" ht="15.75" customHeight="1">
      <c r="C827" s="65"/>
      <c r="D827" s="65"/>
      <c r="E827" s="65"/>
      <c r="F827" s="65"/>
      <c r="H827" s="65"/>
      <c r="J827" s="65"/>
      <c r="K827" s="65"/>
      <c r="L827" s="65"/>
    </row>
    <row r="828" ht="15.75" customHeight="1">
      <c r="C828" s="65"/>
      <c r="D828" s="65"/>
      <c r="E828" s="65"/>
      <c r="F828" s="65"/>
      <c r="H828" s="65"/>
      <c r="J828" s="65"/>
      <c r="K828" s="65"/>
      <c r="L828" s="65"/>
    </row>
    <row r="829" ht="15.75" customHeight="1">
      <c r="C829" s="65"/>
      <c r="D829" s="65"/>
      <c r="E829" s="65"/>
      <c r="F829" s="65"/>
      <c r="H829" s="65"/>
      <c r="J829" s="65"/>
      <c r="K829" s="65"/>
      <c r="L829" s="65"/>
    </row>
    <row r="830" ht="15.75" customHeight="1">
      <c r="C830" s="65"/>
      <c r="D830" s="65"/>
      <c r="E830" s="65"/>
      <c r="F830" s="65"/>
      <c r="H830" s="65"/>
      <c r="J830" s="65"/>
      <c r="K830" s="65"/>
      <c r="L830" s="65"/>
    </row>
    <row r="831" ht="15.75" customHeight="1">
      <c r="C831" s="65"/>
      <c r="D831" s="65"/>
      <c r="E831" s="65"/>
      <c r="F831" s="65"/>
      <c r="H831" s="65"/>
      <c r="J831" s="65"/>
      <c r="K831" s="65"/>
      <c r="L831" s="65"/>
    </row>
    <row r="832" ht="15.75" customHeight="1">
      <c r="C832" s="65"/>
      <c r="D832" s="65"/>
      <c r="E832" s="65"/>
      <c r="F832" s="65"/>
      <c r="H832" s="65"/>
      <c r="J832" s="65"/>
      <c r="K832" s="65"/>
      <c r="L832" s="65"/>
    </row>
    <row r="833" ht="15.75" customHeight="1">
      <c r="C833" s="65"/>
      <c r="D833" s="65"/>
      <c r="E833" s="65"/>
      <c r="F833" s="65"/>
      <c r="H833" s="65"/>
      <c r="J833" s="65"/>
      <c r="K833" s="65"/>
      <c r="L833" s="65"/>
    </row>
    <row r="834" ht="15.75" customHeight="1">
      <c r="C834" s="65"/>
      <c r="D834" s="65"/>
      <c r="E834" s="65"/>
      <c r="F834" s="65"/>
      <c r="H834" s="65"/>
      <c r="J834" s="65"/>
      <c r="K834" s="65"/>
      <c r="L834" s="65"/>
    </row>
    <row r="835" ht="15.75" customHeight="1">
      <c r="C835" s="65"/>
      <c r="D835" s="65"/>
      <c r="E835" s="65"/>
      <c r="F835" s="65"/>
      <c r="H835" s="65"/>
      <c r="J835" s="65"/>
      <c r="K835" s="65"/>
      <c r="L835" s="65"/>
    </row>
    <row r="836" ht="15.75" customHeight="1">
      <c r="C836" s="65"/>
      <c r="D836" s="65"/>
      <c r="E836" s="65"/>
      <c r="F836" s="65"/>
      <c r="H836" s="65"/>
      <c r="J836" s="65"/>
      <c r="K836" s="65"/>
      <c r="L836" s="65"/>
    </row>
    <row r="837" ht="15.75" customHeight="1">
      <c r="C837" s="65"/>
      <c r="D837" s="65"/>
      <c r="E837" s="65"/>
      <c r="F837" s="65"/>
      <c r="H837" s="65"/>
      <c r="J837" s="65"/>
      <c r="K837" s="65"/>
      <c r="L837" s="65"/>
    </row>
    <row r="838" ht="15.75" customHeight="1">
      <c r="C838" s="65"/>
      <c r="D838" s="65"/>
      <c r="E838" s="65"/>
      <c r="F838" s="65"/>
      <c r="H838" s="65"/>
      <c r="J838" s="65"/>
      <c r="K838" s="65"/>
      <c r="L838" s="65"/>
    </row>
    <row r="839" ht="15.75" customHeight="1">
      <c r="C839" s="65"/>
      <c r="D839" s="65"/>
      <c r="E839" s="65"/>
      <c r="F839" s="65"/>
      <c r="H839" s="65"/>
      <c r="J839" s="65"/>
      <c r="K839" s="65"/>
      <c r="L839" s="65"/>
    </row>
    <row r="840" ht="15.75" customHeight="1">
      <c r="C840" s="65"/>
      <c r="D840" s="65"/>
      <c r="E840" s="65"/>
      <c r="F840" s="65"/>
      <c r="H840" s="65"/>
      <c r="J840" s="65"/>
      <c r="K840" s="65"/>
      <c r="L840" s="65"/>
    </row>
    <row r="841" ht="15.75" customHeight="1">
      <c r="C841" s="65"/>
      <c r="D841" s="65"/>
      <c r="E841" s="65"/>
      <c r="F841" s="65"/>
      <c r="H841" s="65"/>
      <c r="J841" s="65"/>
      <c r="K841" s="65"/>
      <c r="L841" s="65"/>
    </row>
    <row r="842" ht="15.75" customHeight="1">
      <c r="C842" s="65"/>
      <c r="D842" s="65"/>
      <c r="E842" s="65"/>
      <c r="F842" s="65"/>
      <c r="H842" s="65"/>
      <c r="J842" s="65"/>
      <c r="K842" s="65"/>
      <c r="L842" s="65"/>
    </row>
    <row r="843" ht="15.75" customHeight="1">
      <c r="C843" s="65"/>
      <c r="D843" s="65"/>
      <c r="E843" s="65"/>
      <c r="F843" s="65"/>
      <c r="H843" s="65"/>
      <c r="J843" s="65"/>
      <c r="K843" s="65"/>
      <c r="L843" s="65"/>
    </row>
    <row r="844" ht="15.75" customHeight="1">
      <c r="C844" s="65"/>
      <c r="D844" s="65"/>
      <c r="E844" s="65"/>
      <c r="F844" s="65"/>
      <c r="H844" s="65"/>
      <c r="J844" s="65"/>
      <c r="K844" s="65"/>
      <c r="L844" s="65"/>
    </row>
    <row r="845" ht="15.75" customHeight="1">
      <c r="C845" s="65"/>
      <c r="D845" s="65"/>
      <c r="E845" s="65"/>
      <c r="F845" s="65"/>
      <c r="H845" s="65"/>
      <c r="J845" s="65"/>
      <c r="K845" s="65"/>
      <c r="L845" s="65"/>
    </row>
    <row r="846" ht="15.75" customHeight="1">
      <c r="C846" s="65"/>
      <c r="D846" s="65"/>
      <c r="E846" s="65"/>
      <c r="F846" s="65"/>
      <c r="H846" s="65"/>
      <c r="J846" s="65"/>
      <c r="K846" s="65"/>
      <c r="L846" s="65"/>
    </row>
    <row r="847" ht="15.75" customHeight="1">
      <c r="C847" s="65"/>
      <c r="D847" s="65"/>
      <c r="E847" s="65"/>
      <c r="F847" s="65"/>
      <c r="H847" s="65"/>
      <c r="J847" s="65"/>
      <c r="K847" s="65"/>
      <c r="L847" s="65"/>
    </row>
    <row r="848" ht="15.75" customHeight="1">
      <c r="C848" s="65"/>
      <c r="D848" s="65"/>
      <c r="E848" s="65"/>
      <c r="F848" s="65"/>
      <c r="H848" s="65"/>
      <c r="J848" s="65"/>
      <c r="K848" s="65"/>
      <c r="L848" s="65"/>
    </row>
    <row r="849" ht="15.75" customHeight="1">
      <c r="C849" s="65"/>
      <c r="D849" s="65"/>
      <c r="E849" s="65"/>
      <c r="F849" s="65"/>
      <c r="H849" s="65"/>
      <c r="J849" s="65"/>
      <c r="K849" s="65"/>
      <c r="L849" s="65"/>
    </row>
    <row r="850" ht="15.75" customHeight="1">
      <c r="C850" s="65"/>
      <c r="D850" s="65"/>
      <c r="E850" s="65"/>
      <c r="F850" s="65"/>
      <c r="H850" s="65"/>
      <c r="J850" s="65"/>
      <c r="K850" s="65"/>
      <c r="L850" s="65"/>
    </row>
    <row r="851" ht="15.75" customHeight="1">
      <c r="C851" s="65"/>
      <c r="D851" s="65"/>
      <c r="E851" s="65"/>
      <c r="F851" s="65"/>
      <c r="H851" s="65"/>
      <c r="J851" s="65"/>
      <c r="K851" s="65"/>
      <c r="L851" s="65"/>
    </row>
    <row r="852" ht="15.75" customHeight="1">
      <c r="C852" s="65"/>
      <c r="D852" s="65"/>
      <c r="E852" s="65"/>
      <c r="F852" s="65"/>
      <c r="H852" s="65"/>
      <c r="J852" s="65"/>
      <c r="K852" s="65"/>
      <c r="L852" s="65"/>
    </row>
    <row r="853" ht="15.75" customHeight="1">
      <c r="C853" s="65"/>
      <c r="D853" s="65"/>
      <c r="E853" s="65"/>
      <c r="F853" s="65"/>
      <c r="H853" s="65"/>
      <c r="J853" s="65"/>
      <c r="K853" s="65"/>
      <c r="L853" s="65"/>
    </row>
    <row r="854" ht="15.75" customHeight="1">
      <c r="C854" s="65"/>
      <c r="D854" s="65"/>
      <c r="E854" s="65"/>
      <c r="F854" s="65"/>
      <c r="H854" s="65"/>
      <c r="J854" s="65"/>
      <c r="K854" s="65"/>
      <c r="L854" s="65"/>
    </row>
    <row r="855" ht="15.75" customHeight="1">
      <c r="C855" s="65"/>
      <c r="D855" s="65"/>
      <c r="E855" s="65"/>
      <c r="F855" s="65"/>
      <c r="H855" s="65"/>
      <c r="J855" s="65"/>
      <c r="K855" s="65"/>
      <c r="L855" s="65"/>
    </row>
    <row r="856" ht="15.75" customHeight="1">
      <c r="C856" s="65"/>
      <c r="D856" s="65"/>
      <c r="E856" s="65"/>
      <c r="F856" s="65"/>
      <c r="H856" s="65"/>
      <c r="J856" s="65"/>
      <c r="K856" s="65"/>
      <c r="L856" s="65"/>
    </row>
    <row r="857" ht="15.75" customHeight="1">
      <c r="C857" s="65"/>
      <c r="D857" s="65"/>
      <c r="E857" s="65"/>
      <c r="F857" s="65"/>
      <c r="H857" s="65"/>
      <c r="J857" s="65"/>
      <c r="K857" s="65"/>
      <c r="L857" s="65"/>
    </row>
    <row r="858" ht="15.75" customHeight="1">
      <c r="C858" s="65"/>
      <c r="D858" s="65"/>
      <c r="E858" s="65"/>
      <c r="F858" s="65"/>
      <c r="H858" s="65"/>
      <c r="J858" s="65"/>
      <c r="K858" s="65"/>
      <c r="L858" s="65"/>
    </row>
    <row r="859" ht="15.75" customHeight="1">
      <c r="C859" s="65"/>
      <c r="D859" s="65"/>
      <c r="E859" s="65"/>
      <c r="F859" s="65"/>
      <c r="H859" s="65"/>
      <c r="J859" s="65"/>
      <c r="K859" s="65"/>
      <c r="L859" s="65"/>
    </row>
    <row r="860" ht="15.75" customHeight="1">
      <c r="C860" s="65"/>
      <c r="D860" s="65"/>
      <c r="E860" s="65"/>
      <c r="F860" s="65"/>
      <c r="H860" s="65"/>
      <c r="J860" s="65"/>
      <c r="K860" s="65"/>
      <c r="L860" s="65"/>
    </row>
    <row r="861" ht="15.75" customHeight="1">
      <c r="C861" s="65"/>
      <c r="D861" s="65"/>
      <c r="E861" s="65"/>
      <c r="F861" s="65"/>
      <c r="H861" s="65"/>
      <c r="J861" s="65"/>
      <c r="K861" s="65"/>
      <c r="L861" s="65"/>
    </row>
    <row r="862" ht="15.75" customHeight="1">
      <c r="C862" s="65"/>
      <c r="D862" s="65"/>
      <c r="E862" s="65"/>
      <c r="F862" s="65"/>
      <c r="H862" s="65"/>
      <c r="J862" s="65"/>
      <c r="K862" s="65"/>
      <c r="L862" s="65"/>
    </row>
    <row r="863" ht="15.75" customHeight="1">
      <c r="C863" s="65"/>
      <c r="D863" s="65"/>
      <c r="E863" s="65"/>
      <c r="F863" s="65"/>
      <c r="H863" s="65"/>
      <c r="J863" s="65"/>
      <c r="K863" s="65"/>
      <c r="L863" s="65"/>
    </row>
    <row r="864" ht="15.75" customHeight="1">
      <c r="C864" s="65"/>
      <c r="D864" s="65"/>
      <c r="E864" s="65"/>
      <c r="F864" s="65"/>
      <c r="H864" s="65"/>
      <c r="J864" s="65"/>
      <c r="K864" s="65"/>
      <c r="L864" s="65"/>
    </row>
    <row r="865" ht="15.75" customHeight="1">
      <c r="C865" s="65"/>
      <c r="D865" s="65"/>
      <c r="E865" s="65"/>
      <c r="F865" s="65"/>
      <c r="H865" s="65"/>
      <c r="J865" s="65"/>
      <c r="K865" s="65"/>
      <c r="L865" s="65"/>
    </row>
    <row r="866" ht="15.75" customHeight="1">
      <c r="C866" s="65"/>
      <c r="D866" s="65"/>
      <c r="E866" s="65"/>
      <c r="F866" s="65"/>
      <c r="H866" s="65"/>
      <c r="J866" s="65"/>
      <c r="K866" s="65"/>
      <c r="L866" s="65"/>
    </row>
    <row r="867" ht="15.75" customHeight="1">
      <c r="C867" s="65"/>
      <c r="D867" s="65"/>
      <c r="E867" s="65"/>
      <c r="F867" s="65"/>
      <c r="H867" s="65"/>
      <c r="J867" s="65"/>
      <c r="K867" s="65"/>
      <c r="L867" s="65"/>
    </row>
    <row r="868" ht="15.75" customHeight="1">
      <c r="C868" s="65"/>
      <c r="D868" s="65"/>
      <c r="E868" s="65"/>
      <c r="F868" s="65"/>
      <c r="H868" s="65"/>
      <c r="J868" s="65"/>
      <c r="K868" s="65"/>
      <c r="L868" s="65"/>
    </row>
    <row r="869" ht="15.75" customHeight="1">
      <c r="C869" s="65"/>
      <c r="D869" s="65"/>
      <c r="E869" s="65"/>
      <c r="F869" s="65"/>
      <c r="H869" s="65"/>
      <c r="J869" s="65"/>
      <c r="K869" s="65"/>
      <c r="L869" s="65"/>
    </row>
    <row r="870" ht="15.75" customHeight="1">
      <c r="C870" s="65"/>
      <c r="D870" s="65"/>
      <c r="E870" s="65"/>
      <c r="F870" s="65"/>
      <c r="H870" s="65"/>
      <c r="J870" s="65"/>
      <c r="K870" s="65"/>
      <c r="L870" s="65"/>
    </row>
    <row r="871" ht="15.75" customHeight="1">
      <c r="C871" s="65"/>
      <c r="D871" s="65"/>
      <c r="E871" s="65"/>
      <c r="F871" s="65"/>
      <c r="H871" s="65"/>
      <c r="J871" s="65"/>
      <c r="K871" s="65"/>
      <c r="L871" s="65"/>
    </row>
    <row r="872" ht="15.75" customHeight="1">
      <c r="C872" s="65"/>
      <c r="D872" s="65"/>
      <c r="E872" s="65"/>
      <c r="F872" s="65"/>
      <c r="H872" s="65"/>
      <c r="J872" s="65"/>
      <c r="K872" s="65"/>
      <c r="L872" s="65"/>
    </row>
    <row r="873" ht="15.75" customHeight="1">
      <c r="C873" s="65"/>
      <c r="D873" s="65"/>
      <c r="E873" s="65"/>
      <c r="F873" s="65"/>
      <c r="H873" s="65"/>
      <c r="J873" s="65"/>
      <c r="K873" s="65"/>
      <c r="L873" s="65"/>
    </row>
    <row r="874" ht="15.75" customHeight="1">
      <c r="C874" s="65"/>
      <c r="D874" s="65"/>
      <c r="E874" s="65"/>
      <c r="F874" s="65"/>
      <c r="H874" s="65"/>
      <c r="J874" s="65"/>
      <c r="K874" s="65"/>
      <c r="L874" s="65"/>
    </row>
    <row r="875" ht="15.75" customHeight="1">
      <c r="C875" s="65"/>
      <c r="D875" s="65"/>
      <c r="E875" s="65"/>
      <c r="F875" s="65"/>
      <c r="H875" s="65"/>
      <c r="J875" s="65"/>
      <c r="K875" s="65"/>
      <c r="L875" s="65"/>
    </row>
    <row r="876" ht="15.75" customHeight="1">
      <c r="C876" s="65"/>
      <c r="D876" s="65"/>
      <c r="E876" s="65"/>
      <c r="F876" s="65"/>
      <c r="H876" s="65"/>
      <c r="J876" s="65"/>
      <c r="K876" s="65"/>
      <c r="L876" s="65"/>
    </row>
    <row r="877" ht="15.75" customHeight="1">
      <c r="C877" s="65"/>
      <c r="D877" s="65"/>
      <c r="E877" s="65"/>
      <c r="F877" s="65"/>
      <c r="H877" s="65"/>
      <c r="J877" s="65"/>
      <c r="K877" s="65"/>
      <c r="L877" s="65"/>
    </row>
    <row r="878" ht="15.75" customHeight="1">
      <c r="C878" s="65"/>
      <c r="D878" s="65"/>
      <c r="E878" s="65"/>
      <c r="F878" s="65"/>
      <c r="H878" s="65"/>
      <c r="J878" s="65"/>
      <c r="K878" s="65"/>
      <c r="L878" s="65"/>
    </row>
    <row r="879" ht="15.75" customHeight="1">
      <c r="C879" s="65"/>
      <c r="D879" s="65"/>
      <c r="E879" s="65"/>
      <c r="F879" s="65"/>
      <c r="H879" s="65"/>
      <c r="J879" s="65"/>
      <c r="K879" s="65"/>
      <c r="L879" s="65"/>
    </row>
    <row r="880" ht="15.75" customHeight="1">
      <c r="C880" s="65"/>
      <c r="D880" s="65"/>
      <c r="E880" s="65"/>
      <c r="F880" s="65"/>
      <c r="H880" s="65"/>
      <c r="J880" s="65"/>
      <c r="K880" s="65"/>
      <c r="L880" s="65"/>
    </row>
    <row r="881" ht="15.75" customHeight="1">
      <c r="C881" s="65"/>
      <c r="D881" s="65"/>
      <c r="E881" s="65"/>
      <c r="F881" s="65"/>
      <c r="H881" s="65"/>
      <c r="J881" s="65"/>
      <c r="K881" s="65"/>
      <c r="L881" s="65"/>
    </row>
    <row r="882" ht="15.75" customHeight="1">
      <c r="C882" s="65"/>
      <c r="D882" s="65"/>
      <c r="E882" s="65"/>
      <c r="F882" s="65"/>
      <c r="H882" s="65"/>
      <c r="J882" s="65"/>
      <c r="K882" s="65"/>
      <c r="L882" s="65"/>
    </row>
    <row r="883" ht="15.75" customHeight="1">
      <c r="C883" s="65"/>
      <c r="D883" s="65"/>
      <c r="E883" s="65"/>
      <c r="F883" s="65"/>
      <c r="H883" s="65"/>
      <c r="J883" s="65"/>
      <c r="K883" s="65"/>
      <c r="L883" s="65"/>
    </row>
    <row r="884" ht="15.75" customHeight="1">
      <c r="C884" s="65"/>
      <c r="D884" s="65"/>
      <c r="E884" s="65"/>
      <c r="F884" s="65"/>
      <c r="H884" s="65"/>
      <c r="J884" s="65"/>
      <c r="K884" s="65"/>
      <c r="L884" s="65"/>
    </row>
    <row r="885" ht="15.75" customHeight="1">
      <c r="C885" s="65"/>
      <c r="D885" s="65"/>
      <c r="E885" s="65"/>
      <c r="F885" s="65"/>
      <c r="H885" s="65"/>
      <c r="J885" s="65"/>
      <c r="K885" s="65"/>
      <c r="L885" s="65"/>
    </row>
    <row r="886" ht="15.75" customHeight="1">
      <c r="C886" s="65"/>
      <c r="D886" s="65"/>
      <c r="E886" s="65"/>
      <c r="F886" s="65"/>
      <c r="H886" s="65"/>
      <c r="J886" s="65"/>
      <c r="K886" s="65"/>
      <c r="L886" s="65"/>
    </row>
    <row r="887" ht="15.75" customHeight="1">
      <c r="C887" s="65"/>
      <c r="D887" s="65"/>
      <c r="E887" s="65"/>
      <c r="F887" s="65"/>
      <c r="H887" s="65"/>
      <c r="J887" s="65"/>
      <c r="K887" s="65"/>
      <c r="L887" s="65"/>
    </row>
    <row r="888" ht="15.75" customHeight="1">
      <c r="C888" s="65"/>
      <c r="D888" s="65"/>
      <c r="E888" s="65"/>
      <c r="F888" s="65"/>
      <c r="H888" s="65"/>
      <c r="J888" s="65"/>
      <c r="K888" s="65"/>
      <c r="L888" s="65"/>
    </row>
    <row r="889" ht="15.75" customHeight="1">
      <c r="C889" s="65"/>
      <c r="D889" s="65"/>
      <c r="E889" s="65"/>
      <c r="F889" s="65"/>
      <c r="H889" s="65"/>
      <c r="J889" s="65"/>
      <c r="K889" s="65"/>
      <c r="L889" s="65"/>
    </row>
    <row r="890" ht="15.75" customHeight="1">
      <c r="C890" s="65"/>
      <c r="D890" s="65"/>
      <c r="E890" s="65"/>
      <c r="F890" s="65"/>
      <c r="H890" s="65"/>
      <c r="J890" s="65"/>
      <c r="K890" s="65"/>
      <c r="L890" s="65"/>
    </row>
    <row r="891" ht="15.75" customHeight="1">
      <c r="C891" s="65"/>
      <c r="D891" s="65"/>
      <c r="E891" s="65"/>
      <c r="F891" s="65"/>
      <c r="H891" s="65"/>
      <c r="J891" s="65"/>
      <c r="K891" s="65"/>
      <c r="L891" s="65"/>
    </row>
    <row r="892" ht="15.75" customHeight="1">
      <c r="C892" s="65"/>
      <c r="D892" s="65"/>
      <c r="E892" s="65"/>
      <c r="F892" s="65"/>
      <c r="H892" s="65"/>
      <c r="J892" s="65"/>
      <c r="K892" s="65"/>
      <c r="L892" s="65"/>
    </row>
    <row r="893" ht="15.75" customHeight="1">
      <c r="C893" s="65"/>
      <c r="D893" s="65"/>
      <c r="E893" s="65"/>
      <c r="F893" s="65"/>
      <c r="H893" s="65"/>
      <c r="J893" s="65"/>
      <c r="K893" s="65"/>
      <c r="L893" s="65"/>
    </row>
    <row r="894" ht="15.75" customHeight="1">
      <c r="C894" s="65"/>
      <c r="D894" s="65"/>
      <c r="E894" s="65"/>
      <c r="F894" s="65"/>
      <c r="H894" s="65"/>
      <c r="J894" s="65"/>
      <c r="K894" s="65"/>
      <c r="L894" s="65"/>
    </row>
    <row r="895" ht="15.75" customHeight="1">
      <c r="C895" s="65"/>
      <c r="D895" s="65"/>
      <c r="E895" s="65"/>
      <c r="F895" s="65"/>
      <c r="H895" s="65"/>
      <c r="J895" s="65"/>
      <c r="K895" s="65"/>
      <c r="L895" s="65"/>
    </row>
    <row r="896" ht="15.75" customHeight="1">
      <c r="C896" s="65"/>
      <c r="D896" s="65"/>
      <c r="E896" s="65"/>
      <c r="F896" s="65"/>
      <c r="H896" s="65"/>
      <c r="J896" s="65"/>
      <c r="K896" s="65"/>
      <c r="L896" s="65"/>
    </row>
    <row r="897" ht="15.75" customHeight="1">
      <c r="C897" s="65"/>
      <c r="D897" s="65"/>
      <c r="E897" s="65"/>
      <c r="F897" s="65"/>
      <c r="H897" s="65"/>
      <c r="J897" s="65"/>
      <c r="K897" s="65"/>
      <c r="L897" s="65"/>
    </row>
    <row r="898" ht="15.75" customHeight="1">
      <c r="C898" s="65"/>
      <c r="D898" s="65"/>
      <c r="E898" s="65"/>
      <c r="F898" s="65"/>
      <c r="H898" s="65"/>
      <c r="J898" s="65"/>
      <c r="K898" s="65"/>
      <c r="L898" s="65"/>
    </row>
    <row r="899" ht="15.75" customHeight="1">
      <c r="C899" s="65"/>
      <c r="D899" s="65"/>
      <c r="E899" s="65"/>
      <c r="F899" s="65"/>
      <c r="H899" s="65"/>
      <c r="J899" s="65"/>
      <c r="K899" s="65"/>
      <c r="L899" s="65"/>
    </row>
    <row r="900" ht="15.75" customHeight="1">
      <c r="C900" s="65"/>
      <c r="D900" s="65"/>
      <c r="E900" s="65"/>
      <c r="F900" s="65"/>
      <c r="H900" s="65"/>
      <c r="J900" s="65"/>
      <c r="K900" s="65"/>
      <c r="L900" s="65"/>
    </row>
    <row r="901" ht="15.75" customHeight="1">
      <c r="C901" s="65"/>
      <c r="D901" s="65"/>
      <c r="E901" s="65"/>
      <c r="F901" s="65"/>
      <c r="H901" s="65"/>
      <c r="J901" s="65"/>
      <c r="K901" s="65"/>
      <c r="L901" s="65"/>
    </row>
    <row r="902" ht="15.75" customHeight="1">
      <c r="C902" s="65"/>
      <c r="D902" s="65"/>
      <c r="E902" s="65"/>
      <c r="F902" s="65"/>
      <c r="H902" s="65"/>
      <c r="J902" s="65"/>
      <c r="K902" s="65"/>
      <c r="L902" s="65"/>
    </row>
    <row r="903" ht="15.75" customHeight="1">
      <c r="C903" s="65"/>
      <c r="D903" s="65"/>
      <c r="E903" s="65"/>
      <c r="F903" s="65"/>
      <c r="H903" s="65"/>
      <c r="J903" s="65"/>
      <c r="K903" s="65"/>
      <c r="L903" s="65"/>
    </row>
    <row r="904" ht="15.75" customHeight="1">
      <c r="C904" s="65"/>
      <c r="D904" s="65"/>
      <c r="E904" s="65"/>
      <c r="F904" s="65"/>
      <c r="H904" s="65"/>
      <c r="J904" s="65"/>
      <c r="K904" s="65"/>
      <c r="L904" s="65"/>
    </row>
    <row r="905" ht="15.75" customHeight="1">
      <c r="C905" s="65"/>
      <c r="D905" s="65"/>
      <c r="E905" s="65"/>
      <c r="F905" s="65"/>
      <c r="H905" s="65"/>
      <c r="J905" s="65"/>
      <c r="K905" s="65"/>
      <c r="L905" s="65"/>
    </row>
    <row r="906" ht="15.75" customHeight="1">
      <c r="C906" s="65"/>
      <c r="D906" s="65"/>
      <c r="E906" s="65"/>
      <c r="F906" s="65"/>
      <c r="H906" s="65"/>
      <c r="J906" s="65"/>
      <c r="K906" s="65"/>
      <c r="L906" s="65"/>
    </row>
    <row r="907" ht="15.75" customHeight="1">
      <c r="C907" s="65"/>
      <c r="D907" s="65"/>
      <c r="E907" s="65"/>
      <c r="F907" s="65"/>
      <c r="H907" s="65"/>
      <c r="J907" s="65"/>
      <c r="K907" s="65"/>
      <c r="L907" s="65"/>
    </row>
    <row r="908" ht="15.75" customHeight="1">
      <c r="C908" s="65"/>
      <c r="D908" s="65"/>
      <c r="E908" s="65"/>
      <c r="F908" s="65"/>
      <c r="H908" s="65"/>
      <c r="J908" s="65"/>
      <c r="K908" s="65"/>
      <c r="L908" s="65"/>
    </row>
    <row r="909" ht="15.75" customHeight="1">
      <c r="C909" s="65"/>
      <c r="D909" s="65"/>
      <c r="E909" s="65"/>
      <c r="F909" s="65"/>
      <c r="H909" s="65"/>
      <c r="J909" s="65"/>
      <c r="K909" s="65"/>
      <c r="L909" s="65"/>
    </row>
    <row r="910" ht="15.75" customHeight="1">
      <c r="C910" s="65"/>
      <c r="D910" s="65"/>
      <c r="E910" s="65"/>
      <c r="F910" s="65"/>
      <c r="H910" s="65"/>
      <c r="J910" s="65"/>
      <c r="K910" s="65"/>
      <c r="L910" s="65"/>
    </row>
    <row r="911" ht="15.75" customHeight="1">
      <c r="C911" s="65"/>
      <c r="D911" s="65"/>
      <c r="E911" s="65"/>
      <c r="F911" s="65"/>
      <c r="H911" s="65"/>
      <c r="J911" s="65"/>
      <c r="K911" s="65"/>
      <c r="L911" s="65"/>
    </row>
    <row r="912" ht="15.75" customHeight="1">
      <c r="C912" s="65"/>
      <c r="D912" s="65"/>
      <c r="E912" s="65"/>
      <c r="F912" s="65"/>
      <c r="H912" s="65"/>
      <c r="J912" s="65"/>
      <c r="K912" s="65"/>
      <c r="L912" s="65"/>
    </row>
    <row r="913" ht="15.75" customHeight="1">
      <c r="C913" s="65"/>
      <c r="D913" s="65"/>
      <c r="E913" s="65"/>
      <c r="F913" s="65"/>
      <c r="H913" s="65"/>
      <c r="J913" s="65"/>
      <c r="K913" s="65"/>
      <c r="L913" s="65"/>
    </row>
    <row r="914" ht="15.75" customHeight="1">
      <c r="C914" s="65"/>
      <c r="D914" s="65"/>
      <c r="E914" s="65"/>
      <c r="F914" s="65"/>
      <c r="H914" s="65"/>
      <c r="J914" s="65"/>
      <c r="K914" s="65"/>
      <c r="L914" s="65"/>
    </row>
    <row r="915" ht="15.75" customHeight="1">
      <c r="C915" s="65"/>
      <c r="D915" s="65"/>
      <c r="E915" s="65"/>
      <c r="F915" s="65"/>
      <c r="H915" s="65"/>
      <c r="J915" s="65"/>
      <c r="K915" s="65"/>
      <c r="L915" s="65"/>
    </row>
    <row r="916" ht="15.75" customHeight="1">
      <c r="C916" s="65"/>
      <c r="D916" s="65"/>
      <c r="E916" s="65"/>
      <c r="F916" s="65"/>
      <c r="H916" s="65"/>
      <c r="J916" s="65"/>
      <c r="K916" s="65"/>
      <c r="L916" s="65"/>
    </row>
    <row r="917" ht="15.75" customHeight="1">
      <c r="C917" s="65"/>
      <c r="D917" s="65"/>
      <c r="E917" s="65"/>
      <c r="F917" s="65"/>
      <c r="H917" s="65"/>
      <c r="J917" s="65"/>
      <c r="K917" s="65"/>
      <c r="L917" s="65"/>
    </row>
    <row r="918" ht="15.75" customHeight="1">
      <c r="C918" s="65"/>
      <c r="D918" s="65"/>
      <c r="E918" s="65"/>
      <c r="F918" s="65"/>
      <c r="H918" s="65"/>
      <c r="J918" s="65"/>
      <c r="K918" s="65"/>
      <c r="L918" s="65"/>
    </row>
    <row r="919" ht="15.75" customHeight="1">
      <c r="C919" s="65"/>
      <c r="D919" s="65"/>
      <c r="E919" s="65"/>
      <c r="F919" s="65"/>
      <c r="H919" s="65"/>
      <c r="J919" s="65"/>
      <c r="K919" s="65"/>
      <c r="L919" s="65"/>
    </row>
    <row r="920" ht="15.75" customHeight="1">
      <c r="C920" s="65"/>
      <c r="D920" s="65"/>
      <c r="E920" s="65"/>
      <c r="F920" s="65"/>
      <c r="H920" s="65"/>
      <c r="J920" s="65"/>
      <c r="K920" s="65"/>
      <c r="L920" s="65"/>
    </row>
    <row r="921" ht="15.75" customHeight="1">
      <c r="C921" s="65"/>
      <c r="D921" s="65"/>
      <c r="E921" s="65"/>
      <c r="F921" s="65"/>
      <c r="H921" s="65"/>
      <c r="J921" s="65"/>
      <c r="K921" s="65"/>
      <c r="L921" s="65"/>
    </row>
    <row r="922" ht="15.75" customHeight="1">
      <c r="C922" s="65"/>
      <c r="D922" s="65"/>
      <c r="E922" s="65"/>
      <c r="F922" s="65"/>
      <c r="H922" s="65"/>
      <c r="J922" s="65"/>
      <c r="K922" s="65"/>
      <c r="L922" s="65"/>
    </row>
    <row r="923" ht="15.75" customHeight="1">
      <c r="C923" s="65"/>
      <c r="D923" s="65"/>
      <c r="E923" s="65"/>
      <c r="F923" s="65"/>
      <c r="H923" s="65"/>
      <c r="J923" s="65"/>
      <c r="K923" s="65"/>
      <c r="L923" s="65"/>
    </row>
    <row r="924" ht="15.75" customHeight="1">
      <c r="C924" s="65"/>
      <c r="D924" s="65"/>
      <c r="E924" s="65"/>
      <c r="F924" s="65"/>
      <c r="H924" s="65"/>
      <c r="J924" s="65"/>
      <c r="K924" s="65"/>
      <c r="L924" s="65"/>
    </row>
    <row r="925" ht="15.75" customHeight="1">
      <c r="C925" s="65"/>
      <c r="D925" s="65"/>
      <c r="E925" s="65"/>
      <c r="F925" s="65"/>
      <c r="H925" s="65"/>
      <c r="J925" s="65"/>
      <c r="K925" s="65"/>
      <c r="L925" s="65"/>
    </row>
    <row r="926" ht="15.75" customHeight="1">
      <c r="C926" s="65"/>
      <c r="D926" s="65"/>
      <c r="E926" s="65"/>
      <c r="F926" s="65"/>
      <c r="H926" s="65"/>
      <c r="J926" s="65"/>
      <c r="K926" s="65"/>
      <c r="L926" s="65"/>
    </row>
    <row r="927" ht="15.75" customHeight="1">
      <c r="C927" s="65"/>
      <c r="D927" s="65"/>
      <c r="E927" s="65"/>
      <c r="F927" s="65"/>
      <c r="H927" s="65"/>
      <c r="J927" s="65"/>
      <c r="K927" s="65"/>
      <c r="L927" s="65"/>
    </row>
    <row r="928" ht="15.75" customHeight="1">
      <c r="C928" s="65"/>
      <c r="D928" s="65"/>
      <c r="E928" s="65"/>
      <c r="F928" s="65"/>
      <c r="H928" s="65"/>
      <c r="J928" s="65"/>
      <c r="K928" s="65"/>
      <c r="L928" s="65"/>
    </row>
    <row r="929" ht="15.75" customHeight="1">
      <c r="C929" s="65"/>
      <c r="D929" s="65"/>
      <c r="E929" s="65"/>
      <c r="F929" s="65"/>
      <c r="H929" s="65"/>
      <c r="J929" s="65"/>
      <c r="K929" s="65"/>
      <c r="L929" s="65"/>
    </row>
    <row r="930" ht="15.75" customHeight="1">
      <c r="C930" s="65"/>
      <c r="D930" s="65"/>
      <c r="E930" s="65"/>
      <c r="F930" s="65"/>
      <c r="H930" s="65"/>
      <c r="J930" s="65"/>
      <c r="K930" s="65"/>
      <c r="L930" s="65"/>
    </row>
    <row r="931" ht="15.75" customHeight="1">
      <c r="C931" s="65"/>
      <c r="D931" s="65"/>
      <c r="E931" s="65"/>
      <c r="F931" s="65"/>
      <c r="H931" s="65"/>
      <c r="J931" s="65"/>
      <c r="K931" s="65"/>
      <c r="L931" s="65"/>
    </row>
    <row r="932" ht="15.75" customHeight="1">
      <c r="C932" s="65"/>
      <c r="D932" s="65"/>
      <c r="E932" s="65"/>
      <c r="F932" s="65"/>
      <c r="H932" s="65"/>
      <c r="J932" s="65"/>
      <c r="K932" s="65"/>
      <c r="L932" s="65"/>
    </row>
    <row r="933" ht="15.75" customHeight="1">
      <c r="C933" s="65"/>
      <c r="D933" s="65"/>
      <c r="E933" s="65"/>
      <c r="F933" s="65"/>
      <c r="H933" s="65"/>
      <c r="J933" s="65"/>
      <c r="K933" s="65"/>
      <c r="L933" s="65"/>
    </row>
    <row r="934" ht="15.75" customHeight="1">
      <c r="C934" s="65"/>
      <c r="D934" s="65"/>
      <c r="E934" s="65"/>
      <c r="F934" s="65"/>
      <c r="H934" s="65"/>
      <c r="J934" s="65"/>
      <c r="K934" s="65"/>
      <c r="L934" s="65"/>
    </row>
    <row r="935" ht="15.75" customHeight="1">
      <c r="C935" s="65"/>
      <c r="D935" s="65"/>
      <c r="E935" s="65"/>
      <c r="F935" s="65"/>
      <c r="H935" s="65"/>
      <c r="J935" s="65"/>
      <c r="K935" s="65"/>
      <c r="L935" s="65"/>
    </row>
    <row r="936" ht="15.75" customHeight="1">
      <c r="C936" s="65"/>
      <c r="D936" s="65"/>
      <c r="E936" s="65"/>
      <c r="F936" s="65"/>
      <c r="H936" s="65"/>
      <c r="J936" s="65"/>
      <c r="K936" s="65"/>
      <c r="L936" s="65"/>
    </row>
    <row r="937" ht="15.75" customHeight="1">
      <c r="C937" s="65"/>
      <c r="D937" s="65"/>
      <c r="E937" s="65"/>
      <c r="F937" s="65"/>
      <c r="H937" s="65"/>
      <c r="J937" s="65"/>
      <c r="K937" s="65"/>
      <c r="L937" s="65"/>
    </row>
    <row r="938" ht="15.75" customHeight="1">
      <c r="C938" s="65"/>
      <c r="D938" s="65"/>
      <c r="E938" s="65"/>
      <c r="F938" s="65"/>
      <c r="H938" s="65"/>
      <c r="J938" s="65"/>
      <c r="K938" s="65"/>
      <c r="L938" s="65"/>
    </row>
    <row r="939" ht="15.75" customHeight="1">
      <c r="C939" s="65"/>
      <c r="D939" s="65"/>
      <c r="E939" s="65"/>
      <c r="F939" s="65"/>
      <c r="H939" s="65"/>
      <c r="J939" s="65"/>
      <c r="K939" s="65"/>
      <c r="L939" s="65"/>
    </row>
    <row r="940" ht="15.75" customHeight="1">
      <c r="C940" s="65"/>
      <c r="D940" s="65"/>
      <c r="E940" s="65"/>
      <c r="F940" s="65"/>
      <c r="H940" s="65"/>
      <c r="J940" s="65"/>
      <c r="K940" s="65"/>
      <c r="L940" s="65"/>
    </row>
    <row r="941" ht="15.75" customHeight="1">
      <c r="C941" s="65"/>
      <c r="D941" s="65"/>
      <c r="E941" s="65"/>
      <c r="F941" s="65"/>
      <c r="H941" s="65"/>
      <c r="J941" s="65"/>
      <c r="K941" s="65"/>
      <c r="L941" s="65"/>
    </row>
    <row r="942" ht="15.75" customHeight="1">
      <c r="C942" s="65"/>
      <c r="D942" s="65"/>
      <c r="E942" s="65"/>
      <c r="F942" s="65"/>
      <c r="H942" s="65"/>
      <c r="J942" s="65"/>
      <c r="K942" s="65"/>
      <c r="L942" s="65"/>
    </row>
    <row r="943" ht="15.75" customHeight="1">
      <c r="C943" s="65"/>
      <c r="D943" s="65"/>
      <c r="E943" s="65"/>
      <c r="F943" s="65"/>
      <c r="H943" s="65"/>
      <c r="J943" s="65"/>
      <c r="K943" s="65"/>
      <c r="L943" s="65"/>
    </row>
    <row r="944" ht="15.75" customHeight="1">
      <c r="C944" s="65"/>
      <c r="D944" s="65"/>
      <c r="E944" s="65"/>
      <c r="F944" s="65"/>
      <c r="H944" s="65"/>
      <c r="J944" s="65"/>
      <c r="K944" s="65"/>
      <c r="L944" s="65"/>
    </row>
    <row r="945" ht="15.75" customHeight="1">
      <c r="C945" s="65"/>
      <c r="D945" s="65"/>
      <c r="E945" s="65"/>
      <c r="F945" s="65"/>
      <c r="H945" s="65"/>
      <c r="J945" s="65"/>
      <c r="K945" s="65"/>
      <c r="L945" s="65"/>
    </row>
    <row r="946" ht="15.75" customHeight="1">
      <c r="C946" s="65"/>
      <c r="D946" s="65"/>
      <c r="E946" s="65"/>
      <c r="F946" s="65"/>
      <c r="H946" s="65"/>
      <c r="J946" s="65"/>
      <c r="K946" s="65"/>
      <c r="L946" s="65"/>
    </row>
    <row r="947" ht="15.75" customHeight="1">
      <c r="C947" s="65"/>
      <c r="D947" s="65"/>
      <c r="E947" s="65"/>
      <c r="F947" s="65"/>
      <c r="H947" s="65"/>
      <c r="J947" s="65"/>
      <c r="K947" s="65"/>
      <c r="L947" s="65"/>
    </row>
    <row r="948" ht="15.75" customHeight="1">
      <c r="C948" s="65"/>
      <c r="D948" s="65"/>
      <c r="E948" s="65"/>
      <c r="F948" s="65"/>
      <c r="H948" s="65"/>
      <c r="J948" s="65"/>
      <c r="K948" s="65"/>
      <c r="L948" s="65"/>
    </row>
    <row r="949" ht="15.75" customHeight="1">
      <c r="C949" s="65"/>
      <c r="D949" s="65"/>
      <c r="E949" s="65"/>
      <c r="F949" s="65"/>
      <c r="H949" s="65"/>
      <c r="J949" s="65"/>
      <c r="K949" s="65"/>
      <c r="L949" s="65"/>
    </row>
    <row r="950" ht="15.75" customHeight="1">
      <c r="C950" s="65"/>
      <c r="D950" s="65"/>
      <c r="E950" s="65"/>
      <c r="F950" s="65"/>
      <c r="H950" s="65"/>
      <c r="J950" s="65"/>
      <c r="K950" s="65"/>
      <c r="L950" s="65"/>
    </row>
    <row r="951" ht="15.75" customHeight="1">
      <c r="C951" s="65"/>
      <c r="D951" s="65"/>
      <c r="E951" s="65"/>
      <c r="F951" s="65"/>
      <c r="H951" s="65"/>
      <c r="J951" s="65"/>
      <c r="K951" s="65"/>
      <c r="L951" s="65"/>
    </row>
    <row r="952" ht="15.75" customHeight="1">
      <c r="C952" s="65"/>
      <c r="D952" s="65"/>
      <c r="E952" s="65"/>
      <c r="F952" s="65"/>
      <c r="H952" s="65"/>
      <c r="J952" s="65"/>
      <c r="K952" s="65"/>
      <c r="L952" s="65"/>
    </row>
    <row r="953" ht="15.75" customHeight="1">
      <c r="C953" s="65"/>
      <c r="D953" s="65"/>
      <c r="E953" s="65"/>
      <c r="F953" s="65"/>
      <c r="H953" s="65"/>
      <c r="J953" s="65"/>
      <c r="K953" s="65"/>
      <c r="L953" s="65"/>
    </row>
    <row r="954" ht="15.75" customHeight="1">
      <c r="C954" s="65"/>
      <c r="D954" s="65"/>
      <c r="E954" s="65"/>
      <c r="F954" s="65"/>
      <c r="H954" s="65"/>
      <c r="J954" s="65"/>
      <c r="K954" s="65"/>
      <c r="L954" s="65"/>
    </row>
    <row r="955" ht="15.75" customHeight="1">
      <c r="C955" s="65"/>
      <c r="D955" s="65"/>
      <c r="E955" s="65"/>
      <c r="F955" s="65"/>
      <c r="H955" s="65"/>
      <c r="J955" s="65"/>
      <c r="K955" s="65"/>
      <c r="L955" s="65"/>
    </row>
    <row r="956" ht="15.75" customHeight="1">
      <c r="C956" s="65"/>
      <c r="D956" s="65"/>
      <c r="E956" s="65"/>
      <c r="F956" s="65"/>
      <c r="H956" s="65"/>
      <c r="J956" s="65"/>
      <c r="K956" s="65"/>
      <c r="L956" s="65"/>
    </row>
    <row r="957" ht="15.75" customHeight="1">
      <c r="C957" s="65"/>
      <c r="D957" s="65"/>
      <c r="E957" s="65"/>
      <c r="F957" s="65"/>
      <c r="H957" s="65"/>
      <c r="J957" s="65"/>
      <c r="K957" s="65"/>
      <c r="L957" s="65"/>
    </row>
    <row r="958" ht="15.75" customHeight="1">
      <c r="C958" s="65"/>
      <c r="D958" s="65"/>
      <c r="E958" s="65"/>
      <c r="F958" s="65"/>
      <c r="H958" s="65"/>
      <c r="J958" s="65"/>
      <c r="K958" s="65"/>
      <c r="L958" s="65"/>
    </row>
    <row r="959" ht="15.75" customHeight="1">
      <c r="C959" s="65"/>
      <c r="D959" s="65"/>
      <c r="E959" s="65"/>
      <c r="F959" s="65"/>
      <c r="H959" s="65"/>
      <c r="J959" s="65"/>
      <c r="K959" s="65"/>
      <c r="L959" s="65"/>
    </row>
    <row r="960" ht="15.75" customHeight="1">
      <c r="C960" s="65"/>
      <c r="D960" s="65"/>
      <c r="E960" s="65"/>
      <c r="F960" s="65"/>
      <c r="H960" s="65"/>
      <c r="J960" s="65"/>
      <c r="K960" s="65"/>
      <c r="L960" s="65"/>
    </row>
    <row r="961" ht="15.75" customHeight="1">
      <c r="C961" s="65"/>
      <c r="D961" s="65"/>
      <c r="E961" s="65"/>
      <c r="F961" s="65"/>
      <c r="H961" s="65"/>
      <c r="J961" s="65"/>
      <c r="K961" s="65"/>
      <c r="L961" s="65"/>
    </row>
    <row r="962" ht="15.75" customHeight="1">
      <c r="C962" s="65"/>
      <c r="D962" s="65"/>
      <c r="E962" s="65"/>
      <c r="F962" s="65"/>
      <c r="H962" s="65"/>
      <c r="J962" s="65"/>
      <c r="K962" s="65"/>
      <c r="L962" s="65"/>
    </row>
    <row r="963" ht="15.75" customHeight="1">
      <c r="C963" s="65"/>
      <c r="D963" s="65"/>
      <c r="E963" s="65"/>
      <c r="F963" s="65"/>
      <c r="H963" s="65"/>
      <c r="J963" s="65"/>
      <c r="K963" s="65"/>
      <c r="L963" s="65"/>
    </row>
    <row r="964" ht="15.75" customHeight="1">
      <c r="C964" s="65"/>
      <c r="D964" s="65"/>
      <c r="E964" s="65"/>
      <c r="F964" s="65"/>
      <c r="H964" s="65"/>
      <c r="J964" s="65"/>
      <c r="K964" s="65"/>
      <c r="L964" s="65"/>
    </row>
    <row r="965" ht="15.75" customHeight="1">
      <c r="C965" s="65"/>
      <c r="D965" s="65"/>
      <c r="E965" s="65"/>
      <c r="F965" s="65"/>
      <c r="H965" s="65"/>
      <c r="J965" s="65"/>
      <c r="K965" s="65"/>
      <c r="L965" s="65"/>
    </row>
    <row r="966" ht="15.75" customHeight="1">
      <c r="C966" s="65"/>
      <c r="D966" s="65"/>
      <c r="E966" s="65"/>
      <c r="F966" s="65"/>
      <c r="H966" s="65"/>
      <c r="J966" s="65"/>
      <c r="K966" s="65"/>
      <c r="L966" s="65"/>
    </row>
    <row r="967" ht="15.75" customHeight="1">
      <c r="C967" s="65"/>
      <c r="D967" s="65"/>
      <c r="E967" s="65"/>
      <c r="F967" s="65"/>
      <c r="H967" s="65"/>
      <c r="J967" s="65"/>
      <c r="K967" s="65"/>
      <c r="L967" s="65"/>
    </row>
    <row r="968" ht="15.75" customHeight="1">
      <c r="C968" s="65"/>
      <c r="D968" s="65"/>
      <c r="E968" s="65"/>
      <c r="F968" s="65"/>
      <c r="H968" s="65"/>
      <c r="J968" s="65"/>
      <c r="K968" s="65"/>
      <c r="L968" s="65"/>
    </row>
    <row r="969" ht="15.75" customHeight="1">
      <c r="C969" s="65"/>
      <c r="D969" s="65"/>
      <c r="E969" s="65"/>
      <c r="F969" s="65"/>
      <c r="H969" s="65"/>
      <c r="J969" s="65"/>
      <c r="K969" s="65"/>
      <c r="L969" s="65"/>
    </row>
    <row r="970" ht="15.75" customHeight="1">
      <c r="C970" s="65"/>
      <c r="D970" s="65"/>
      <c r="E970" s="65"/>
      <c r="F970" s="65"/>
      <c r="H970" s="65"/>
      <c r="J970" s="65"/>
      <c r="K970" s="65"/>
      <c r="L970" s="65"/>
    </row>
    <row r="971" ht="15.75" customHeight="1">
      <c r="C971" s="65"/>
      <c r="D971" s="65"/>
      <c r="E971" s="65"/>
      <c r="F971" s="65"/>
      <c r="H971" s="65"/>
      <c r="J971" s="65"/>
      <c r="K971" s="65"/>
      <c r="L971" s="65"/>
    </row>
    <row r="972" ht="15.75" customHeight="1">
      <c r="C972" s="65"/>
      <c r="D972" s="65"/>
      <c r="E972" s="65"/>
      <c r="F972" s="65"/>
      <c r="H972" s="65"/>
      <c r="J972" s="65"/>
      <c r="K972" s="65"/>
      <c r="L972" s="65"/>
    </row>
    <row r="973" ht="15.75" customHeight="1">
      <c r="C973" s="65"/>
      <c r="D973" s="65"/>
      <c r="E973" s="65"/>
      <c r="F973" s="65"/>
      <c r="H973" s="65"/>
      <c r="J973" s="65"/>
      <c r="K973" s="65"/>
      <c r="L973" s="65"/>
    </row>
    <row r="974" ht="15.75" customHeight="1">
      <c r="C974" s="65"/>
      <c r="D974" s="65"/>
      <c r="E974" s="65"/>
      <c r="F974" s="65"/>
      <c r="H974" s="65"/>
      <c r="J974" s="65"/>
      <c r="K974" s="65"/>
      <c r="L974" s="65"/>
    </row>
    <row r="975" ht="15.75" customHeight="1">
      <c r="C975" s="65"/>
      <c r="D975" s="65"/>
      <c r="E975" s="65"/>
      <c r="F975" s="65"/>
      <c r="H975" s="65"/>
      <c r="J975" s="65"/>
      <c r="K975" s="65"/>
      <c r="L975" s="65"/>
    </row>
    <row r="976" ht="15.75" customHeight="1">
      <c r="C976" s="65"/>
      <c r="D976" s="65"/>
      <c r="E976" s="65"/>
      <c r="F976" s="65"/>
      <c r="H976" s="65"/>
      <c r="J976" s="65"/>
      <c r="K976" s="65"/>
      <c r="L976" s="65"/>
    </row>
    <row r="977" ht="15.75" customHeight="1">
      <c r="C977" s="65"/>
      <c r="D977" s="65"/>
      <c r="E977" s="65"/>
      <c r="F977" s="65"/>
      <c r="H977" s="65"/>
      <c r="J977" s="65"/>
      <c r="K977" s="65"/>
      <c r="L977" s="65"/>
    </row>
    <row r="978" ht="15.75" customHeight="1">
      <c r="C978" s="65"/>
      <c r="D978" s="65"/>
      <c r="E978" s="65"/>
      <c r="F978" s="65"/>
      <c r="H978" s="65"/>
      <c r="J978" s="65"/>
      <c r="K978" s="65"/>
      <c r="L978" s="65"/>
    </row>
    <row r="979" ht="15.75" customHeight="1">
      <c r="C979" s="65"/>
      <c r="D979" s="65"/>
      <c r="E979" s="65"/>
      <c r="F979" s="65"/>
      <c r="H979" s="65"/>
      <c r="J979" s="65"/>
      <c r="K979" s="65"/>
      <c r="L979" s="65"/>
    </row>
    <row r="980" ht="15.75" customHeight="1">
      <c r="C980" s="65"/>
      <c r="D980" s="65"/>
      <c r="E980" s="65"/>
      <c r="F980" s="65"/>
      <c r="H980" s="65"/>
      <c r="J980" s="65"/>
      <c r="K980" s="65"/>
      <c r="L980" s="65"/>
    </row>
    <row r="981" ht="15.75" customHeight="1">
      <c r="C981" s="65"/>
      <c r="D981" s="65"/>
      <c r="E981" s="65"/>
      <c r="F981" s="65"/>
      <c r="H981" s="65"/>
      <c r="J981" s="65"/>
      <c r="K981" s="65"/>
      <c r="L981" s="65"/>
    </row>
    <row r="982" ht="15.75" customHeight="1">
      <c r="C982" s="65"/>
      <c r="D982" s="65"/>
      <c r="E982" s="65"/>
      <c r="F982" s="65"/>
      <c r="H982" s="65"/>
      <c r="J982" s="65"/>
      <c r="K982" s="65"/>
      <c r="L982" s="65"/>
    </row>
    <row r="983" ht="15.75" customHeight="1">
      <c r="C983" s="65"/>
      <c r="D983" s="65"/>
      <c r="E983" s="65"/>
      <c r="F983" s="65"/>
      <c r="H983" s="65"/>
      <c r="J983" s="65"/>
      <c r="K983" s="65"/>
      <c r="L983" s="65"/>
    </row>
    <row r="984" ht="15.75" customHeight="1">
      <c r="C984" s="65"/>
      <c r="D984" s="65"/>
      <c r="E984" s="65"/>
      <c r="F984" s="65"/>
      <c r="H984" s="65"/>
      <c r="J984" s="65"/>
      <c r="K984" s="65"/>
      <c r="L984" s="65"/>
    </row>
    <row r="985" ht="15.75" customHeight="1">
      <c r="C985" s="65"/>
      <c r="D985" s="65"/>
      <c r="E985" s="65"/>
      <c r="F985" s="65"/>
      <c r="H985" s="65"/>
      <c r="J985" s="65"/>
      <c r="K985" s="65"/>
      <c r="L985" s="65"/>
    </row>
    <row r="986" ht="15.75" customHeight="1">
      <c r="C986" s="65"/>
      <c r="D986" s="65"/>
      <c r="E986" s="65"/>
      <c r="F986" s="65"/>
      <c r="H986" s="65"/>
      <c r="J986" s="65"/>
      <c r="K986" s="65"/>
      <c r="L986" s="65"/>
    </row>
    <row r="987" ht="15.75" customHeight="1">
      <c r="C987" s="65"/>
      <c r="D987" s="65"/>
      <c r="E987" s="65"/>
      <c r="F987" s="65"/>
      <c r="H987" s="65"/>
      <c r="J987" s="65"/>
      <c r="K987" s="65"/>
      <c r="L987" s="65"/>
    </row>
    <row r="988" ht="15.75" customHeight="1">
      <c r="C988" s="65"/>
      <c r="D988" s="65"/>
      <c r="E988" s="65"/>
      <c r="F988" s="65"/>
      <c r="H988" s="65"/>
      <c r="J988" s="65"/>
      <c r="K988" s="65"/>
      <c r="L988" s="65"/>
    </row>
    <row r="989" ht="15.75" customHeight="1">
      <c r="C989" s="65"/>
      <c r="D989" s="65"/>
      <c r="E989" s="65"/>
      <c r="F989" s="65"/>
      <c r="H989" s="65"/>
      <c r="J989" s="65"/>
      <c r="K989" s="65"/>
      <c r="L989" s="65"/>
    </row>
    <row r="990" ht="15.75" customHeight="1">
      <c r="C990" s="65"/>
      <c r="D990" s="65"/>
      <c r="E990" s="65"/>
      <c r="F990" s="65"/>
      <c r="H990" s="65"/>
      <c r="J990" s="65"/>
      <c r="K990" s="65"/>
      <c r="L990" s="65"/>
    </row>
    <row r="991" ht="15.75" customHeight="1">
      <c r="C991" s="65"/>
      <c r="D991" s="65"/>
      <c r="E991" s="65"/>
      <c r="F991" s="65"/>
      <c r="H991" s="65"/>
      <c r="J991" s="65"/>
      <c r="K991" s="65"/>
      <c r="L991" s="65"/>
    </row>
    <row r="992" ht="15.75" customHeight="1">
      <c r="C992" s="65"/>
      <c r="D992" s="65"/>
      <c r="E992" s="65"/>
      <c r="F992" s="65"/>
      <c r="H992" s="65"/>
      <c r="J992" s="65"/>
      <c r="K992" s="65"/>
      <c r="L992" s="65"/>
    </row>
    <row r="993" ht="15.75" customHeight="1">
      <c r="C993" s="65"/>
      <c r="D993" s="65"/>
      <c r="E993" s="65"/>
      <c r="F993" s="65"/>
      <c r="H993" s="65"/>
      <c r="J993" s="65"/>
      <c r="K993" s="65"/>
      <c r="L993" s="65"/>
    </row>
    <row r="994" ht="15.75" customHeight="1">
      <c r="C994" s="65"/>
      <c r="D994" s="65"/>
      <c r="E994" s="65"/>
      <c r="F994" s="65"/>
      <c r="H994" s="65"/>
      <c r="J994" s="65"/>
      <c r="K994" s="65"/>
      <c r="L994" s="65"/>
    </row>
    <row r="995" ht="15.75" customHeight="1">
      <c r="C995" s="65"/>
      <c r="D995" s="65"/>
      <c r="E995" s="65"/>
      <c r="F995" s="65"/>
      <c r="H995" s="65"/>
      <c r="J995" s="65"/>
      <c r="K995" s="65"/>
      <c r="L995" s="65"/>
    </row>
    <row r="996" ht="15.75" customHeight="1">
      <c r="C996" s="65"/>
      <c r="D996" s="65"/>
      <c r="E996" s="65"/>
      <c r="F996" s="65"/>
      <c r="H996" s="65"/>
      <c r="J996" s="65"/>
      <c r="K996" s="65"/>
      <c r="L996" s="65"/>
    </row>
    <row r="997" ht="15.75" customHeight="1">
      <c r="C997" s="65"/>
      <c r="D997" s="65"/>
      <c r="E997" s="65"/>
      <c r="F997" s="65"/>
      <c r="H997" s="65"/>
      <c r="J997" s="65"/>
      <c r="K997" s="65"/>
      <c r="L997" s="65"/>
    </row>
    <row r="998" ht="15.75" customHeight="1">
      <c r="C998" s="65"/>
      <c r="D998" s="65"/>
      <c r="E998" s="65"/>
      <c r="F998" s="65"/>
      <c r="H998" s="65"/>
      <c r="J998" s="65"/>
      <c r="K998" s="65"/>
      <c r="L998" s="65"/>
    </row>
    <row r="999" ht="15.75" customHeight="1">
      <c r="C999" s="65"/>
      <c r="D999" s="65"/>
      <c r="E999" s="65"/>
      <c r="F999" s="65"/>
      <c r="H999" s="65"/>
      <c r="J999" s="65"/>
      <c r="K999" s="65"/>
      <c r="L999" s="65"/>
    </row>
    <row r="1000" ht="15.75" customHeight="1">
      <c r="C1000" s="65"/>
      <c r="D1000" s="65"/>
      <c r="E1000" s="65"/>
      <c r="F1000" s="65"/>
      <c r="H1000" s="65"/>
      <c r="J1000" s="65"/>
      <c r="K1000" s="65"/>
      <c r="L1000" s="65"/>
    </row>
  </sheetData>
  <autoFilter ref="$A$1:$M$18"/>
  <dataValidations>
    <dataValidation type="list" allowBlank="1" sqref="L2:L1000">
      <formula1>'_Lists'!$A$2:$A$43</formula1>
    </dataValidation>
    <dataValidation type="date" operator="greaterThanOrEqual" allowBlank="1" showInputMessage="1" prompt="Due Date - Enter a date (YYYY-MM-DD)" sqref="H2:H1000">
      <formula1>2020-1-1</formula1>
    </dataValidation>
    <dataValidation type="list" allowBlank="1" sqref="K2:K1000">
      <formula1>"SCRUM-6,SCRUM-37,SCRUM-313,SCRUM-301,SCRUM-259,SCRUM-282,SCRUM-262,SCRUM-281,SCRUM-280,SCRUM-279,SCRUM-277,SCRUM-260,SCRUM-314,SCRUM-339,SCRUM-315,SCRUM-352,SCRUM-351"</formula1>
    </dataValidation>
    <dataValidation type="list" allowBlank="1" sqref="F2:F1000">
      <formula1>"Amy Tripp,Napadech,Nattapat Suwansipaisan,Nutgritta Prasomthongsuk,Thiraphat Panthong"</formula1>
    </dataValidation>
    <dataValidation type="list" allowBlank="1" sqref="D2:D1000">
      <formula1>"To Do,In Progress,Done,Closed,Resolved"</formula1>
    </dataValidation>
    <dataValidation type="list" allowBlank="1" sqref="E2:E1000">
      <formula1>"Highest,High,Medium,Low,Lowest"</formula1>
    </dataValidation>
    <dataValidation type="list" allowBlank="1" sqref="J2:J1000">
      <formula1>"SCRUM Sprint 1,SCRUM Sprint 2,SCRUM Sprint 3,SCRUM Sprint 4"</formula1>
    </dataValidation>
    <dataValidation type="list" allowBlank="1" sqref="C2:C1000">
      <formula1>"Epic,Task,Test,Subtask"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2.0"/>
    <col customWidth="1" min="2" max="2" width="45.0"/>
    <col customWidth="1" min="3" max="3" width="13.0"/>
    <col customWidth="1" min="4" max="4" width="14.0"/>
    <col customWidth="1" min="5" max="5" width="11.0"/>
    <col customWidth="1" min="6" max="6" width="25.0"/>
    <col customWidth="1" min="7" max="7" width="21.0"/>
    <col customWidth="1" min="8" max="9" width="13.0"/>
    <col customWidth="1" min="10" max="10" width="18.43"/>
    <col customWidth="1" min="11" max="11" width="17.0"/>
    <col customWidth="1" min="12" max="12" width="19.57"/>
    <col customWidth="1" min="13" max="13" width="18.0"/>
  </cols>
  <sheetData>
    <row r="1" ht="30.0" customHeight="1">
      <c r="A1" s="17" t="s">
        <v>52</v>
      </c>
      <c r="B1" s="17" t="s">
        <v>53</v>
      </c>
      <c r="C1" s="17" t="s">
        <v>54</v>
      </c>
      <c r="D1" s="17" t="s">
        <v>38</v>
      </c>
      <c r="E1" s="17" t="s">
        <v>55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37</v>
      </c>
      <c r="K1" s="17" t="s">
        <v>60</v>
      </c>
      <c r="L1" s="17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4" t="s">
        <v>30</v>
      </c>
      <c r="B2" s="44" t="s">
        <v>31</v>
      </c>
      <c r="C2" s="45" t="s">
        <v>62</v>
      </c>
      <c r="D2" s="24" t="s">
        <v>14</v>
      </c>
      <c r="E2" s="51" t="s">
        <v>69</v>
      </c>
      <c r="F2" s="47"/>
      <c r="G2" s="47" t="s">
        <v>64</v>
      </c>
      <c r="H2" s="48" t="s">
        <v>158</v>
      </c>
      <c r="I2" s="47"/>
      <c r="J2" s="47"/>
      <c r="K2" s="47"/>
      <c r="L2" s="4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 outlineLevel="1">
      <c r="A3" s="49" t="s">
        <v>582</v>
      </c>
      <c r="B3" s="49" t="s">
        <v>583</v>
      </c>
      <c r="C3" s="50" t="s">
        <v>68</v>
      </c>
      <c r="D3" s="27" t="s">
        <v>14</v>
      </c>
      <c r="E3" s="51" t="s">
        <v>69</v>
      </c>
      <c r="F3" s="52" t="s">
        <v>70</v>
      </c>
      <c r="G3" s="52" t="s">
        <v>64</v>
      </c>
      <c r="H3" s="53" t="s">
        <v>183</v>
      </c>
      <c r="I3" s="52"/>
      <c r="J3" s="52" t="s">
        <v>42</v>
      </c>
      <c r="K3" s="52" t="s">
        <v>30</v>
      </c>
      <c r="L3" s="52" t="s">
        <v>31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customHeight="1" outlineLevel="1">
      <c r="A4" s="49" t="s">
        <v>584</v>
      </c>
      <c r="B4" s="49" t="s">
        <v>585</v>
      </c>
      <c r="C4" s="50" t="s">
        <v>68</v>
      </c>
      <c r="D4" s="27" t="s">
        <v>14</v>
      </c>
      <c r="E4" s="51" t="s">
        <v>69</v>
      </c>
      <c r="F4" s="52" t="s">
        <v>87</v>
      </c>
      <c r="G4" s="52" t="s">
        <v>64</v>
      </c>
      <c r="H4" s="53" t="s">
        <v>586</v>
      </c>
      <c r="I4" s="52"/>
      <c r="J4" s="52" t="s">
        <v>42</v>
      </c>
      <c r="K4" s="52" t="s">
        <v>30</v>
      </c>
      <c r="L4" s="52" t="s">
        <v>31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 outlineLevel="1">
      <c r="A5" s="49" t="s">
        <v>587</v>
      </c>
      <c r="B5" s="49" t="s">
        <v>588</v>
      </c>
      <c r="C5" s="50" t="s">
        <v>68</v>
      </c>
      <c r="D5" s="27" t="s">
        <v>14</v>
      </c>
      <c r="E5" s="51" t="s">
        <v>69</v>
      </c>
      <c r="F5" s="52" t="s">
        <v>87</v>
      </c>
      <c r="G5" s="52"/>
      <c r="H5" s="53">
        <v>46085.0</v>
      </c>
      <c r="I5" s="52"/>
      <c r="J5" s="52" t="s">
        <v>42</v>
      </c>
      <c r="K5" s="52" t="s">
        <v>30</v>
      </c>
      <c r="L5" s="52" t="s">
        <v>31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customHeight="1" outlineLevel="2">
      <c r="A6" s="49" t="s">
        <v>589</v>
      </c>
      <c r="B6" s="49" t="s">
        <v>590</v>
      </c>
      <c r="C6" s="50" t="s">
        <v>75</v>
      </c>
      <c r="D6" s="27" t="s">
        <v>14</v>
      </c>
      <c r="E6" s="51" t="s">
        <v>69</v>
      </c>
      <c r="F6" s="52" t="s">
        <v>87</v>
      </c>
      <c r="G6" s="52"/>
      <c r="H6" s="53">
        <v>46085.0</v>
      </c>
      <c r="I6" s="52"/>
      <c r="J6" s="52" t="s">
        <v>42</v>
      </c>
      <c r="K6" s="52" t="s">
        <v>587</v>
      </c>
      <c r="L6" s="52" t="str">
        <f t="shared" ref="L6:L10" si="1">IFERROR(INDEX($B$2:$B$1000,MATCH(K6,$A$2:$A$1000,0)),"")</f>
        <v>Comment Reply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9.5" customHeight="1" outlineLevel="2">
      <c r="A7" s="49" t="s">
        <v>591</v>
      </c>
      <c r="B7" s="49" t="s">
        <v>592</v>
      </c>
      <c r="C7" s="50" t="s">
        <v>75</v>
      </c>
      <c r="D7" s="27" t="s">
        <v>14</v>
      </c>
      <c r="E7" s="51" t="s">
        <v>69</v>
      </c>
      <c r="F7" s="52" t="s">
        <v>70</v>
      </c>
      <c r="G7" s="52"/>
      <c r="H7" s="53">
        <v>46085.0</v>
      </c>
      <c r="I7" s="52"/>
      <c r="J7" s="52" t="s">
        <v>42</v>
      </c>
      <c r="K7" s="52" t="s">
        <v>587</v>
      </c>
      <c r="L7" s="52" t="str">
        <f t="shared" si="1"/>
        <v>Comment Reply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customHeight="1" outlineLevel="1">
      <c r="A8" s="49" t="s">
        <v>593</v>
      </c>
      <c r="B8" s="49" t="s">
        <v>594</v>
      </c>
      <c r="C8" s="50" t="s">
        <v>68</v>
      </c>
      <c r="D8" s="27" t="s">
        <v>14</v>
      </c>
      <c r="E8" s="51" t="s">
        <v>69</v>
      </c>
      <c r="F8" s="52" t="s">
        <v>70</v>
      </c>
      <c r="G8" s="52"/>
      <c r="H8" s="53">
        <v>46085.0</v>
      </c>
      <c r="I8" s="52"/>
      <c r="J8" s="52" t="s">
        <v>42</v>
      </c>
      <c r="K8" s="52" t="s">
        <v>30</v>
      </c>
      <c r="L8" s="52" t="str">
        <f t="shared" si="1"/>
        <v>Social Learning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9.5" customHeight="1" outlineLevel="2">
      <c r="A9" s="49" t="s">
        <v>595</v>
      </c>
      <c r="B9" s="49" t="s">
        <v>596</v>
      </c>
      <c r="C9" s="50" t="s">
        <v>75</v>
      </c>
      <c r="D9" s="27" t="s">
        <v>14</v>
      </c>
      <c r="E9" s="51" t="s">
        <v>69</v>
      </c>
      <c r="F9" s="52" t="s">
        <v>70</v>
      </c>
      <c r="G9" s="52"/>
      <c r="H9" s="53">
        <v>46085.0</v>
      </c>
      <c r="I9" s="52"/>
      <c r="J9" s="52" t="s">
        <v>42</v>
      </c>
      <c r="K9" s="52" t="s">
        <v>593</v>
      </c>
      <c r="L9" s="52" t="str">
        <f t="shared" si="1"/>
        <v>Comment Reaction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9.5" customHeight="1" outlineLevel="2">
      <c r="A10" s="49" t="s">
        <v>597</v>
      </c>
      <c r="B10" s="49" t="s">
        <v>598</v>
      </c>
      <c r="C10" s="50" t="s">
        <v>75</v>
      </c>
      <c r="D10" s="27" t="s">
        <v>14</v>
      </c>
      <c r="E10" s="51" t="s">
        <v>69</v>
      </c>
      <c r="F10" s="52" t="s">
        <v>70</v>
      </c>
      <c r="G10" s="52"/>
      <c r="H10" s="53">
        <v>46085.0</v>
      </c>
      <c r="I10" s="52"/>
      <c r="J10" s="52" t="s">
        <v>42</v>
      </c>
      <c r="K10" s="52" t="s">
        <v>593</v>
      </c>
      <c r="L10" s="52" t="str">
        <f t="shared" si="1"/>
        <v>Comment Reaction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.5" customHeight="1" outlineLevel="1">
      <c r="A11" s="49" t="s">
        <v>599</v>
      </c>
      <c r="B11" s="49" t="s">
        <v>600</v>
      </c>
      <c r="C11" s="50" t="s">
        <v>68</v>
      </c>
      <c r="D11" s="27" t="s">
        <v>235</v>
      </c>
      <c r="E11" s="51" t="s">
        <v>69</v>
      </c>
      <c r="F11" s="52" t="s">
        <v>70</v>
      </c>
      <c r="G11" s="52" t="s">
        <v>64</v>
      </c>
      <c r="H11" s="53">
        <v>46087.0</v>
      </c>
      <c r="I11" s="52"/>
      <c r="J11" s="52" t="s">
        <v>42</v>
      </c>
      <c r="K11" s="52" t="s">
        <v>30</v>
      </c>
      <c r="L11" s="52" t="s">
        <v>31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0" customHeight="1">
      <c r="A12" s="4"/>
      <c r="B12" s="4"/>
      <c r="C12" s="64"/>
      <c r="D12" s="64" t="str">
        <f t="shared" ref="D12:D61" si="2">IF(A12&lt;&gt;"","To Do","")</f>
        <v/>
      </c>
      <c r="E12" s="64"/>
      <c r="F12" s="64"/>
      <c r="G12" s="64"/>
      <c r="H12" s="64"/>
      <c r="I12" s="64"/>
      <c r="J12" s="64"/>
      <c r="K12" s="64"/>
      <c r="L12" s="64" t="str">
        <f t="shared" ref="L12:L61" si="3">IF(K12&lt;&gt;"",IFERROR(INDEX($B$2:$B$1000,MATCH(K12,$A$2:$A$1000,0)),""),"")</f>
        <v/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0" customHeight="1">
      <c r="A13" s="4"/>
      <c r="B13" s="4"/>
      <c r="C13" s="64"/>
      <c r="D13" s="64" t="str">
        <f t="shared" si="2"/>
        <v/>
      </c>
      <c r="E13" s="64"/>
      <c r="F13" s="64"/>
      <c r="G13" s="64"/>
      <c r="H13" s="64"/>
      <c r="I13" s="64"/>
      <c r="J13" s="64"/>
      <c r="K13" s="64"/>
      <c r="L13" s="64" t="str">
        <f t="shared" si="3"/>
        <v/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0" customHeight="1">
      <c r="A14" s="4"/>
      <c r="B14" s="4"/>
      <c r="C14" s="64"/>
      <c r="D14" s="64" t="str">
        <f t="shared" si="2"/>
        <v/>
      </c>
      <c r="E14" s="64"/>
      <c r="F14" s="64"/>
      <c r="G14" s="64"/>
      <c r="H14" s="64"/>
      <c r="I14" s="64"/>
      <c r="J14" s="64"/>
      <c r="K14" s="64"/>
      <c r="L14" s="64" t="str">
        <f t="shared" si="3"/>
        <v/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0" customHeight="1">
      <c r="A15" s="4"/>
      <c r="B15" s="4"/>
      <c r="C15" s="64"/>
      <c r="D15" s="64" t="str">
        <f t="shared" si="2"/>
        <v/>
      </c>
      <c r="E15" s="64"/>
      <c r="F15" s="64"/>
      <c r="G15" s="64"/>
      <c r="H15" s="64"/>
      <c r="I15" s="64"/>
      <c r="J15" s="64"/>
      <c r="K15" s="64"/>
      <c r="L15" s="64" t="str">
        <f t="shared" si="3"/>
        <v/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0" customHeight="1">
      <c r="A16" s="4"/>
      <c r="B16" s="4"/>
      <c r="C16" s="64"/>
      <c r="D16" s="64" t="str">
        <f t="shared" si="2"/>
        <v/>
      </c>
      <c r="E16" s="64"/>
      <c r="F16" s="64"/>
      <c r="G16" s="64"/>
      <c r="H16" s="64"/>
      <c r="I16" s="64"/>
      <c r="J16" s="64"/>
      <c r="K16" s="64"/>
      <c r="L16" s="64" t="str">
        <f t="shared" si="3"/>
        <v/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4"/>
      <c r="B17" s="4"/>
      <c r="C17" s="64"/>
      <c r="D17" s="64" t="str">
        <f t="shared" si="2"/>
        <v/>
      </c>
      <c r="E17" s="64"/>
      <c r="F17" s="64"/>
      <c r="G17" s="64"/>
      <c r="H17" s="64"/>
      <c r="I17" s="64"/>
      <c r="J17" s="64"/>
      <c r="K17" s="64"/>
      <c r="L17" s="64" t="str">
        <f t="shared" si="3"/>
        <v/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0" customHeight="1">
      <c r="A18" s="4"/>
      <c r="B18" s="4"/>
      <c r="C18" s="64"/>
      <c r="D18" s="64" t="str">
        <f t="shared" si="2"/>
        <v/>
      </c>
      <c r="E18" s="64"/>
      <c r="F18" s="64"/>
      <c r="G18" s="64"/>
      <c r="H18" s="64"/>
      <c r="I18" s="64"/>
      <c r="J18" s="64"/>
      <c r="K18" s="64"/>
      <c r="L18" s="64" t="str">
        <f t="shared" si="3"/>
        <v/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0" customHeight="1">
      <c r="A19" s="4"/>
      <c r="B19" s="4"/>
      <c r="C19" s="64"/>
      <c r="D19" s="64" t="str">
        <f t="shared" si="2"/>
        <v/>
      </c>
      <c r="E19" s="64"/>
      <c r="F19" s="64"/>
      <c r="G19" s="64"/>
      <c r="H19" s="64"/>
      <c r="I19" s="64"/>
      <c r="J19" s="64"/>
      <c r="K19" s="64"/>
      <c r="L19" s="64" t="str">
        <f t="shared" si="3"/>
        <v/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0" customHeight="1">
      <c r="A20" s="4"/>
      <c r="B20" s="4"/>
      <c r="C20" s="64"/>
      <c r="D20" s="64" t="str">
        <f t="shared" si="2"/>
        <v/>
      </c>
      <c r="E20" s="64"/>
      <c r="F20" s="64"/>
      <c r="G20" s="64"/>
      <c r="H20" s="64"/>
      <c r="I20" s="64"/>
      <c r="J20" s="64"/>
      <c r="K20" s="64"/>
      <c r="L20" s="64" t="str">
        <f t="shared" si="3"/>
        <v/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0" customHeight="1">
      <c r="A21" s="4"/>
      <c r="B21" s="4"/>
      <c r="C21" s="64"/>
      <c r="D21" s="64" t="str">
        <f t="shared" si="2"/>
        <v/>
      </c>
      <c r="E21" s="64"/>
      <c r="F21" s="64"/>
      <c r="G21" s="64"/>
      <c r="H21" s="64"/>
      <c r="I21" s="64"/>
      <c r="J21" s="64"/>
      <c r="K21" s="64"/>
      <c r="L21" s="64" t="str">
        <f t="shared" si="3"/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0" customHeight="1">
      <c r="A22" s="4"/>
      <c r="B22" s="4"/>
      <c r="C22" s="64"/>
      <c r="D22" s="64" t="str">
        <f t="shared" si="2"/>
        <v/>
      </c>
      <c r="E22" s="64"/>
      <c r="F22" s="64"/>
      <c r="G22" s="64"/>
      <c r="H22" s="64"/>
      <c r="I22" s="64"/>
      <c r="J22" s="64"/>
      <c r="K22" s="64"/>
      <c r="L22" s="64" t="str">
        <f t="shared" si="3"/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0" customHeight="1">
      <c r="A23" s="4"/>
      <c r="B23" s="4"/>
      <c r="C23" s="64"/>
      <c r="D23" s="64" t="str">
        <f t="shared" si="2"/>
        <v/>
      </c>
      <c r="E23" s="64"/>
      <c r="F23" s="64"/>
      <c r="G23" s="64"/>
      <c r="H23" s="64"/>
      <c r="I23" s="64"/>
      <c r="J23" s="64"/>
      <c r="K23" s="64"/>
      <c r="L23" s="64" t="str">
        <f t="shared" si="3"/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0" customHeight="1">
      <c r="A24" s="4"/>
      <c r="B24" s="4"/>
      <c r="C24" s="64"/>
      <c r="D24" s="64" t="str">
        <f t="shared" si="2"/>
        <v/>
      </c>
      <c r="E24" s="64"/>
      <c r="F24" s="64"/>
      <c r="G24" s="64"/>
      <c r="H24" s="64"/>
      <c r="I24" s="64"/>
      <c r="J24" s="64"/>
      <c r="K24" s="64"/>
      <c r="L24" s="64" t="str">
        <f t="shared" si="3"/>
        <v/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0" customHeight="1">
      <c r="A25" s="4"/>
      <c r="B25" s="4"/>
      <c r="C25" s="64"/>
      <c r="D25" s="64" t="str">
        <f t="shared" si="2"/>
        <v/>
      </c>
      <c r="E25" s="64"/>
      <c r="F25" s="64"/>
      <c r="G25" s="64"/>
      <c r="H25" s="64"/>
      <c r="I25" s="64"/>
      <c r="J25" s="64"/>
      <c r="K25" s="64"/>
      <c r="L25" s="64" t="str">
        <f t="shared" si="3"/>
        <v/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0" customHeight="1">
      <c r="A26" s="4"/>
      <c r="B26" s="4"/>
      <c r="C26" s="64"/>
      <c r="D26" s="64" t="str">
        <f t="shared" si="2"/>
        <v/>
      </c>
      <c r="E26" s="64"/>
      <c r="F26" s="64"/>
      <c r="G26" s="64"/>
      <c r="H26" s="64"/>
      <c r="I26" s="64"/>
      <c r="J26" s="64"/>
      <c r="K26" s="64"/>
      <c r="L26" s="64" t="str">
        <f t="shared" si="3"/>
        <v/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64"/>
      <c r="D27" s="64" t="str">
        <f t="shared" si="2"/>
        <v/>
      </c>
      <c r="E27" s="64"/>
      <c r="F27" s="64"/>
      <c r="G27" s="64"/>
      <c r="H27" s="64"/>
      <c r="I27" s="64"/>
      <c r="J27" s="64"/>
      <c r="K27" s="64"/>
      <c r="L27" s="64" t="str">
        <f t="shared" si="3"/>
        <v/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64"/>
      <c r="D28" s="64" t="str">
        <f t="shared" si="2"/>
        <v/>
      </c>
      <c r="E28" s="64"/>
      <c r="F28" s="64"/>
      <c r="G28" s="64"/>
      <c r="H28" s="64"/>
      <c r="I28" s="64"/>
      <c r="J28" s="64"/>
      <c r="K28" s="64"/>
      <c r="L28" s="64" t="str">
        <f t="shared" si="3"/>
        <v/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64"/>
      <c r="D29" s="64" t="str">
        <f t="shared" si="2"/>
        <v/>
      </c>
      <c r="E29" s="64"/>
      <c r="F29" s="64"/>
      <c r="G29" s="64"/>
      <c r="H29" s="64"/>
      <c r="I29" s="64"/>
      <c r="J29" s="64"/>
      <c r="K29" s="64"/>
      <c r="L29" s="64" t="str">
        <f t="shared" si="3"/>
        <v/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64"/>
      <c r="D30" s="64" t="str">
        <f t="shared" si="2"/>
        <v/>
      </c>
      <c r="E30" s="64"/>
      <c r="F30" s="64"/>
      <c r="G30" s="64"/>
      <c r="H30" s="64"/>
      <c r="I30" s="64"/>
      <c r="J30" s="64"/>
      <c r="K30" s="64"/>
      <c r="L30" s="64" t="str">
        <f t="shared" si="3"/>
        <v/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64"/>
      <c r="D31" s="64" t="str">
        <f t="shared" si="2"/>
        <v/>
      </c>
      <c r="E31" s="64"/>
      <c r="F31" s="64"/>
      <c r="G31" s="64"/>
      <c r="H31" s="64"/>
      <c r="I31" s="64"/>
      <c r="J31" s="64"/>
      <c r="K31" s="64"/>
      <c r="L31" s="64" t="str">
        <f t="shared" si="3"/>
        <v/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64"/>
      <c r="D32" s="64" t="str">
        <f t="shared" si="2"/>
        <v/>
      </c>
      <c r="E32" s="64"/>
      <c r="F32" s="64"/>
      <c r="G32" s="64"/>
      <c r="H32" s="64"/>
      <c r="I32" s="64"/>
      <c r="J32" s="64"/>
      <c r="K32" s="64"/>
      <c r="L32" s="64" t="str">
        <f t="shared" si="3"/>
        <v/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64"/>
      <c r="D33" s="64" t="str">
        <f t="shared" si="2"/>
        <v/>
      </c>
      <c r="E33" s="64"/>
      <c r="F33" s="64"/>
      <c r="G33" s="64"/>
      <c r="H33" s="64"/>
      <c r="I33" s="64"/>
      <c r="J33" s="64"/>
      <c r="K33" s="64"/>
      <c r="L33" s="64" t="str">
        <f t="shared" si="3"/>
        <v/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64"/>
      <c r="D34" s="64" t="str">
        <f t="shared" si="2"/>
        <v/>
      </c>
      <c r="E34" s="64"/>
      <c r="F34" s="64"/>
      <c r="G34" s="64"/>
      <c r="H34" s="64"/>
      <c r="I34" s="64"/>
      <c r="J34" s="64"/>
      <c r="K34" s="64"/>
      <c r="L34" s="64" t="str">
        <f t="shared" si="3"/>
        <v/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64"/>
      <c r="D35" s="64" t="str">
        <f t="shared" si="2"/>
        <v/>
      </c>
      <c r="E35" s="64"/>
      <c r="F35" s="64"/>
      <c r="G35" s="64"/>
      <c r="H35" s="64"/>
      <c r="I35" s="64"/>
      <c r="J35" s="64"/>
      <c r="K35" s="64"/>
      <c r="L35" s="64" t="str">
        <f t="shared" si="3"/>
        <v/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64"/>
      <c r="D36" s="64" t="str">
        <f t="shared" si="2"/>
        <v/>
      </c>
      <c r="E36" s="64"/>
      <c r="F36" s="64"/>
      <c r="G36" s="64"/>
      <c r="H36" s="64"/>
      <c r="I36" s="64"/>
      <c r="J36" s="64"/>
      <c r="K36" s="64"/>
      <c r="L36" s="64" t="str">
        <f t="shared" si="3"/>
        <v/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64"/>
      <c r="D37" s="64" t="str">
        <f t="shared" si="2"/>
        <v/>
      </c>
      <c r="E37" s="64"/>
      <c r="F37" s="64"/>
      <c r="G37" s="64"/>
      <c r="H37" s="64"/>
      <c r="I37" s="64"/>
      <c r="J37" s="64"/>
      <c r="K37" s="64"/>
      <c r="L37" s="64" t="str">
        <f t="shared" si="3"/>
        <v/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64"/>
      <c r="D38" s="64" t="str">
        <f t="shared" si="2"/>
        <v/>
      </c>
      <c r="E38" s="64"/>
      <c r="F38" s="64"/>
      <c r="G38" s="64"/>
      <c r="H38" s="64"/>
      <c r="I38" s="64"/>
      <c r="J38" s="64"/>
      <c r="K38" s="64"/>
      <c r="L38" s="64" t="str">
        <f t="shared" si="3"/>
        <v/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64"/>
      <c r="D39" s="64" t="str">
        <f t="shared" si="2"/>
        <v/>
      </c>
      <c r="E39" s="64"/>
      <c r="F39" s="64"/>
      <c r="G39" s="64"/>
      <c r="H39" s="64"/>
      <c r="I39" s="64"/>
      <c r="J39" s="64"/>
      <c r="K39" s="64"/>
      <c r="L39" s="64" t="str">
        <f t="shared" si="3"/>
        <v/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64"/>
      <c r="D40" s="64" t="str">
        <f t="shared" si="2"/>
        <v/>
      </c>
      <c r="E40" s="64"/>
      <c r="F40" s="64"/>
      <c r="G40" s="64"/>
      <c r="H40" s="64"/>
      <c r="I40" s="64"/>
      <c r="J40" s="64"/>
      <c r="K40" s="64"/>
      <c r="L40" s="64" t="str">
        <f t="shared" si="3"/>
        <v/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64"/>
      <c r="D41" s="64" t="str">
        <f t="shared" si="2"/>
        <v/>
      </c>
      <c r="E41" s="64"/>
      <c r="F41" s="64"/>
      <c r="G41" s="64"/>
      <c r="H41" s="64"/>
      <c r="I41" s="64"/>
      <c r="J41" s="64"/>
      <c r="K41" s="64"/>
      <c r="L41" s="64" t="str">
        <f t="shared" si="3"/>
        <v/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64"/>
      <c r="D42" s="64" t="str">
        <f t="shared" si="2"/>
        <v/>
      </c>
      <c r="E42" s="64"/>
      <c r="F42" s="64"/>
      <c r="G42" s="64"/>
      <c r="H42" s="64"/>
      <c r="I42" s="64"/>
      <c r="J42" s="64"/>
      <c r="K42" s="64"/>
      <c r="L42" s="64" t="str">
        <f t="shared" si="3"/>
        <v/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64"/>
      <c r="D43" s="64" t="str">
        <f t="shared" si="2"/>
        <v/>
      </c>
      <c r="E43" s="64"/>
      <c r="F43" s="64"/>
      <c r="G43" s="64"/>
      <c r="H43" s="64"/>
      <c r="I43" s="64"/>
      <c r="J43" s="64"/>
      <c r="K43" s="64"/>
      <c r="L43" s="64" t="str">
        <f t="shared" si="3"/>
        <v/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64"/>
      <c r="D44" s="64" t="str">
        <f t="shared" si="2"/>
        <v/>
      </c>
      <c r="E44" s="64"/>
      <c r="F44" s="64"/>
      <c r="G44" s="64"/>
      <c r="H44" s="64"/>
      <c r="I44" s="64"/>
      <c r="J44" s="64"/>
      <c r="K44" s="64"/>
      <c r="L44" s="64" t="str">
        <f t="shared" si="3"/>
        <v/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64"/>
      <c r="D45" s="64" t="str">
        <f t="shared" si="2"/>
        <v/>
      </c>
      <c r="E45" s="64"/>
      <c r="F45" s="64"/>
      <c r="G45" s="64"/>
      <c r="H45" s="64"/>
      <c r="I45" s="64"/>
      <c r="J45" s="64"/>
      <c r="K45" s="64"/>
      <c r="L45" s="64" t="str">
        <f t="shared" si="3"/>
        <v/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64"/>
      <c r="D46" s="64" t="str">
        <f t="shared" si="2"/>
        <v/>
      </c>
      <c r="E46" s="64"/>
      <c r="F46" s="64"/>
      <c r="G46" s="64"/>
      <c r="H46" s="64"/>
      <c r="I46" s="64"/>
      <c r="J46" s="64"/>
      <c r="K46" s="64"/>
      <c r="L46" s="64" t="str">
        <f t="shared" si="3"/>
        <v/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64"/>
      <c r="D47" s="64" t="str">
        <f t="shared" si="2"/>
        <v/>
      </c>
      <c r="E47" s="64"/>
      <c r="F47" s="64"/>
      <c r="G47" s="64"/>
      <c r="H47" s="64"/>
      <c r="I47" s="64"/>
      <c r="J47" s="64"/>
      <c r="K47" s="64"/>
      <c r="L47" s="64" t="str">
        <f t="shared" si="3"/>
        <v/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64"/>
      <c r="D48" s="64" t="str">
        <f t="shared" si="2"/>
        <v/>
      </c>
      <c r="E48" s="64"/>
      <c r="F48" s="64"/>
      <c r="G48" s="64"/>
      <c r="H48" s="64"/>
      <c r="I48" s="64"/>
      <c r="J48" s="64"/>
      <c r="K48" s="64"/>
      <c r="L48" s="64" t="str">
        <f t="shared" si="3"/>
        <v/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64"/>
      <c r="D49" s="64" t="str">
        <f t="shared" si="2"/>
        <v/>
      </c>
      <c r="E49" s="64"/>
      <c r="F49" s="64"/>
      <c r="G49" s="64"/>
      <c r="H49" s="64"/>
      <c r="I49" s="64"/>
      <c r="J49" s="64"/>
      <c r="K49" s="64"/>
      <c r="L49" s="64" t="str">
        <f t="shared" si="3"/>
        <v/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64"/>
      <c r="D50" s="64" t="str">
        <f t="shared" si="2"/>
        <v/>
      </c>
      <c r="E50" s="64"/>
      <c r="F50" s="64"/>
      <c r="G50" s="64"/>
      <c r="H50" s="64"/>
      <c r="I50" s="64"/>
      <c r="J50" s="64"/>
      <c r="K50" s="64"/>
      <c r="L50" s="64" t="str">
        <f t="shared" si="3"/>
        <v/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64"/>
      <c r="D51" s="64" t="str">
        <f t="shared" si="2"/>
        <v/>
      </c>
      <c r="E51" s="64"/>
      <c r="F51" s="64"/>
      <c r="G51" s="64"/>
      <c r="H51" s="64"/>
      <c r="I51" s="64"/>
      <c r="J51" s="64"/>
      <c r="K51" s="64"/>
      <c r="L51" s="64" t="str">
        <f t="shared" si="3"/>
        <v/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64"/>
      <c r="D52" s="64" t="str">
        <f t="shared" si="2"/>
        <v/>
      </c>
      <c r="E52" s="64"/>
      <c r="F52" s="64"/>
      <c r="G52" s="64"/>
      <c r="H52" s="64"/>
      <c r="I52" s="64"/>
      <c r="J52" s="64"/>
      <c r="K52" s="64"/>
      <c r="L52" s="64" t="str">
        <f t="shared" si="3"/>
        <v/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64"/>
      <c r="D53" s="64" t="str">
        <f t="shared" si="2"/>
        <v/>
      </c>
      <c r="E53" s="64"/>
      <c r="F53" s="64"/>
      <c r="G53" s="64"/>
      <c r="H53" s="64"/>
      <c r="I53" s="64"/>
      <c r="J53" s="64"/>
      <c r="K53" s="64"/>
      <c r="L53" s="64" t="str">
        <f t="shared" si="3"/>
        <v/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64"/>
      <c r="D54" s="64" t="str">
        <f t="shared" si="2"/>
        <v/>
      </c>
      <c r="E54" s="64"/>
      <c r="F54" s="64"/>
      <c r="G54" s="64"/>
      <c r="H54" s="64"/>
      <c r="I54" s="64"/>
      <c r="J54" s="64"/>
      <c r="K54" s="64"/>
      <c r="L54" s="64" t="str">
        <f t="shared" si="3"/>
        <v/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64"/>
      <c r="D55" s="64" t="str">
        <f t="shared" si="2"/>
        <v/>
      </c>
      <c r="E55" s="64"/>
      <c r="F55" s="64"/>
      <c r="G55" s="64"/>
      <c r="H55" s="64"/>
      <c r="I55" s="64"/>
      <c r="J55" s="64"/>
      <c r="K55" s="64"/>
      <c r="L55" s="64" t="str">
        <f t="shared" si="3"/>
        <v/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64"/>
      <c r="D56" s="64" t="str">
        <f t="shared" si="2"/>
        <v/>
      </c>
      <c r="E56" s="64"/>
      <c r="F56" s="64"/>
      <c r="G56" s="64"/>
      <c r="H56" s="64"/>
      <c r="I56" s="64"/>
      <c r="J56" s="64"/>
      <c r="K56" s="64"/>
      <c r="L56" s="64" t="str">
        <f t="shared" si="3"/>
        <v/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64"/>
      <c r="D57" s="64" t="str">
        <f t="shared" si="2"/>
        <v/>
      </c>
      <c r="E57" s="64"/>
      <c r="F57" s="64"/>
      <c r="G57" s="64"/>
      <c r="H57" s="64"/>
      <c r="I57" s="64"/>
      <c r="J57" s="64"/>
      <c r="K57" s="64"/>
      <c r="L57" s="64" t="str">
        <f t="shared" si="3"/>
        <v/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64"/>
      <c r="D58" s="64" t="str">
        <f t="shared" si="2"/>
        <v/>
      </c>
      <c r="E58" s="64"/>
      <c r="F58" s="64"/>
      <c r="G58" s="64"/>
      <c r="H58" s="64"/>
      <c r="I58" s="64"/>
      <c r="J58" s="64"/>
      <c r="K58" s="64"/>
      <c r="L58" s="64" t="str">
        <f t="shared" si="3"/>
        <v/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64"/>
      <c r="D59" s="64" t="str">
        <f t="shared" si="2"/>
        <v/>
      </c>
      <c r="E59" s="64"/>
      <c r="F59" s="64"/>
      <c r="G59" s="64"/>
      <c r="H59" s="64"/>
      <c r="I59" s="64"/>
      <c r="J59" s="64"/>
      <c r="K59" s="64"/>
      <c r="L59" s="64" t="str">
        <f t="shared" si="3"/>
        <v/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64"/>
      <c r="D60" s="64" t="str">
        <f t="shared" si="2"/>
        <v/>
      </c>
      <c r="E60" s="64"/>
      <c r="F60" s="64"/>
      <c r="G60" s="64"/>
      <c r="H60" s="64"/>
      <c r="I60" s="64"/>
      <c r="J60" s="64"/>
      <c r="K60" s="64"/>
      <c r="L60" s="64" t="str">
        <f t="shared" si="3"/>
        <v/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64"/>
      <c r="D61" s="64" t="str">
        <f t="shared" si="2"/>
        <v/>
      </c>
      <c r="E61" s="64"/>
      <c r="F61" s="64"/>
      <c r="G61" s="64"/>
      <c r="H61" s="64"/>
      <c r="I61" s="64"/>
      <c r="J61" s="64"/>
      <c r="K61" s="64"/>
      <c r="L61" s="64" t="str">
        <f t="shared" si="3"/>
        <v/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4"/>
    </row>
    <row r="228" ht="15.75" customHeight="1">
      <c r="A228" s="4"/>
      <c r="B228" s="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4"/>
    </row>
    <row r="229" ht="15.75" customHeight="1">
      <c r="A229" s="4"/>
      <c r="B229" s="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4"/>
    </row>
    <row r="230" ht="15.75" customHeight="1">
      <c r="A230" s="4"/>
      <c r="B230" s="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4"/>
    </row>
    <row r="231" ht="15.75" customHeight="1">
      <c r="A231" s="4"/>
      <c r="B231" s="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4"/>
    </row>
    <row r="232" ht="15.75" customHeight="1">
      <c r="A232" s="4"/>
      <c r="B232" s="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4"/>
    </row>
    <row r="233" ht="15.75" customHeight="1">
      <c r="A233" s="4"/>
      <c r="B233" s="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4"/>
    </row>
    <row r="234" ht="15.75" customHeight="1">
      <c r="A234" s="4"/>
      <c r="B234" s="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4"/>
    </row>
    <row r="235" ht="15.75" customHeight="1">
      <c r="A235" s="4"/>
      <c r="B235" s="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4"/>
    </row>
    <row r="236" ht="15.75" customHeight="1">
      <c r="A236" s="4"/>
      <c r="B236" s="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4"/>
    </row>
    <row r="237" ht="15.75" customHeight="1">
      <c r="A237" s="4"/>
      <c r="B237" s="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4"/>
    </row>
    <row r="238" ht="15.75" customHeight="1">
      <c r="A238" s="4"/>
      <c r="B238" s="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4"/>
    </row>
    <row r="239" ht="15.75" customHeight="1">
      <c r="A239" s="4"/>
      <c r="B239" s="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4"/>
    </row>
    <row r="240" ht="15.75" customHeight="1">
      <c r="A240" s="4"/>
      <c r="B240" s="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4"/>
    </row>
    <row r="241" ht="15.75" customHeight="1">
      <c r="A241" s="4"/>
      <c r="B241" s="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4"/>
    </row>
    <row r="242" ht="15.75" customHeight="1">
      <c r="A242" s="4"/>
      <c r="B242" s="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4"/>
    </row>
    <row r="243" ht="15.75" customHeight="1">
      <c r="A243" s="4"/>
      <c r="B243" s="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4"/>
    </row>
    <row r="244" ht="15.75" customHeight="1">
      <c r="A244" s="4"/>
      <c r="B244" s="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4"/>
    </row>
    <row r="245" ht="15.75" customHeight="1">
      <c r="A245" s="4"/>
      <c r="B245" s="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4"/>
    </row>
    <row r="246" ht="15.75" customHeight="1">
      <c r="A246" s="4"/>
      <c r="B246" s="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4"/>
    </row>
    <row r="247" ht="15.75" customHeight="1">
      <c r="A247" s="4"/>
      <c r="B247" s="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4"/>
    </row>
    <row r="248" ht="15.75" customHeight="1">
      <c r="A248" s="4"/>
      <c r="B248" s="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4"/>
    </row>
    <row r="249" ht="15.75" customHeight="1">
      <c r="A249" s="4"/>
      <c r="B249" s="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4"/>
    </row>
    <row r="250" ht="15.75" customHeight="1">
      <c r="A250" s="4"/>
      <c r="B250" s="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4"/>
    </row>
    <row r="251" ht="15.75" customHeight="1">
      <c r="A251" s="4"/>
      <c r="B251" s="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4"/>
    </row>
    <row r="252" ht="15.75" customHeight="1">
      <c r="A252" s="4"/>
      <c r="B252" s="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4"/>
    </row>
    <row r="253" ht="15.75" customHeight="1">
      <c r="A253" s="4"/>
      <c r="B253" s="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4"/>
    </row>
    <row r="254" ht="15.75" customHeight="1">
      <c r="A254" s="4"/>
      <c r="B254" s="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4"/>
    </row>
    <row r="255" ht="15.75" customHeight="1">
      <c r="A255" s="4"/>
      <c r="B255" s="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4"/>
    </row>
    <row r="256" ht="15.75" customHeight="1">
      <c r="A256" s="4"/>
      <c r="B256" s="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4"/>
    </row>
    <row r="257" ht="15.75" customHeight="1">
      <c r="A257" s="4"/>
      <c r="B257" s="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4"/>
    </row>
    <row r="258" ht="15.75" customHeight="1">
      <c r="A258" s="4"/>
      <c r="B258" s="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4"/>
    </row>
    <row r="259" ht="15.75" customHeight="1">
      <c r="A259" s="4"/>
      <c r="B259" s="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4"/>
    </row>
    <row r="260" ht="15.75" customHeight="1">
      <c r="A260" s="4"/>
      <c r="B260" s="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4"/>
    </row>
    <row r="261" ht="15.75" customHeight="1">
      <c r="A261" s="4"/>
      <c r="B261" s="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4"/>
    </row>
    <row r="262" ht="15.75" customHeight="1">
      <c r="C262" s="65"/>
      <c r="D262" s="65"/>
      <c r="E262" s="65"/>
      <c r="F262" s="65"/>
      <c r="H262" s="65"/>
      <c r="J262" s="65"/>
      <c r="K262" s="65"/>
      <c r="L262" s="65"/>
    </row>
    <row r="263" ht="15.75" customHeight="1">
      <c r="C263" s="65"/>
      <c r="D263" s="65"/>
      <c r="E263" s="65"/>
      <c r="F263" s="65"/>
      <c r="H263" s="65"/>
      <c r="J263" s="65"/>
      <c r="K263" s="65"/>
      <c r="L263" s="65"/>
    </row>
    <row r="264" ht="15.75" customHeight="1">
      <c r="C264" s="65"/>
      <c r="D264" s="65"/>
      <c r="E264" s="65"/>
      <c r="F264" s="65"/>
      <c r="H264" s="65"/>
      <c r="J264" s="65"/>
      <c r="K264" s="65"/>
      <c r="L264" s="65"/>
    </row>
    <row r="265" ht="15.75" customHeight="1">
      <c r="C265" s="65"/>
      <c r="D265" s="65"/>
      <c r="E265" s="65"/>
      <c r="F265" s="65"/>
      <c r="H265" s="65"/>
      <c r="J265" s="65"/>
      <c r="K265" s="65"/>
      <c r="L265" s="65"/>
    </row>
    <row r="266" ht="15.75" customHeight="1">
      <c r="C266" s="65"/>
      <c r="D266" s="65"/>
      <c r="E266" s="65"/>
      <c r="F266" s="65"/>
      <c r="H266" s="65"/>
      <c r="J266" s="65"/>
      <c r="K266" s="65"/>
      <c r="L266" s="65"/>
    </row>
    <row r="267" ht="15.75" customHeight="1">
      <c r="C267" s="65"/>
      <c r="D267" s="65"/>
      <c r="E267" s="65"/>
      <c r="F267" s="65"/>
      <c r="H267" s="65"/>
      <c r="J267" s="65"/>
      <c r="K267" s="65"/>
      <c r="L267" s="65"/>
    </row>
    <row r="268" ht="15.75" customHeight="1">
      <c r="C268" s="65"/>
      <c r="D268" s="65"/>
      <c r="E268" s="65"/>
      <c r="F268" s="65"/>
      <c r="H268" s="65"/>
      <c r="J268" s="65"/>
      <c r="K268" s="65"/>
      <c r="L268" s="65"/>
    </row>
    <row r="269" ht="15.75" customHeight="1">
      <c r="C269" s="65"/>
      <c r="D269" s="65"/>
      <c r="E269" s="65"/>
      <c r="F269" s="65"/>
      <c r="H269" s="65"/>
      <c r="J269" s="65"/>
      <c r="K269" s="65"/>
      <c r="L269" s="65"/>
    </row>
    <row r="270" ht="15.75" customHeight="1">
      <c r="C270" s="65"/>
      <c r="D270" s="65"/>
      <c r="E270" s="65"/>
      <c r="F270" s="65"/>
      <c r="H270" s="65"/>
      <c r="J270" s="65"/>
      <c r="K270" s="65"/>
      <c r="L270" s="65"/>
    </row>
    <row r="271" ht="15.75" customHeight="1">
      <c r="C271" s="65"/>
      <c r="D271" s="65"/>
      <c r="E271" s="65"/>
      <c r="F271" s="65"/>
      <c r="H271" s="65"/>
      <c r="J271" s="65"/>
      <c r="K271" s="65"/>
      <c r="L271" s="65"/>
    </row>
    <row r="272" ht="15.75" customHeight="1">
      <c r="C272" s="65"/>
      <c r="D272" s="65"/>
      <c r="E272" s="65"/>
      <c r="F272" s="65"/>
      <c r="H272" s="65"/>
      <c r="J272" s="65"/>
      <c r="K272" s="65"/>
      <c r="L272" s="65"/>
    </row>
    <row r="273" ht="15.75" customHeight="1">
      <c r="C273" s="65"/>
      <c r="D273" s="65"/>
      <c r="E273" s="65"/>
      <c r="F273" s="65"/>
      <c r="H273" s="65"/>
      <c r="J273" s="65"/>
      <c r="K273" s="65"/>
      <c r="L273" s="65"/>
    </row>
    <row r="274" ht="15.75" customHeight="1">
      <c r="C274" s="65"/>
      <c r="D274" s="65"/>
      <c r="E274" s="65"/>
      <c r="F274" s="65"/>
      <c r="H274" s="65"/>
      <c r="J274" s="65"/>
      <c r="K274" s="65"/>
      <c r="L274" s="65"/>
    </row>
    <row r="275" ht="15.75" customHeight="1">
      <c r="C275" s="65"/>
      <c r="D275" s="65"/>
      <c r="E275" s="65"/>
      <c r="F275" s="65"/>
      <c r="H275" s="65"/>
      <c r="J275" s="65"/>
      <c r="K275" s="65"/>
      <c r="L275" s="65"/>
    </row>
    <row r="276" ht="15.75" customHeight="1">
      <c r="C276" s="65"/>
      <c r="D276" s="65"/>
      <c r="E276" s="65"/>
      <c r="F276" s="65"/>
      <c r="H276" s="65"/>
      <c r="J276" s="65"/>
      <c r="K276" s="65"/>
      <c r="L276" s="65"/>
    </row>
    <row r="277" ht="15.75" customHeight="1">
      <c r="C277" s="65"/>
      <c r="D277" s="65"/>
      <c r="E277" s="65"/>
      <c r="F277" s="65"/>
      <c r="H277" s="65"/>
      <c r="J277" s="65"/>
      <c r="K277" s="65"/>
      <c r="L277" s="65"/>
    </row>
    <row r="278" ht="15.75" customHeight="1">
      <c r="C278" s="65"/>
      <c r="D278" s="65"/>
      <c r="E278" s="65"/>
      <c r="F278" s="65"/>
      <c r="H278" s="65"/>
      <c r="J278" s="65"/>
      <c r="K278" s="65"/>
      <c r="L278" s="65"/>
    </row>
    <row r="279" ht="15.75" customHeight="1">
      <c r="C279" s="65"/>
      <c r="D279" s="65"/>
      <c r="E279" s="65"/>
      <c r="F279" s="65"/>
      <c r="H279" s="65"/>
      <c r="J279" s="65"/>
      <c r="K279" s="65"/>
      <c r="L279" s="65"/>
    </row>
    <row r="280" ht="15.75" customHeight="1">
      <c r="C280" s="65"/>
      <c r="D280" s="65"/>
      <c r="E280" s="65"/>
      <c r="F280" s="65"/>
      <c r="H280" s="65"/>
      <c r="J280" s="65"/>
      <c r="K280" s="65"/>
      <c r="L280" s="65"/>
    </row>
    <row r="281" ht="15.75" customHeight="1">
      <c r="C281" s="65"/>
      <c r="D281" s="65"/>
      <c r="E281" s="65"/>
      <c r="F281" s="65"/>
      <c r="H281" s="65"/>
      <c r="J281" s="65"/>
      <c r="K281" s="65"/>
      <c r="L281" s="65"/>
    </row>
    <row r="282" ht="15.75" customHeight="1">
      <c r="C282" s="65"/>
      <c r="D282" s="65"/>
      <c r="E282" s="65"/>
      <c r="F282" s="65"/>
      <c r="H282" s="65"/>
      <c r="J282" s="65"/>
      <c r="K282" s="65"/>
      <c r="L282" s="65"/>
    </row>
    <row r="283" ht="15.75" customHeight="1">
      <c r="C283" s="65"/>
      <c r="D283" s="65"/>
      <c r="E283" s="65"/>
      <c r="F283" s="65"/>
      <c r="H283" s="65"/>
      <c r="J283" s="65"/>
      <c r="K283" s="65"/>
      <c r="L283" s="65"/>
    </row>
    <row r="284" ht="15.75" customHeight="1">
      <c r="C284" s="65"/>
      <c r="D284" s="65"/>
      <c r="E284" s="65"/>
      <c r="F284" s="65"/>
      <c r="H284" s="65"/>
      <c r="J284" s="65"/>
      <c r="K284" s="65"/>
      <c r="L284" s="65"/>
    </row>
    <row r="285" ht="15.75" customHeight="1">
      <c r="C285" s="65"/>
      <c r="D285" s="65"/>
      <c r="E285" s="65"/>
      <c r="F285" s="65"/>
      <c r="H285" s="65"/>
      <c r="J285" s="65"/>
      <c r="K285" s="65"/>
      <c r="L285" s="65"/>
    </row>
    <row r="286" ht="15.75" customHeight="1">
      <c r="C286" s="65"/>
      <c r="D286" s="65"/>
      <c r="E286" s="65"/>
      <c r="F286" s="65"/>
      <c r="H286" s="65"/>
      <c r="J286" s="65"/>
      <c r="K286" s="65"/>
      <c r="L286" s="65"/>
    </row>
    <row r="287" ht="15.75" customHeight="1">
      <c r="C287" s="65"/>
      <c r="D287" s="65"/>
      <c r="E287" s="65"/>
      <c r="F287" s="65"/>
      <c r="H287" s="65"/>
      <c r="J287" s="65"/>
      <c r="K287" s="65"/>
      <c r="L287" s="65"/>
    </row>
    <row r="288" ht="15.75" customHeight="1">
      <c r="C288" s="65"/>
      <c r="D288" s="65"/>
      <c r="E288" s="65"/>
      <c r="F288" s="65"/>
      <c r="H288" s="65"/>
      <c r="J288" s="65"/>
      <c r="K288" s="65"/>
      <c r="L288" s="65"/>
    </row>
    <row r="289" ht="15.75" customHeight="1">
      <c r="C289" s="65"/>
      <c r="D289" s="65"/>
      <c r="E289" s="65"/>
      <c r="F289" s="65"/>
      <c r="H289" s="65"/>
      <c r="J289" s="65"/>
      <c r="K289" s="65"/>
      <c r="L289" s="65"/>
    </row>
    <row r="290" ht="15.75" customHeight="1">
      <c r="C290" s="65"/>
      <c r="D290" s="65"/>
      <c r="E290" s="65"/>
      <c r="F290" s="65"/>
      <c r="H290" s="65"/>
      <c r="J290" s="65"/>
      <c r="K290" s="65"/>
      <c r="L290" s="65"/>
    </row>
    <row r="291" ht="15.75" customHeight="1">
      <c r="C291" s="65"/>
      <c r="D291" s="65"/>
      <c r="E291" s="65"/>
      <c r="F291" s="65"/>
      <c r="H291" s="65"/>
      <c r="J291" s="65"/>
      <c r="K291" s="65"/>
      <c r="L291" s="65"/>
    </row>
    <row r="292" ht="15.75" customHeight="1">
      <c r="C292" s="65"/>
      <c r="D292" s="65"/>
      <c r="E292" s="65"/>
      <c r="F292" s="65"/>
      <c r="H292" s="65"/>
      <c r="J292" s="65"/>
      <c r="K292" s="65"/>
      <c r="L292" s="65"/>
    </row>
    <row r="293" ht="15.75" customHeight="1">
      <c r="C293" s="65"/>
      <c r="D293" s="65"/>
      <c r="E293" s="65"/>
      <c r="F293" s="65"/>
      <c r="H293" s="65"/>
      <c r="J293" s="65"/>
      <c r="K293" s="65"/>
      <c r="L293" s="65"/>
    </row>
    <row r="294" ht="15.75" customHeight="1">
      <c r="C294" s="65"/>
      <c r="D294" s="65"/>
      <c r="E294" s="65"/>
      <c r="F294" s="65"/>
      <c r="H294" s="65"/>
      <c r="J294" s="65"/>
      <c r="K294" s="65"/>
      <c r="L294" s="65"/>
    </row>
    <row r="295" ht="15.75" customHeight="1">
      <c r="C295" s="65"/>
      <c r="D295" s="65"/>
      <c r="E295" s="65"/>
      <c r="F295" s="65"/>
      <c r="H295" s="65"/>
      <c r="J295" s="65"/>
      <c r="K295" s="65"/>
      <c r="L295" s="65"/>
    </row>
    <row r="296" ht="15.75" customHeight="1">
      <c r="C296" s="65"/>
      <c r="D296" s="65"/>
      <c r="E296" s="65"/>
      <c r="F296" s="65"/>
      <c r="H296" s="65"/>
      <c r="J296" s="65"/>
      <c r="K296" s="65"/>
      <c r="L296" s="65"/>
    </row>
    <row r="297" ht="15.75" customHeight="1">
      <c r="C297" s="65"/>
      <c r="D297" s="65"/>
      <c r="E297" s="65"/>
      <c r="F297" s="65"/>
      <c r="H297" s="65"/>
      <c r="J297" s="65"/>
      <c r="K297" s="65"/>
      <c r="L297" s="65"/>
    </row>
    <row r="298" ht="15.75" customHeight="1">
      <c r="C298" s="65"/>
      <c r="D298" s="65"/>
      <c r="E298" s="65"/>
      <c r="F298" s="65"/>
      <c r="H298" s="65"/>
      <c r="J298" s="65"/>
      <c r="K298" s="65"/>
      <c r="L298" s="65"/>
    </row>
    <row r="299" ht="15.75" customHeight="1">
      <c r="C299" s="65"/>
      <c r="D299" s="65"/>
      <c r="E299" s="65"/>
      <c r="F299" s="65"/>
      <c r="H299" s="65"/>
      <c r="J299" s="65"/>
      <c r="K299" s="65"/>
      <c r="L299" s="65"/>
    </row>
    <row r="300" ht="15.75" customHeight="1">
      <c r="C300" s="65"/>
      <c r="D300" s="65"/>
      <c r="E300" s="65"/>
      <c r="F300" s="65"/>
      <c r="H300" s="65"/>
      <c r="J300" s="65"/>
      <c r="K300" s="65"/>
      <c r="L300" s="65"/>
    </row>
    <row r="301" ht="15.75" customHeight="1">
      <c r="C301" s="65"/>
      <c r="D301" s="65"/>
      <c r="E301" s="65"/>
      <c r="F301" s="65"/>
      <c r="H301" s="65"/>
      <c r="J301" s="65"/>
      <c r="K301" s="65"/>
      <c r="L301" s="65"/>
    </row>
    <row r="302" ht="15.75" customHeight="1">
      <c r="C302" s="65"/>
      <c r="D302" s="65"/>
      <c r="E302" s="65"/>
      <c r="F302" s="65"/>
      <c r="H302" s="65"/>
      <c r="J302" s="65"/>
      <c r="K302" s="65"/>
      <c r="L302" s="65"/>
    </row>
    <row r="303" ht="15.75" customHeight="1">
      <c r="C303" s="65"/>
      <c r="D303" s="65"/>
      <c r="E303" s="65"/>
      <c r="F303" s="65"/>
      <c r="H303" s="65"/>
      <c r="J303" s="65"/>
      <c r="K303" s="65"/>
      <c r="L303" s="65"/>
    </row>
    <row r="304" ht="15.75" customHeight="1">
      <c r="C304" s="65"/>
      <c r="D304" s="65"/>
      <c r="E304" s="65"/>
      <c r="F304" s="65"/>
      <c r="H304" s="65"/>
      <c r="J304" s="65"/>
      <c r="K304" s="65"/>
      <c r="L304" s="65"/>
    </row>
    <row r="305" ht="15.75" customHeight="1">
      <c r="C305" s="65"/>
      <c r="D305" s="65"/>
      <c r="E305" s="65"/>
      <c r="F305" s="65"/>
      <c r="H305" s="65"/>
      <c r="J305" s="65"/>
      <c r="K305" s="65"/>
      <c r="L305" s="65"/>
    </row>
    <row r="306" ht="15.75" customHeight="1">
      <c r="C306" s="65"/>
      <c r="D306" s="65"/>
      <c r="E306" s="65"/>
      <c r="F306" s="65"/>
      <c r="H306" s="65"/>
      <c r="J306" s="65"/>
      <c r="K306" s="65"/>
      <c r="L306" s="65"/>
    </row>
    <row r="307" ht="15.75" customHeight="1">
      <c r="C307" s="65"/>
      <c r="D307" s="65"/>
      <c r="E307" s="65"/>
      <c r="F307" s="65"/>
      <c r="H307" s="65"/>
      <c r="J307" s="65"/>
      <c r="K307" s="65"/>
      <c r="L307" s="65"/>
    </row>
    <row r="308" ht="15.75" customHeight="1">
      <c r="C308" s="65"/>
      <c r="D308" s="65"/>
      <c r="E308" s="65"/>
      <c r="F308" s="65"/>
      <c r="H308" s="65"/>
      <c r="J308" s="65"/>
      <c r="K308" s="65"/>
      <c r="L308" s="65"/>
    </row>
    <row r="309" ht="15.75" customHeight="1">
      <c r="C309" s="65"/>
      <c r="D309" s="65"/>
      <c r="E309" s="65"/>
      <c r="F309" s="65"/>
      <c r="H309" s="65"/>
      <c r="J309" s="65"/>
      <c r="K309" s="65"/>
      <c r="L309" s="65"/>
    </row>
    <row r="310" ht="15.75" customHeight="1">
      <c r="C310" s="65"/>
      <c r="D310" s="65"/>
      <c r="E310" s="65"/>
      <c r="F310" s="65"/>
      <c r="H310" s="65"/>
      <c r="J310" s="65"/>
      <c r="K310" s="65"/>
      <c r="L310" s="65"/>
    </row>
    <row r="311" ht="15.75" customHeight="1">
      <c r="C311" s="65"/>
      <c r="D311" s="65"/>
      <c r="E311" s="65"/>
      <c r="F311" s="65"/>
      <c r="H311" s="65"/>
      <c r="J311" s="65"/>
      <c r="K311" s="65"/>
      <c r="L311" s="65"/>
    </row>
    <row r="312" ht="15.75" customHeight="1">
      <c r="C312" s="65"/>
      <c r="D312" s="65"/>
      <c r="E312" s="65"/>
      <c r="F312" s="65"/>
      <c r="H312" s="65"/>
      <c r="J312" s="65"/>
      <c r="K312" s="65"/>
      <c r="L312" s="65"/>
    </row>
    <row r="313" ht="15.75" customHeight="1">
      <c r="C313" s="65"/>
      <c r="D313" s="65"/>
      <c r="E313" s="65"/>
      <c r="F313" s="65"/>
      <c r="H313" s="65"/>
      <c r="J313" s="65"/>
      <c r="K313" s="65"/>
      <c r="L313" s="65"/>
    </row>
    <row r="314" ht="15.75" customHeight="1">
      <c r="C314" s="65"/>
      <c r="D314" s="65"/>
      <c r="E314" s="65"/>
      <c r="F314" s="65"/>
      <c r="H314" s="65"/>
      <c r="J314" s="65"/>
      <c r="K314" s="65"/>
      <c r="L314" s="65"/>
    </row>
    <row r="315" ht="15.75" customHeight="1">
      <c r="C315" s="65"/>
      <c r="D315" s="65"/>
      <c r="E315" s="65"/>
      <c r="F315" s="65"/>
      <c r="H315" s="65"/>
      <c r="J315" s="65"/>
      <c r="K315" s="65"/>
      <c r="L315" s="65"/>
    </row>
    <row r="316" ht="15.75" customHeight="1">
      <c r="C316" s="65"/>
      <c r="D316" s="65"/>
      <c r="E316" s="65"/>
      <c r="F316" s="65"/>
      <c r="H316" s="65"/>
      <c r="J316" s="65"/>
      <c r="K316" s="65"/>
      <c r="L316" s="65"/>
    </row>
    <row r="317" ht="15.75" customHeight="1">
      <c r="C317" s="65"/>
      <c r="D317" s="65"/>
      <c r="E317" s="65"/>
      <c r="F317" s="65"/>
      <c r="H317" s="65"/>
      <c r="J317" s="65"/>
      <c r="K317" s="65"/>
      <c r="L317" s="65"/>
    </row>
    <row r="318" ht="15.75" customHeight="1">
      <c r="C318" s="65"/>
      <c r="D318" s="65"/>
      <c r="E318" s="65"/>
      <c r="F318" s="65"/>
      <c r="H318" s="65"/>
      <c r="J318" s="65"/>
      <c r="K318" s="65"/>
      <c r="L318" s="65"/>
    </row>
    <row r="319" ht="15.75" customHeight="1">
      <c r="C319" s="65"/>
      <c r="D319" s="65"/>
      <c r="E319" s="65"/>
      <c r="F319" s="65"/>
      <c r="H319" s="65"/>
      <c r="J319" s="65"/>
      <c r="K319" s="65"/>
      <c r="L319" s="65"/>
    </row>
    <row r="320" ht="15.75" customHeight="1">
      <c r="C320" s="65"/>
      <c r="D320" s="65"/>
      <c r="E320" s="65"/>
      <c r="F320" s="65"/>
      <c r="H320" s="65"/>
      <c r="J320" s="65"/>
      <c r="K320" s="65"/>
      <c r="L320" s="65"/>
    </row>
    <row r="321" ht="15.75" customHeight="1">
      <c r="C321" s="65"/>
      <c r="D321" s="65"/>
      <c r="E321" s="65"/>
      <c r="F321" s="65"/>
      <c r="H321" s="65"/>
      <c r="J321" s="65"/>
      <c r="K321" s="65"/>
      <c r="L321" s="65"/>
    </row>
    <row r="322" ht="15.75" customHeight="1">
      <c r="C322" s="65"/>
      <c r="D322" s="65"/>
      <c r="E322" s="65"/>
      <c r="F322" s="65"/>
      <c r="H322" s="65"/>
      <c r="J322" s="65"/>
      <c r="K322" s="65"/>
      <c r="L322" s="65"/>
    </row>
    <row r="323" ht="15.75" customHeight="1">
      <c r="C323" s="65"/>
      <c r="D323" s="65"/>
      <c r="E323" s="65"/>
      <c r="F323" s="65"/>
      <c r="H323" s="65"/>
      <c r="J323" s="65"/>
      <c r="K323" s="65"/>
      <c r="L323" s="65"/>
    </row>
    <row r="324" ht="15.75" customHeight="1">
      <c r="C324" s="65"/>
      <c r="D324" s="65"/>
      <c r="E324" s="65"/>
      <c r="F324" s="65"/>
      <c r="H324" s="65"/>
      <c r="J324" s="65"/>
      <c r="K324" s="65"/>
      <c r="L324" s="65"/>
    </row>
    <row r="325" ht="15.75" customHeight="1">
      <c r="C325" s="65"/>
      <c r="D325" s="65"/>
      <c r="E325" s="65"/>
      <c r="F325" s="65"/>
      <c r="H325" s="65"/>
      <c r="J325" s="65"/>
      <c r="K325" s="65"/>
      <c r="L325" s="65"/>
    </row>
    <row r="326" ht="15.75" customHeight="1">
      <c r="C326" s="65"/>
      <c r="D326" s="65"/>
      <c r="E326" s="65"/>
      <c r="F326" s="65"/>
      <c r="H326" s="65"/>
      <c r="J326" s="65"/>
      <c r="K326" s="65"/>
      <c r="L326" s="65"/>
    </row>
    <row r="327" ht="15.75" customHeight="1">
      <c r="C327" s="65"/>
      <c r="D327" s="65"/>
      <c r="E327" s="65"/>
      <c r="F327" s="65"/>
      <c r="H327" s="65"/>
      <c r="J327" s="65"/>
      <c r="K327" s="65"/>
      <c r="L327" s="65"/>
    </row>
    <row r="328" ht="15.75" customHeight="1">
      <c r="C328" s="65"/>
      <c r="D328" s="65"/>
      <c r="E328" s="65"/>
      <c r="F328" s="65"/>
      <c r="H328" s="65"/>
      <c r="J328" s="65"/>
      <c r="K328" s="65"/>
      <c r="L328" s="65"/>
    </row>
    <row r="329" ht="15.75" customHeight="1">
      <c r="C329" s="65"/>
      <c r="D329" s="65"/>
      <c r="E329" s="65"/>
      <c r="F329" s="65"/>
      <c r="H329" s="65"/>
      <c r="J329" s="65"/>
      <c r="K329" s="65"/>
      <c r="L329" s="65"/>
    </row>
    <row r="330" ht="15.75" customHeight="1">
      <c r="C330" s="65"/>
      <c r="D330" s="65"/>
      <c r="E330" s="65"/>
      <c r="F330" s="65"/>
      <c r="H330" s="65"/>
      <c r="J330" s="65"/>
      <c r="K330" s="65"/>
      <c r="L330" s="65"/>
    </row>
    <row r="331" ht="15.75" customHeight="1">
      <c r="C331" s="65"/>
      <c r="D331" s="65"/>
      <c r="E331" s="65"/>
      <c r="F331" s="65"/>
      <c r="H331" s="65"/>
      <c r="J331" s="65"/>
      <c r="K331" s="65"/>
      <c r="L331" s="65"/>
    </row>
    <row r="332" ht="15.75" customHeight="1">
      <c r="C332" s="65"/>
      <c r="D332" s="65"/>
      <c r="E332" s="65"/>
      <c r="F332" s="65"/>
      <c r="H332" s="65"/>
      <c r="J332" s="65"/>
      <c r="K332" s="65"/>
      <c r="L332" s="65"/>
    </row>
    <row r="333" ht="15.75" customHeight="1">
      <c r="C333" s="65"/>
      <c r="D333" s="65"/>
      <c r="E333" s="65"/>
      <c r="F333" s="65"/>
      <c r="H333" s="65"/>
      <c r="J333" s="65"/>
      <c r="K333" s="65"/>
      <c r="L333" s="65"/>
    </row>
    <row r="334" ht="15.75" customHeight="1">
      <c r="C334" s="65"/>
      <c r="D334" s="65"/>
      <c r="E334" s="65"/>
      <c r="F334" s="65"/>
      <c r="H334" s="65"/>
      <c r="J334" s="65"/>
      <c r="K334" s="65"/>
      <c r="L334" s="65"/>
    </row>
    <row r="335" ht="15.75" customHeight="1">
      <c r="C335" s="65"/>
      <c r="D335" s="65"/>
      <c r="E335" s="65"/>
      <c r="F335" s="65"/>
      <c r="H335" s="65"/>
      <c r="J335" s="65"/>
      <c r="K335" s="65"/>
      <c r="L335" s="65"/>
    </row>
    <row r="336" ht="15.75" customHeight="1">
      <c r="C336" s="65"/>
      <c r="D336" s="65"/>
      <c r="E336" s="65"/>
      <c r="F336" s="65"/>
      <c r="H336" s="65"/>
      <c r="J336" s="65"/>
      <c r="K336" s="65"/>
      <c r="L336" s="65"/>
    </row>
    <row r="337" ht="15.75" customHeight="1">
      <c r="C337" s="65"/>
      <c r="D337" s="65"/>
      <c r="E337" s="65"/>
      <c r="F337" s="65"/>
      <c r="H337" s="65"/>
      <c r="J337" s="65"/>
      <c r="K337" s="65"/>
      <c r="L337" s="65"/>
    </row>
    <row r="338" ht="15.75" customHeight="1">
      <c r="C338" s="65"/>
      <c r="D338" s="65"/>
      <c r="E338" s="65"/>
      <c r="F338" s="65"/>
      <c r="H338" s="65"/>
      <c r="J338" s="65"/>
      <c r="K338" s="65"/>
      <c r="L338" s="65"/>
    </row>
    <row r="339" ht="15.75" customHeight="1">
      <c r="C339" s="65"/>
      <c r="D339" s="65"/>
      <c r="E339" s="65"/>
      <c r="F339" s="65"/>
      <c r="H339" s="65"/>
      <c r="J339" s="65"/>
      <c r="K339" s="65"/>
      <c r="L339" s="65"/>
    </row>
    <row r="340" ht="15.75" customHeight="1">
      <c r="C340" s="65"/>
      <c r="D340" s="65"/>
      <c r="E340" s="65"/>
      <c r="F340" s="65"/>
      <c r="H340" s="65"/>
      <c r="J340" s="65"/>
      <c r="K340" s="65"/>
      <c r="L340" s="65"/>
    </row>
    <row r="341" ht="15.75" customHeight="1">
      <c r="C341" s="65"/>
      <c r="D341" s="65"/>
      <c r="E341" s="65"/>
      <c r="F341" s="65"/>
      <c r="H341" s="65"/>
      <c r="J341" s="65"/>
      <c r="K341" s="65"/>
      <c r="L341" s="65"/>
    </row>
    <row r="342" ht="15.75" customHeight="1">
      <c r="C342" s="65"/>
      <c r="D342" s="65"/>
      <c r="E342" s="65"/>
      <c r="F342" s="65"/>
      <c r="H342" s="65"/>
      <c r="J342" s="65"/>
      <c r="K342" s="65"/>
      <c r="L342" s="65"/>
    </row>
    <row r="343" ht="15.75" customHeight="1">
      <c r="C343" s="65"/>
      <c r="D343" s="65"/>
      <c r="E343" s="65"/>
      <c r="F343" s="65"/>
      <c r="H343" s="65"/>
      <c r="J343" s="65"/>
      <c r="K343" s="65"/>
      <c r="L343" s="65"/>
    </row>
    <row r="344" ht="15.75" customHeight="1">
      <c r="C344" s="65"/>
      <c r="D344" s="65"/>
      <c r="E344" s="65"/>
      <c r="F344" s="65"/>
      <c r="H344" s="65"/>
      <c r="J344" s="65"/>
      <c r="K344" s="65"/>
      <c r="L344" s="65"/>
    </row>
    <row r="345" ht="15.75" customHeight="1">
      <c r="C345" s="65"/>
      <c r="D345" s="65"/>
      <c r="E345" s="65"/>
      <c r="F345" s="65"/>
      <c r="H345" s="65"/>
      <c r="J345" s="65"/>
      <c r="K345" s="65"/>
      <c r="L345" s="65"/>
    </row>
    <row r="346" ht="15.75" customHeight="1">
      <c r="C346" s="65"/>
      <c r="D346" s="65"/>
      <c r="E346" s="65"/>
      <c r="F346" s="65"/>
      <c r="H346" s="65"/>
      <c r="J346" s="65"/>
      <c r="K346" s="65"/>
      <c r="L346" s="65"/>
    </row>
    <row r="347" ht="15.75" customHeight="1">
      <c r="C347" s="65"/>
      <c r="D347" s="65"/>
      <c r="E347" s="65"/>
      <c r="F347" s="65"/>
      <c r="H347" s="65"/>
      <c r="J347" s="65"/>
      <c r="K347" s="65"/>
      <c r="L347" s="65"/>
    </row>
    <row r="348" ht="15.75" customHeight="1">
      <c r="C348" s="65"/>
      <c r="D348" s="65"/>
      <c r="E348" s="65"/>
      <c r="F348" s="65"/>
      <c r="H348" s="65"/>
      <c r="J348" s="65"/>
      <c r="K348" s="65"/>
      <c r="L348" s="65"/>
    </row>
    <row r="349" ht="15.75" customHeight="1">
      <c r="C349" s="65"/>
      <c r="D349" s="65"/>
      <c r="E349" s="65"/>
      <c r="F349" s="65"/>
      <c r="H349" s="65"/>
      <c r="J349" s="65"/>
      <c r="K349" s="65"/>
      <c r="L349" s="65"/>
    </row>
    <row r="350" ht="15.75" customHeight="1">
      <c r="C350" s="65"/>
      <c r="D350" s="65"/>
      <c r="E350" s="65"/>
      <c r="F350" s="65"/>
      <c r="H350" s="65"/>
      <c r="J350" s="65"/>
      <c r="K350" s="65"/>
      <c r="L350" s="65"/>
    </row>
    <row r="351" ht="15.75" customHeight="1">
      <c r="C351" s="65"/>
      <c r="D351" s="65"/>
      <c r="E351" s="65"/>
      <c r="F351" s="65"/>
      <c r="H351" s="65"/>
      <c r="J351" s="65"/>
      <c r="K351" s="65"/>
      <c r="L351" s="65"/>
    </row>
    <row r="352" ht="15.75" customHeight="1">
      <c r="C352" s="65"/>
      <c r="D352" s="65"/>
      <c r="E352" s="65"/>
      <c r="F352" s="65"/>
      <c r="H352" s="65"/>
      <c r="J352" s="65"/>
      <c r="K352" s="65"/>
      <c r="L352" s="65"/>
    </row>
    <row r="353" ht="15.75" customHeight="1">
      <c r="C353" s="65"/>
      <c r="D353" s="65"/>
      <c r="E353" s="65"/>
      <c r="F353" s="65"/>
      <c r="H353" s="65"/>
      <c r="J353" s="65"/>
      <c r="K353" s="65"/>
      <c r="L353" s="65"/>
    </row>
    <row r="354" ht="15.75" customHeight="1">
      <c r="C354" s="65"/>
      <c r="D354" s="65"/>
      <c r="E354" s="65"/>
      <c r="F354" s="65"/>
      <c r="H354" s="65"/>
      <c r="J354" s="65"/>
      <c r="K354" s="65"/>
      <c r="L354" s="65"/>
    </row>
    <row r="355" ht="15.75" customHeight="1">
      <c r="C355" s="65"/>
      <c r="D355" s="65"/>
      <c r="E355" s="65"/>
      <c r="F355" s="65"/>
      <c r="H355" s="65"/>
      <c r="J355" s="65"/>
      <c r="K355" s="65"/>
      <c r="L355" s="65"/>
    </row>
    <row r="356" ht="15.75" customHeight="1">
      <c r="C356" s="65"/>
      <c r="D356" s="65"/>
      <c r="E356" s="65"/>
      <c r="F356" s="65"/>
      <c r="H356" s="65"/>
      <c r="J356" s="65"/>
      <c r="K356" s="65"/>
      <c r="L356" s="65"/>
    </row>
    <row r="357" ht="15.75" customHeight="1">
      <c r="C357" s="65"/>
      <c r="D357" s="65"/>
      <c r="E357" s="65"/>
      <c r="F357" s="65"/>
      <c r="H357" s="65"/>
      <c r="J357" s="65"/>
      <c r="K357" s="65"/>
      <c r="L357" s="65"/>
    </row>
    <row r="358" ht="15.75" customHeight="1">
      <c r="C358" s="65"/>
      <c r="D358" s="65"/>
      <c r="E358" s="65"/>
      <c r="F358" s="65"/>
      <c r="H358" s="65"/>
      <c r="J358" s="65"/>
      <c r="K358" s="65"/>
      <c r="L358" s="65"/>
    </row>
    <row r="359" ht="15.75" customHeight="1">
      <c r="C359" s="65"/>
      <c r="D359" s="65"/>
      <c r="E359" s="65"/>
      <c r="F359" s="65"/>
      <c r="H359" s="65"/>
      <c r="J359" s="65"/>
      <c r="K359" s="65"/>
      <c r="L359" s="65"/>
    </row>
    <row r="360" ht="15.75" customHeight="1">
      <c r="C360" s="65"/>
      <c r="D360" s="65"/>
      <c r="E360" s="65"/>
      <c r="F360" s="65"/>
      <c r="H360" s="65"/>
      <c r="J360" s="65"/>
      <c r="K360" s="65"/>
      <c r="L360" s="65"/>
    </row>
    <row r="361" ht="15.75" customHeight="1">
      <c r="C361" s="65"/>
      <c r="D361" s="65"/>
      <c r="E361" s="65"/>
      <c r="F361" s="65"/>
      <c r="H361" s="65"/>
      <c r="J361" s="65"/>
      <c r="K361" s="65"/>
      <c r="L361" s="65"/>
    </row>
    <row r="362" ht="15.75" customHeight="1">
      <c r="C362" s="65"/>
      <c r="D362" s="65"/>
      <c r="E362" s="65"/>
      <c r="F362" s="65"/>
      <c r="H362" s="65"/>
      <c r="J362" s="65"/>
      <c r="K362" s="65"/>
      <c r="L362" s="65"/>
    </row>
    <row r="363" ht="15.75" customHeight="1">
      <c r="C363" s="65"/>
      <c r="D363" s="65"/>
      <c r="E363" s="65"/>
      <c r="F363" s="65"/>
      <c r="H363" s="65"/>
      <c r="J363" s="65"/>
      <c r="K363" s="65"/>
      <c r="L363" s="65"/>
    </row>
    <row r="364" ht="15.75" customHeight="1">
      <c r="C364" s="65"/>
      <c r="D364" s="65"/>
      <c r="E364" s="65"/>
      <c r="F364" s="65"/>
      <c r="H364" s="65"/>
      <c r="J364" s="65"/>
      <c r="K364" s="65"/>
      <c r="L364" s="65"/>
    </row>
    <row r="365" ht="15.75" customHeight="1">
      <c r="C365" s="65"/>
      <c r="D365" s="65"/>
      <c r="E365" s="65"/>
      <c r="F365" s="65"/>
      <c r="H365" s="65"/>
      <c r="J365" s="65"/>
      <c r="K365" s="65"/>
      <c r="L365" s="65"/>
    </row>
    <row r="366" ht="15.75" customHeight="1">
      <c r="C366" s="65"/>
      <c r="D366" s="65"/>
      <c r="E366" s="65"/>
      <c r="F366" s="65"/>
      <c r="H366" s="65"/>
      <c r="J366" s="65"/>
      <c r="K366" s="65"/>
      <c r="L366" s="65"/>
    </row>
    <row r="367" ht="15.75" customHeight="1">
      <c r="C367" s="65"/>
      <c r="D367" s="65"/>
      <c r="E367" s="65"/>
      <c r="F367" s="65"/>
      <c r="H367" s="65"/>
      <c r="J367" s="65"/>
      <c r="K367" s="65"/>
      <c r="L367" s="65"/>
    </row>
    <row r="368" ht="15.75" customHeight="1">
      <c r="C368" s="65"/>
      <c r="D368" s="65"/>
      <c r="E368" s="65"/>
      <c r="F368" s="65"/>
      <c r="H368" s="65"/>
      <c r="J368" s="65"/>
      <c r="K368" s="65"/>
      <c r="L368" s="65"/>
    </row>
    <row r="369" ht="15.75" customHeight="1">
      <c r="C369" s="65"/>
      <c r="D369" s="65"/>
      <c r="E369" s="65"/>
      <c r="F369" s="65"/>
      <c r="H369" s="65"/>
      <c r="J369" s="65"/>
      <c r="K369" s="65"/>
      <c r="L369" s="65"/>
    </row>
    <row r="370" ht="15.75" customHeight="1">
      <c r="C370" s="65"/>
      <c r="D370" s="65"/>
      <c r="E370" s="65"/>
      <c r="F370" s="65"/>
      <c r="H370" s="65"/>
      <c r="J370" s="65"/>
      <c r="K370" s="65"/>
      <c r="L370" s="65"/>
    </row>
    <row r="371" ht="15.75" customHeight="1">
      <c r="C371" s="65"/>
      <c r="D371" s="65"/>
      <c r="E371" s="65"/>
      <c r="F371" s="65"/>
      <c r="H371" s="65"/>
      <c r="J371" s="65"/>
      <c r="K371" s="65"/>
      <c r="L371" s="65"/>
    </row>
    <row r="372" ht="15.75" customHeight="1">
      <c r="C372" s="65"/>
      <c r="D372" s="65"/>
      <c r="E372" s="65"/>
      <c r="F372" s="65"/>
      <c r="H372" s="65"/>
      <c r="J372" s="65"/>
      <c r="K372" s="65"/>
      <c r="L372" s="65"/>
    </row>
    <row r="373" ht="15.75" customHeight="1">
      <c r="C373" s="65"/>
      <c r="D373" s="65"/>
      <c r="E373" s="65"/>
      <c r="F373" s="65"/>
      <c r="H373" s="65"/>
      <c r="J373" s="65"/>
      <c r="K373" s="65"/>
      <c r="L373" s="65"/>
    </row>
    <row r="374" ht="15.75" customHeight="1">
      <c r="C374" s="65"/>
      <c r="D374" s="65"/>
      <c r="E374" s="65"/>
      <c r="F374" s="65"/>
      <c r="H374" s="65"/>
      <c r="J374" s="65"/>
      <c r="K374" s="65"/>
      <c r="L374" s="65"/>
    </row>
    <row r="375" ht="15.75" customHeight="1">
      <c r="C375" s="65"/>
      <c r="D375" s="65"/>
      <c r="E375" s="65"/>
      <c r="F375" s="65"/>
      <c r="H375" s="65"/>
      <c r="J375" s="65"/>
      <c r="K375" s="65"/>
      <c r="L375" s="65"/>
    </row>
    <row r="376" ht="15.75" customHeight="1">
      <c r="C376" s="65"/>
      <c r="D376" s="65"/>
      <c r="E376" s="65"/>
      <c r="F376" s="65"/>
      <c r="H376" s="65"/>
      <c r="J376" s="65"/>
      <c r="K376" s="65"/>
      <c r="L376" s="65"/>
    </row>
    <row r="377" ht="15.75" customHeight="1">
      <c r="C377" s="65"/>
      <c r="D377" s="65"/>
      <c r="E377" s="65"/>
      <c r="F377" s="65"/>
      <c r="H377" s="65"/>
      <c r="J377" s="65"/>
      <c r="K377" s="65"/>
      <c r="L377" s="65"/>
    </row>
    <row r="378" ht="15.75" customHeight="1">
      <c r="C378" s="65"/>
      <c r="D378" s="65"/>
      <c r="E378" s="65"/>
      <c r="F378" s="65"/>
      <c r="H378" s="65"/>
      <c r="J378" s="65"/>
      <c r="K378" s="65"/>
      <c r="L378" s="65"/>
    </row>
    <row r="379" ht="15.75" customHeight="1">
      <c r="C379" s="65"/>
      <c r="D379" s="65"/>
      <c r="E379" s="65"/>
      <c r="F379" s="65"/>
      <c r="H379" s="65"/>
      <c r="J379" s="65"/>
      <c r="K379" s="65"/>
      <c r="L379" s="65"/>
    </row>
    <row r="380" ht="15.75" customHeight="1">
      <c r="C380" s="65"/>
      <c r="D380" s="65"/>
      <c r="E380" s="65"/>
      <c r="F380" s="65"/>
      <c r="H380" s="65"/>
      <c r="J380" s="65"/>
      <c r="K380" s="65"/>
      <c r="L380" s="65"/>
    </row>
    <row r="381" ht="15.75" customHeight="1">
      <c r="C381" s="65"/>
      <c r="D381" s="65"/>
      <c r="E381" s="65"/>
      <c r="F381" s="65"/>
      <c r="H381" s="65"/>
      <c r="J381" s="65"/>
      <c r="K381" s="65"/>
      <c r="L381" s="65"/>
    </row>
    <row r="382" ht="15.75" customHeight="1">
      <c r="C382" s="65"/>
      <c r="D382" s="65"/>
      <c r="E382" s="65"/>
      <c r="F382" s="65"/>
      <c r="H382" s="65"/>
      <c r="J382" s="65"/>
      <c r="K382" s="65"/>
      <c r="L382" s="65"/>
    </row>
    <row r="383" ht="15.75" customHeight="1">
      <c r="C383" s="65"/>
      <c r="D383" s="65"/>
      <c r="E383" s="65"/>
      <c r="F383" s="65"/>
      <c r="H383" s="65"/>
      <c r="J383" s="65"/>
      <c r="K383" s="65"/>
      <c r="L383" s="65"/>
    </row>
    <row r="384" ht="15.75" customHeight="1">
      <c r="C384" s="65"/>
      <c r="D384" s="65"/>
      <c r="E384" s="65"/>
      <c r="F384" s="65"/>
      <c r="H384" s="65"/>
      <c r="J384" s="65"/>
      <c r="K384" s="65"/>
      <c r="L384" s="65"/>
    </row>
    <row r="385" ht="15.75" customHeight="1">
      <c r="C385" s="65"/>
      <c r="D385" s="65"/>
      <c r="E385" s="65"/>
      <c r="F385" s="65"/>
      <c r="H385" s="65"/>
      <c r="J385" s="65"/>
      <c r="K385" s="65"/>
      <c r="L385" s="65"/>
    </row>
    <row r="386" ht="15.75" customHeight="1">
      <c r="C386" s="65"/>
      <c r="D386" s="65"/>
      <c r="E386" s="65"/>
      <c r="F386" s="65"/>
      <c r="H386" s="65"/>
      <c r="J386" s="65"/>
      <c r="K386" s="65"/>
      <c r="L386" s="65"/>
    </row>
    <row r="387" ht="15.75" customHeight="1">
      <c r="C387" s="65"/>
      <c r="D387" s="65"/>
      <c r="E387" s="65"/>
      <c r="F387" s="65"/>
      <c r="H387" s="65"/>
      <c r="J387" s="65"/>
      <c r="K387" s="65"/>
      <c r="L387" s="65"/>
    </row>
    <row r="388" ht="15.75" customHeight="1">
      <c r="C388" s="65"/>
      <c r="D388" s="65"/>
      <c r="E388" s="65"/>
      <c r="F388" s="65"/>
      <c r="H388" s="65"/>
      <c r="J388" s="65"/>
      <c r="K388" s="65"/>
      <c r="L388" s="65"/>
    </row>
    <row r="389" ht="15.75" customHeight="1">
      <c r="C389" s="65"/>
      <c r="D389" s="65"/>
      <c r="E389" s="65"/>
      <c r="F389" s="65"/>
      <c r="H389" s="65"/>
      <c r="J389" s="65"/>
      <c r="K389" s="65"/>
      <c r="L389" s="65"/>
    </row>
    <row r="390" ht="15.75" customHeight="1">
      <c r="C390" s="65"/>
      <c r="D390" s="65"/>
      <c r="E390" s="65"/>
      <c r="F390" s="65"/>
      <c r="H390" s="65"/>
      <c r="J390" s="65"/>
      <c r="K390" s="65"/>
      <c r="L390" s="65"/>
    </row>
    <row r="391" ht="15.75" customHeight="1">
      <c r="C391" s="65"/>
      <c r="D391" s="65"/>
      <c r="E391" s="65"/>
      <c r="F391" s="65"/>
      <c r="H391" s="65"/>
      <c r="J391" s="65"/>
      <c r="K391" s="65"/>
      <c r="L391" s="65"/>
    </row>
    <row r="392" ht="15.75" customHeight="1">
      <c r="C392" s="65"/>
      <c r="D392" s="65"/>
      <c r="E392" s="65"/>
      <c r="F392" s="65"/>
      <c r="H392" s="65"/>
      <c r="J392" s="65"/>
      <c r="K392" s="65"/>
      <c r="L392" s="65"/>
    </row>
    <row r="393" ht="15.75" customHeight="1">
      <c r="C393" s="65"/>
      <c r="D393" s="65"/>
      <c r="E393" s="65"/>
      <c r="F393" s="65"/>
      <c r="H393" s="65"/>
      <c r="J393" s="65"/>
      <c r="K393" s="65"/>
      <c r="L393" s="65"/>
    </row>
    <row r="394" ht="15.75" customHeight="1">
      <c r="C394" s="65"/>
      <c r="D394" s="65"/>
      <c r="E394" s="65"/>
      <c r="F394" s="65"/>
      <c r="H394" s="65"/>
      <c r="J394" s="65"/>
      <c r="K394" s="65"/>
      <c r="L394" s="65"/>
    </row>
    <row r="395" ht="15.75" customHeight="1">
      <c r="C395" s="65"/>
      <c r="D395" s="65"/>
      <c r="E395" s="65"/>
      <c r="F395" s="65"/>
      <c r="H395" s="65"/>
      <c r="J395" s="65"/>
      <c r="K395" s="65"/>
      <c r="L395" s="65"/>
    </row>
    <row r="396" ht="15.75" customHeight="1">
      <c r="C396" s="65"/>
      <c r="D396" s="65"/>
      <c r="E396" s="65"/>
      <c r="F396" s="65"/>
      <c r="H396" s="65"/>
      <c r="J396" s="65"/>
      <c r="K396" s="65"/>
      <c r="L396" s="65"/>
    </row>
    <row r="397" ht="15.75" customHeight="1">
      <c r="C397" s="65"/>
      <c r="D397" s="65"/>
      <c r="E397" s="65"/>
      <c r="F397" s="65"/>
      <c r="H397" s="65"/>
      <c r="J397" s="65"/>
      <c r="K397" s="65"/>
      <c r="L397" s="65"/>
    </row>
    <row r="398" ht="15.75" customHeight="1">
      <c r="C398" s="65"/>
      <c r="D398" s="65"/>
      <c r="E398" s="65"/>
      <c r="F398" s="65"/>
      <c r="H398" s="65"/>
      <c r="J398" s="65"/>
      <c r="K398" s="65"/>
      <c r="L398" s="65"/>
    </row>
    <row r="399" ht="15.75" customHeight="1">
      <c r="C399" s="65"/>
      <c r="D399" s="65"/>
      <c r="E399" s="65"/>
      <c r="F399" s="65"/>
      <c r="H399" s="65"/>
      <c r="J399" s="65"/>
      <c r="K399" s="65"/>
      <c r="L399" s="65"/>
    </row>
    <row r="400" ht="15.75" customHeight="1">
      <c r="C400" s="65"/>
      <c r="D400" s="65"/>
      <c r="E400" s="65"/>
      <c r="F400" s="65"/>
      <c r="H400" s="65"/>
      <c r="J400" s="65"/>
      <c r="K400" s="65"/>
      <c r="L400" s="65"/>
    </row>
    <row r="401" ht="15.75" customHeight="1">
      <c r="C401" s="65"/>
      <c r="D401" s="65"/>
      <c r="E401" s="65"/>
      <c r="F401" s="65"/>
      <c r="H401" s="65"/>
      <c r="J401" s="65"/>
      <c r="K401" s="65"/>
      <c r="L401" s="65"/>
    </row>
    <row r="402" ht="15.75" customHeight="1">
      <c r="C402" s="65"/>
      <c r="D402" s="65"/>
      <c r="E402" s="65"/>
      <c r="F402" s="65"/>
      <c r="H402" s="65"/>
      <c r="J402" s="65"/>
      <c r="K402" s="65"/>
      <c r="L402" s="65"/>
    </row>
    <row r="403" ht="15.75" customHeight="1">
      <c r="C403" s="65"/>
      <c r="D403" s="65"/>
      <c r="E403" s="65"/>
      <c r="F403" s="65"/>
      <c r="H403" s="65"/>
      <c r="J403" s="65"/>
      <c r="K403" s="65"/>
      <c r="L403" s="65"/>
    </row>
    <row r="404" ht="15.75" customHeight="1">
      <c r="C404" s="65"/>
      <c r="D404" s="65"/>
      <c r="E404" s="65"/>
      <c r="F404" s="65"/>
      <c r="H404" s="65"/>
      <c r="J404" s="65"/>
      <c r="K404" s="65"/>
      <c r="L404" s="65"/>
    </row>
    <row r="405" ht="15.75" customHeight="1">
      <c r="C405" s="65"/>
      <c r="D405" s="65"/>
      <c r="E405" s="65"/>
      <c r="F405" s="65"/>
      <c r="H405" s="65"/>
      <c r="J405" s="65"/>
      <c r="K405" s="65"/>
      <c r="L405" s="65"/>
    </row>
    <row r="406" ht="15.75" customHeight="1">
      <c r="C406" s="65"/>
      <c r="D406" s="65"/>
      <c r="E406" s="65"/>
      <c r="F406" s="65"/>
      <c r="H406" s="65"/>
      <c r="J406" s="65"/>
      <c r="K406" s="65"/>
      <c r="L406" s="65"/>
    </row>
    <row r="407" ht="15.75" customHeight="1">
      <c r="C407" s="65"/>
      <c r="D407" s="65"/>
      <c r="E407" s="65"/>
      <c r="F407" s="65"/>
      <c r="H407" s="65"/>
      <c r="J407" s="65"/>
      <c r="K407" s="65"/>
      <c r="L407" s="65"/>
    </row>
    <row r="408" ht="15.75" customHeight="1">
      <c r="C408" s="65"/>
      <c r="D408" s="65"/>
      <c r="E408" s="65"/>
      <c r="F408" s="65"/>
      <c r="H408" s="65"/>
      <c r="J408" s="65"/>
      <c r="K408" s="65"/>
      <c r="L408" s="65"/>
    </row>
    <row r="409" ht="15.75" customHeight="1">
      <c r="C409" s="65"/>
      <c r="D409" s="65"/>
      <c r="E409" s="65"/>
      <c r="F409" s="65"/>
      <c r="H409" s="65"/>
      <c r="J409" s="65"/>
      <c r="K409" s="65"/>
      <c r="L409" s="65"/>
    </row>
    <row r="410" ht="15.75" customHeight="1">
      <c r="C410" s="65"/>
      <c r="D410" s="65"/>
      <c r="E410" s="65"/>
      <c r="F410" s="65"/>
      <c r="H410" s="65"/>
      <c r="J410" s="65"/>
      <c r="K410" s="65"/>
      <c r="L410" s="65"/>
    </row>
    <row r="411" ht="15.75" customHeight="1">
      <c r="C411" s="65"/>
      <c r="D411" s="65"/>
      <c r="E411" s="65"/>
      <c r="F411" s="65"/>
      <c r="H411" s="65"/>
      <c r="J411" s="65"/>
      <c r="K411" s="65"/>
      <c r="L411" s="65"/>
    </row>
    <row r="412" ht="15.75" customHeight="1">
      <c r="C412" s="65"/>
      <c r="D412" s="65"/>
      <c r="E412" s="65"/>
      <c r="F412" s="65"/>
      <c r="H412" s="65"/>
      <c r="J412" s="65"/>
      <c r="K412" s="65"/>
      <c r="L412" s="65"/>
    </row>
    <row r="413" ht="15.75" customHeight="1">
      <c r="C413" s="65"/>
      <c r="D413" s="65"/>
      <c r="E413" s="65"/>
      <c r="F413" s="65"/>
      <c r="H413" s="65"/>
      <c r="J413" s="65"/>
      <c r="K413" s="65"/>
      <c r="L413" s="65"/>
    </row>
    <row r="414" ht="15.75" customHeight="1">
      <c r="C414" s="65"/>
      <c r="D414" s="65"/>
      <c r="E414" s="65"/>
      <c r="F414" s="65"/>
      <c r="H414" s="65"/>
      <c r="J414" s="65"/>
      <c r="K414" s="65"/>
      <c r="L414" s="65"/>
    </row>
    <row r="415" ht="15.75" customHeight="1">
      <c r="C415" s="65"/>
      <c r="D415" s="65"/>
      <c r="E415" s="65"/>
      <c r="F415" s="65"/>
      <c r="H415" s="65"/>
      <c r="J415" s="65"/>
      <c r="K415" s="65"/>
      <c r="L415" s="65"/>
    </row>
    <row r="416" ht="15.75" customHeight="1">
      <c r="C416" s="65"/>
      <c r="D416" s="65"/>
      <c r="E416" s="65"/>
      <c r="F416" s="65"/>
      <c r="H416" s="65"/>
      <c r="J416" s="65"/>
      <c r="K416" s="65"/>
      <c r="L416" s="65"/>
    </row>
    <row r="417" ht="15.75" customHeight="1">
      <c r="C417" s="65"/>
      <c r="D417" s="65"/>
      <c r="E417" s="65"/>
      <c r="F417" s="65"/>
      <c r="H417" s="65"/>
      <c r="J417" s="65"/>
      <c r="K417" s="65"/>
      <c r="L417" s="65"/>
    </row>
    <row r="418" ht="15.75" customHeight="1">
      <c r="C418" s="65"/>
      <c r="D418" s="65"/>
      <c r="E418" s="65"/>
      <c r="F418" s="65"/>
      <c r="H418" s="65"/>
      <c r="J418" s="65"/>
      <c r="K418" s="65"/>
      <c r="L418" s="65"/>
    </row>
    <row r="419" ht="15.75" customHeight="1">
      <c r="C419" s="65"/>
      <c r="D419" s="65"/>
      <c r="E419" s="65"/>
      <c r="F419" s="65"/>
      <c r="H419" s="65"/>
      <c r="J419" s="65"/>
      <c r="K419" s="65"/>
      <c r="L419" s="65"/>
    </row>
    <row r="420" ht="15.75" customHeight="1">
      <c r="C420" s="65"/>
      <c r="D420" s="65"/>
      <c r="E420" s="65"/>
      <c r="F420" s="65"/>
      <c r="H420" s="65"/>
      <c r="J420" s="65"/>
      <c r="K420" s="65"/>
      <c r="L420" s="65"/>
    </row>
    <row r="421" ht="15.75" customHeight="1">
      <c r="C421" s="65"/>
      <c r="D421" s="65"/>
      <c r="E421" s="65"/>
      <c r="F421" s="65"/>
      <c r="H421" s="65"/>
      <c r="J421" s="65"/>
      <c r="K421" s="65"/>
      <c r="L421" s="65"/>
    </row>
    <row r="422" ht="15.75" customHeight="1">
      <c r="C422" s="65"/>
      <c r="D422" s="65"/>
      <c r="E422" s="65"/>
      <c r="F422" s="65"/>
      <c r="H422" s="65"/>
      <c r="J422" s="65"/>
      <c r="K422" s="65"/>
      <c r="L422" s="65"/>
    </row>
    <row r="423" ht="15.75" customHeight="1">
      <c r="C423" s="65"/>
      <c r="D423" s="65"/>
      <c r="E423" s="65"/>
      <c r="F423" s="65"/>
      <c r="H423" s="65"/>
      <c r="J423" s="65"/>
      <c r="K423" s="65"/>
      <c r="L423" s="65"/>
    </row>
    <row r="424" ht="15.75" customHeight="1">
      <c r="C424" s="65"/>
      <c r="D424" s="65"/>
      <c r="E424" s="65"/>
      <c r="F424" s="65"/>
      <c r="H424" s="65"/>
      <c r="J424" s="65"/>
      <c r="K424" s="65"/>
      <c r="L424" s="65"/>
    </row>
    <row r="425" ht="15.75" customHeight="1">
      <c r="C425" s="65"/>
      <c r="D425" s="65"/>
      <c r="E425" s="65"/>
      <c r="F425" s="65"/>
      <c r="H425" s="65"/>
      <c r="J425" s="65"/>
      <c r="K425" s="65"/>
      <c r="L425" s="65"/>
    </row>
    <row r="426" ht="15.75" customHeight="1">
      <c r="C426" s="65"/>
      <c r="D426" s="65"/>
      <c r="E426" s="65"/>
      <c r="F426" s="65"/>
      <c r="H426" s="65"/>
      <c r="J426" s="65"/>
      <c r="K426" s="65"/>
      <c r="L426" s="65"/>
    </row>
    <row r="427" ht="15.75" customHeight="1">
      <c r="C427" s="65"/>
      <c r="D427" s="65"/>
      <c r="E427" s="65"/>
      <c r="F427" s="65"/>
      <c r="H427" s="65"/>
      <c r="J427" s="65"/>
      <c r="K427" s="65"/>
      <c r="L427" s="65"/>
    </row>
    <row r="428" ht="15.75" customHeight="1">
      <c r="C428" s="65"/>
      <c r="D428" s="65"/>
      <c r="E428" s="65"/>
      <c r="F428" s="65"/>
      <c r="H428" s="65"/>
      <c r="J428" s="65"/>
      <c r="K428" s="65"/>
      <c r="L428" s="65"/>
    </row>
    <row r="429" ht="15.75" customHeight="1">
      <c r="C429" s="65"/>
      <c r="D429" s="65"/>
      <c r="E429" s="65"/>
      <c r="F429" s="65"/>
      <c r="H429" s="65"/>
      <c r="J429" s="65"/>
      <c r="K429" s="65"/>
      <c r="L429" s="65"/>
    </row>
    <row r="430" ht="15.75" customHeight="1">
      <c r="C430" s="65"/>
      <c r="D430" s="65"/>
      <c r="E430" s="65"/>
      <c r="F430" s="65"/>
      <c r="H430" s="65"/>
      <c r="J430" s="65"/>
      <c r="K430" s="65"/>
      <c r="L430" s="65"/>
    </row>
    <row r="431" ht="15.75" customHeight="1">
      <c r="C431" s="65"/>
      <c r="D431" s="65"/>
      <c r="E431" s="65"/>
      <c r="F431" s="65"/>
      <c r="H431" s="65"/>
      <c r="J431" s="65"/>
      <c r="K431" s="65"/>
      <c r="L431" s="65"/>
    </row>
    <row r="432" ht="15.75" customHeight="1">
      <c r="C432" s="65"/>
      <c r="D432" s="65"/>
      <c r="E432" s="65"/>
      <c r="F432" s="65"/>
      <c r="H432" s="65"/>
      <c r="J432" s="65"/>
      <c r="K432" s="65"/>
      <c r="L432" s="65"/>
    </row>
    <row r="433" ht="15.75" customHeight="1">
      <c r="C433" s="65"/>
      <c r="D433" s="65"/>
      <c r="E433" s="65"/>
      <c r="F433" s="65"/>
      <c r="H433" s="65"/>
      <c r="J433" s="65"/>
      <c r="K433" s="65"/>
      <c r="L433" s="65"/>
    </row>
    <row r="434" ht="15.75" customHeight="1">
      <c r="C434" s="65"/>
      <c r="D434" s="65"/>
      <c r="E434" s="65"/>
      <c r="F434" s="65"/>
      <c r="H434" s="65"/>
      <c r="J434" s="65"/>
      <c r="K434" s="65"/>
      <c r="L434" s="65"/>
    </row>
    <row r="435" ht="15.75" customHeight="1">
      <c r="C435" s="65"/>
      <c r="D435" s="65"/>
      <c r="E435" s="65"/>
      <c r="F435" s="65"/>
      <c r="H435" s="65"/>
      <c r="J435" s="65"/>
      <c r="K435" s="65"/>
      <c r="L435" s="65"/>
    </row>
    <row r="436" ht="15.75" customHeight="1">
      <c r="C436" s="65"/>
      <c r="D436" s="65"/>
      <c r="E436" s="65"/>
      <c r="F436" s="65"/>
      <c r="H436" s="65"/>
      <c r="J436" s="65"/>
      <c r="K436" s="65"/>
      <c r="L436" s="65"/>
    </row>
    <row r="437" ht="15.75" customHeight="1">
      <c r="C437" s="65"/>
      <c r="D437" s="65"/>
      <c r="E437" s="65"/>
      <c r="F437" s="65"/>
      <c r="H437" s="65"/>
      <c r="J437" s="65"/>
      <c r="K437" s="65"/>
      <c r="L437" s="65"/>
    </row>
    <row r="438" ht="15.75" customHeight="1">
      <c r="C438" s="65"/>
      <c r="D438" s="65"/>
      <c r="E438" s="65"/>
      <c r="F438" s="65"/>
      <c r="H438" s="65"/>
      <c r="J438" s="65"/>
      <c r="K438" s="65"/>
      <c r="L438" s="65"/>
    </row>
    <row r="439" ht="15.75" customHeight="1">
      <c r="C439" s="65"/>
      <c r="D439" s="65"/>
      <c r="E439" s="65"/>
      <c r="F439" s="65"/>
      <c r="H439" s="65"/>
      <c r="J439" s="65"/>
      <c r="K439" s="65"/>
      <c r="L439" s="65"/>
    </row>
    <row r="440" ht="15.75" customHeight="1">
      <c r="C440" s="65"/>
      <c r="D440" s="65"/>
      <c r="E440" s="65"/>
      <c r="F440" s="65"/>
      <c r="H440" s="65"/>
      <c r="J440" s="65"/>
      <c r="K440" s="65"/>
      <c r="L440" s="65"/>
    </row>
    <row r="441" ht="15.75" customHeight="1">
      <c r="C441" s="65"/>
      <c r="D441" s="65"/>
      <c r="E441" s="65"/>
      <c r="F441" s="65"/>
      <c r="H441" s="65"/>
      <c r="J441" s="65"/>
      <c r="K441" s="65"/>
      <c r="L441" s="65"/>
    </row>
    <row r="442" ht="15.75" customHeight="1">
      <c r="C442" s="65"/>
      <c r="D442" s="65"/>
      <c r="E442" s="65"/>
      <c r="F442" s="65"/>
      <c r="H442" s="65"/>
      <c r="J442" s="65"/>
      <c r="K442" s="65"/>
      <c r="L442" s="65"/>
    </row>
    <row r="443" ht="15.75" customHeight="1">
      <c r="C443" s="65"/>
      <c r="D443" s="65"/>
      <c r="E443" s="65"/>
      <c r="F443" s="65"/>
      <c r="H443" s="65"/>
      <c r="J443" s="65"/>
      <c r="K443" s="65"/>
      <c r="L443" s="65"/>
    </row>
    <row r="444" ht="15.75" customHeight="1">
      <c r="C444" s="65"/>
      <c r="D444" s="65"/>
      <c r="E444" s="65"/>
      <c r="F444" s="65"/>
      <c r="H444" s="65"/>
      <c r="J444" s="65"/>
      <c r="K444" s="65"/>
      <c r="L444" s="65"/>
    </row>
    <row r="445" ht="15.75" customHeight="1">
      <c r="C445" s="65"/>
      <c r="D445" s="65"/>
      <c r="E445" s="65"/>
      <c r="F445" s="65"/>
      <c r="H445" s="65"/>
      <c r="J445" s="65"/>
      <c r="K445" s="65"/>
      <c r="L445" s="65"/>
    </row>
    <row r="446" ht="15.75" customHeight="1">
      <c r="C446" s="65"/>
      <c r="D446" s="65"/>
      <c r="E446" s="65"/>
      <c r="F446" s="65"/>
      <c r="H446" s="65"/>
      <c r="J446" s="65"/>
      <c r="K446" s="65"/>
      <c r="L446" s="65"/>
    </row>
    <row r="447" ht="15.75" customHeight="1">
      <c r="C447" s="65"/>
      <c r="D447" s="65"/>
      <c r="E447" s="65"/>
      <c r="F447" s="65"/>
      <c r="H447" s="65"/>
      <c r="J447" s="65"/>
      <c r="K447" s="65"/>
      <c r="L447" s="65"/>
    </row>
    <row r="448" ht="15.75" customHeight="1">
      <c r="C448" s="65"/>
      <c r="D448" s="65"/>
      <c r="E448" s="65"/>
      <c r="F448" s="65"/>
      <c r="H448" s="65"/>
      <c r="J448" s="65"/>
      <c r="K448" s="65"/>
      <c r="L448" s="65"/>
    </row>
    <row r="449" ht="15.75" customHeight="1">
      <c r="C449" s="65"/>
      <c r="D449" s="65"/>
      <c r="E449" s="65"/>
      <c r="F449" s="65"/>
      <c r="H449" s="65"/>
      <c r="J449" s="65"/>
      <c r="K449" s="65"/>
      <c r="L449" s="65"/>
    </row>
    <row r="450" ht="15.75" customHeight="1">
      <c r="C450" s="65"/>
      <c r="D450" s="65"/>
      <c r="E450" s="65"/>
      <c r="F450" s="65"/>
      <c r="H450" s="65"/>
      <c r="J450" s="65"/>
      <c r="K450" s="65"/>
      <c r="L450" s="65"/>
    </row>
    <row r="451" ht="15.75" customHeight="1">
      <c r="C451" s="65"/>
      <c r="D451" s="65"/>
      <c r="E451" s="65"/>
      <c r="F451" s="65"/>
      <c r="H451" s="65"/>
      <c r="J451" s="65"/>
      <c r="K451" s="65"/>
      <c r="L451" s="65"/>
    </row>
    <row r="452" ht="15.75" customHeight="1">
      <c r="C452" s="65"/>
      <c r="D452" s="65"/>
      <c r="E452" s="65"/>
      <c r="F452" s="65"/>
      <c r="H452" s="65"/>
      <c r="J452" s="65"/>
      <c r="K452" s="65"/>
      <c r="L452" s="65"/>
    </row>
    <row r="453" ht="15.75" customHeight="1">
      <c r="C453" s="65"/>
      <c r="D453" s="65"/>
      <c r="E453" s="65"/>
      <c r="F453" s="65"/>
      <c r="H453" s="65"/>
      <c r="J453" s="65"/>
      <c r="K453" s="65"/>
      <c r="L453" s="65"/>
    </row>
    <row r="454" ht="15.75" customHeight="1">
      <c r="C454" s="65"/>
      <c r="D454" s="65"/>
      <c r="E454" s="65"/>
      <c r="F454" s="65"/>
      <c r="H454" s="65"/>
      <c r="J454" s="65"/>
      <c r="K454" s="65"/>
      <c r="L454" s="65"/>
    </row>
    <row r="455" ht="15.75" customHeight="1">
      <c r="C455" s="65"/>
      <c r="D455" s="65"/>
      <c r="E455" s="65"/>
      <c r="F455" s="65"/>
      <c r="H455" s="65"/>
      <c r="J455" s="65"/>
      <c r="K455" s="65"/>
      <c r="L455" s="65"/>
    </row>
    <row r="456" ht="15.75" customHeight="1">
      <c r="C456" s="65"/>
      <c r="D456" s="65"/>
      <c r="E456" s="65"/>
      <c r="F456" s="65"/>
      <c r="H456" s="65"/>
      <c r="J456" s="65"/>
      <c r="K456" s="65"/>
      <c r="L456" s="65"/>
    </row>
    <row r="457" ht="15.75" customHeight="1">
      <c r="C457" s="65"/>
      <c r="D457" s="65"/>
      <c r="E457" s="65"/>
      <c r="F457" s="65"/>
      <c r="H457" s="65"/>
      <c r="J457" s="65"/>
      <c r="K457" s="65"/>
      <c r="L457" s="65"/>
    </row>
    <row r="458" ht="15.75" customHeight="1">
      <c r="C458" s="65"/>
      <c r="D458" s="65"/>
      <c r="E458" s="65"/>
      <c r="F458" s="65"/>
      <c r="H458" s="65"/>
      <c r="J458" s="65"/>
      <c r="K458" s="65"/>
      <c r="L458" s="65"/>
    </row>
    <row r="459" ht="15.75" customHeight="1">
      <c r="C459" s="65"/>
      <c r="D459" s="65"/>
      <c r="E459" s="65"/>
      <c r="F459" s="65"/>
      <c r="H459" s="65"/>
      <c r="J459" s="65"/>
      <c r="K459" s="65"/>
      <c r="L459" s="65"/>
    </row>
    <row r="460" ht="15.75" customHeight="1">
      <c r="C460" s="65"/>
      <c r="D460" s="65"/>
      <c r="E460" s="65"/>
      <c r="F460" s="65"/>
      <c r="H460" s="65"/>
      <c r="J460" s="65"/>
      <c r="K460" s="65"/>
      <c r="L460" s="65"/>
    </row>
    <row r="461" ht="15.75" customHeight="1">
      <c r="C461" s="65"/>
      <c r="D461" s="65"/>
      <c r="E461" s="65"/>
      <c r="F461" s="65"/>
      <c r="H461" s="65"/>
      <c r="J461" s="65"/>
      <c r="K461" s="65"/>
      <c r="L461" s="65"/>
    </row>
    <row r="462" ht="15.75" customHeight="1">
      <c r="C462" s="65"/>
      <c r="D462" s="65"/>
      <c r="E462" s="65"/>
      <c r="F462" s="65"/>
      <c r="H462" s="65"/>
      <c r="J462" s="65"/>
      <c r="K462" s="65"/>
      <c r="L462" s="65"/>
    </row>
    <row r="463" ht="15.75" customHeight="1">
      <c r="C463" s="65"/>
      <c r="D463" s="65"/>
      <c r="E463" s="65"/>
      <c r="F463" s="65"/>
      <c r="H463" s="65"/>
      <c r="J463" s="65"/>
      <c r="K463" s="65"/>
      <c r="L463" s="65"/>
    </row>
    <row r="464" ht="15.75" customHeight="1">
      <c r="C464" s="65"/>
      <c r="D464" s="65"/>
      <c r="E464" s="65"/>
      <c r="F464" s="65"/>
      <c r="H464" s="65"/>
      <c r="J464" s="65"/>
      <c r="K464" s="65"/>
      <c r="L464" s="65"/>
    </row>
    <row r="465" ht="15.75" customHeight="1">
      <c r="C465" s="65"/>
      <c r="D465" s="65"/>
      <c r="E465" s="65"/>
      <c r="F465" s="65"/>
      <c r="H465" s="65"/>
      <c r="J465" s="65"/>
      <c r="K465" s="65"/>
      <c r="L465" s="65"/>
    </row>
    <row r="466" ht="15.75" customHeight="1">
      <c r="C466" s="65"/>
      <c r="D466" s="65"/>
      <c r="E466" s="65"/>
      <c r="F466" s="65"/>
      <c r="H466" s="65"/>
      <c r="J466" s="65"/>
      <c r="K466" s="65"/>
      <c r="L466" s="65"/>
    </row>
    <row r="467" ht="15.75" customHeight="1">
      <c r="C467" s="65"/>
      <c r="D467" s="65"/>
      <c r="E467" s="65"/>
      <c r="F467" s="65"/>
      <c r="H467" s="65"/>
      <c r="J467" s="65"/>
      <c r="K467" s="65"/>
      <c r="L467" s="65"/>
    </row>
    <row r="468" ht="15.75" customHeight="1">
      <c r="C468" s="65"/>
      <c r="D468" s="65"/>
      <c r="E468" s="65"/>
      <c r="F468" s="65"/>
      <c r="H468" s="65"/>
      <c r="J468" s="65"/>
      <c r="K468" s="65"/>
      <c r="L468" s="65"/>
    </row>
    <row r="469" ht="15.75" customHeight="1">
      <c r="C469" s="65"/>
      <c r="D469" s="65"/>
      <c r="E469" s="65"/>
      <c r="F469" s="65"/>
      <c r="H469" s="65"/>
      <c r="J469" s="65"/>
      <c r="K469" s="65"/>
      <c r="L469" s="65"/>
    </row>
    <row r="470" ht="15.75" customHeight="1">
      <c r="C470" s="65"/>
      <c r="D470" s="65"/>
      <c r="E470" s="65"/>
      <c r="F470" s="65"/>
      <c r="H470" s="65"/>
      <c r="J470" s="65"/>
      <c r="K470" s="65"/>
      <c r="L470" s="65"/>
    </row>
    <row r="471" ht="15.75" customHeight="1">
      <c r="C471" s="65"/>
      <c r="D471" s="65"/>
      <c r="E471" s="65"/>
      <c r="F471" s="65"/>
      <c r="H471" s="65"/>
      <c r="J471" s="65"/>
      <c r="K471" s="65"/>
      <c r="L471" s="65"/>
    </row>
    <row r="472" ht="15.75" customHeight="1">
      <c r="C472" s="65"/>
      <c r="D472" s="65"/>
      <c r="E472" s="65"/>
      <c r="F472" s="65"/>
      <c r="H472" s="65"/>
      <c r="J472" s="65"/>
      <c r="K472" s="65"/>
      <c r="L472" s="65"/>
    </row>
    <row r="473" ht="15.75" customHeight="1">
      <c r="C473" s="65"/>
      <c r="D473" s="65"/>
      <c r="E473" s="65"/>
      <c r="F473" s="65"/>
      <c r="H473" s="65"/>
      <c r="J473" s="65"/>
      <c r="K473" s="65"/>
      <c r="L473" s="65"/>
    </row>
    <row r="474" ht="15.75" customHeight="1">
      <c r="C474" s="65"/>
      <c r="D474" s="65"/>
      <c r="E474" s="65"/>
      <c r="F474" s="65"/>
      <c r="H474" s="65"/>
      <c r="J474" s="65"/>
      <c r="K474" s="65"/>
      <c r="L474" s="65"/>
    </row>
    <row r="475" ht="15.75" customHeight="1">
      <c r="C475" s="65"/>
      <c r="D475" s="65"/>
      <c r="E475" s="65"/>
      <c r="F475" s="65"/>
      <c r="H475" s="65"/>
      <c r="J475" s="65"/>
      <c r="K475" s="65"/>
      <c r="L475" s="65"/>
    </row>
    <row r="476" ht="15.75" customHeight="1">
      <c r="C476" s="65"/>
      <c r="D476" s="65"/>
      <c r="E476" s="65"/>
      <c r="F476" s="65"/>
      <c r="H476" s="65"/>
      <c r="J476" s="65"/>
      <c r="K476" s="65"/>
      <c r="L476" s="65"/>
    </row>
    <row r="477" ht="15.75" customHeight="1">
      <c r="C477" s="65"/>
      <c r="D477" s="65"/>
      <c r="E477" s="65"/>
      <c r="F477" s="65"/>
      <c r="H477" s="65"/>
      <c r="J477" s="65"/>
      <c r="K477" s="65"/>
      <c r="L477" s="65"/>
    </row>
    <row r="478" ht="15.75" customHeight="1">
      <c r="C478" s="65"/>
      <c r="D478" s="65"/>
      <c r="E478" s="65"/>
      <c r="F478" s="65"/>
      <c r="H478" s="65"/>
      <c r="J478" s="65"/>
      <c r="K478" s="65"/>
      <c r="L478" s="65"/>
    </row>
    <row r="479" ht="15.75" customHeight="1">
      <c r="C479" s="65"/>
      <c r="D479" s="65"/>
      <c r="E479" s="65"/>
      <c r="F479" s="65"/>
      <c r="H479" s="65"/>
      <c r="J479" s="65"/>
      <c r="K479" s="65"/>
      <c r="L479" s="65"/>
    </row>
    <row r="480" ht="15.75" customHeight="1">
      <c r="C480" s="65"/>
      <c r="D480" s="65"/>
      <c r="E480" s="65"/>
      <c r="F480" s="65"/>
      <c r="H480" s="65"/>
      <c r="J480" s="65"/>
      <c r="K480" s="65"/>
      <c r="L480" s="65"/>
    </row>
    <row r="481" ht="15.75" customHeight="1">
      <c r="C481" s="65"/>
      <c r="D481" s="65"/>
      <c r="E481" s="65"/>
      <c r="F481" s="65"/>
      <c r="H481" s="65"/>
      <c r="J481" s="65"/>
      <c r="K481" s="65"/>
      <c r="L481" s="65"/>
    </row>
    <row r="482" ht="15.75" customHeight="1">
      <c r="C482" s="65"/>
      <c r="D482" s="65"/>
      <c r="E482" s="65"/>
      <c r="F482" s="65"/>
      <c r="H482" s="65"/>
      <c r="J482" s="65"/>
      <c r="K482" s="65"/>
      <c r="L482" s="65"/>
    </row>
    <row r="483" ht="15.75" customHeight="1">
      <c r="C483" s="65"/>
      <c r="D483" s="65"/>
      <c r="E483" s="65"/>
      <c r="F483" s="65"/>
      <c r="H483" s="65"/>
      <c r="J483" s="65"/>
      <c r="K483" s="65"/>
      <c r="L483" s="65"/>
    </row>
    <row r="484" ht="15.75" customHeight="1">
      <c r="C484" s="65"/>
      <c r="D484" s="65"/>
      <c r="E484" s="65"/>
      <c r="F484" s="65"/>
      <c r="H484" s="65"/>
      <c r="J484" s="65"/>
      <c r="K484" s="65"/>
      <c r="L484" s="65"/>
    </row>
    <row r="485" ht="15.75" customHeight="1">
      <c r="C485" s="65"/>
      <c r="D485" s="65"/>
      <c r="E485" s="65"/>
      <c r="F485" s="65"/>
      <c r="H485" s="65"/>
      <c r="J485" s="65"/>
      <c r="K485" s="65"/>
      <c r="L485" s="65"/>
    </row>
    <row r="486" ht="15.75" customHeight="1">
      <c r="C486" s="65"/>
      <c r="D486" s="65"/>
      <c r="E486" s="65"/>
      <c r="F486" s="65"/>
      <c r="H486" s="65"/>
      <c r="J486" s="65"/>
      <c r="K486" s="65"/>
      <c r="L486" s="65"/>
    </row>
    <row r="487" ht="15.75" customHeight="1">
      <c r="C487" s="65"/>
      <c r="D487" s="65"/>
      <c r="E487" s="65"/>
      <c r="F487" s="65"/>
      <c r="H487" s="65"/>
      <c r="J487" s="65"/>
      <c r="K487" s="65"/>
      <c r="L487" s="65"/>
    </row>
    <row r="488" ht="15.75" customHeight="1">
      <c r="C488" s="65"/>
      <c r="D488" s="65"/>
      <c r="E488" s="65"/>
      <c r="F488" s="65"/>
      <c r="H488" s="65"/>
      <c r="J488" s="65"/>
      <c r="K488" s="65"/>
      <c r="L488" s="65"/>
    </row>
    <row r="489" ht="15.75" customHeight="1">
      <c r="C489" s="65"/>
      <c r="D489" s="65"/>
      <c r="E489" s="65"/>
      <c r="F489" s="65"/>
      <c r="H489" s="65"/>
      <c r="J489" s="65"/>
      <c r="K489" s="65"/>
      <c r="L489" s="65"/>
    </row>
    <row r="490" ht="15.75" customHeight="1">
      <c r="C490" s="65"/>
      <c r="D490" s="65"/>
      <c r="E490" s="65"/>
      <c r="F490" s="65"/>
      <c r="H490" s="65"/>
      <c r="J490" s="65"/>
      <c r="K490" s="65"/>
      <c r="L490" s="65"/>
    </row>
    <row r="491" ht="15.75" customHeight="1">
      <c r="C491" s="65"/>
      <c r="D491" s="65"/>
      <c r="E491" s="65"/>
      <c r="F491" s="65"/>
      <c r="H491" s="65"/>
      <c r="J491" s="65"/>
      <c r="K491" s="65"/>
      <c r="L491" s="65"/>
    </row>
    <row r="492" ht="15.75" customHeight="1">
      <c r="C492" s="65"/>
      <c r="D492" s="65"/>
      <c r="E492" s="65"/>
      <c r="F492" s="65"/>
      <c r="H492" s="65"/>
      <c r="J492" s="65"/>
      <c r="K492" s="65"/>
      <c r="L492" s="65"/>
    </row>
    <row r="493" ht="15.75" customHeight="1">
      <c r="C493" s="65"/>
      <c r="D493" s="65"/>
      <c r="E493" s="65"/>
      <c r="F493" s="65"/>
      <c r="H493" s="65"/>
      <c r="J493" s="65"/>
      <c r="K493" s="65"/>
      <c r="L493" s="65"/>
    </row>
    <row r="494" ht="15.75" customHeight="1">
      <c r="C494" s="65"/>
      <c r="D494" s="65"/>
      <c r="E494" s="65"/>
      <c r="F494" s="65"/>
      <c r="H494" s="65"/>
      <c r="J494" s="65"/>
      <c r="K494" s="65"/>
      <c r="L494" s="65"/>
    </row>
    <row r="495" ht="15.75" customHeight="1">
      <c r="C495" s="65"/>
      <c r="D495" s="65"/>
      <c r="E495" s="65"/>
      <c r="F495" s="65"/>
      <c r="H495" s="65"/>
      <c r="J495" s="65"/>
      <c r="K495" s="65"/>
      <c r="L495" s="65"/>
    </row>
    <row r="496" ht="15.75" customHeight="1">
      <c r="C496" s="65"/>
      <c r="D496" s="65"/>
      <c r="E496" s="65"/>
      <c r="F496" s="65"/>
      <c r="H496" s="65"/>
      <c r="J496" s="65"/>
      <c r="K496" s="65"/>
      <c r="L496" s="65"/>
    </row>
    <row r="497" ht="15.75" customHeight="1">
      <c r="C497" s="65"/>
      <c r="D497" s="65"/>
      <c r="E497" s="65"/>
      <c r="F497" s="65"/>
      <c r="H497" s="65"/>
      <c r="J497" s="65"/>
      <c r="K497" s="65"/>
      <c r="L497" s="65"/>
    </row>
    <row r="498" ht="15.75" customHeight="1">
      <c r="C498" s="65"/>
      <c r="D498" s="65"/>
      <c r="E498" s="65"/>
      <c r="F498" s="65"/>
      <c r="H498" s="65"/>
      <c r="J498" s="65"/>
      <c r="K498" s="65"/>
      <c r="L498" s="65"/>
    </row>
    <row r="499" ht="15.75" customHeight="1">
      <c r="C499" s="65"/>
      <c r="D499" s="65"/>
      <c r="E499" s="65"/>
      <c r="F499" s="65"/>
      <c r="H499" s="65"/>
      <c r="J499" s="65"/>
      <c r="K499" s="65"/>
      <c r="L499" s="65"/>
    </row>
    <row r="500" ht="15.75" customHeight="1">
      <c r="C500" s="65"/>
      <c r="D500" s="65"/>
      <c r="E500" s="65"/>
      <c r="F500" s="65"/>
      <c r="H500" s="65"/>
      <c r="J500" s="65"/>
      <c r="K500" s="65"/>
      <c r="L500" s="65"/>
    </row>
    <row r="501" ht="15.75" customHeight="1">
      <c r="C501" s="65"/>
      <c r="D501" s="65"/>
      <c r="E501" s="65"/>
      <c r="F501" s="65"/>
      <c r="H501" s="65"/>
      <c r="J501" s="65"/>
      <c r="K501" s="65"/>
      <c r="L501" s="65"/>
    </row>
    <row r="502" ht="15.75" customHeight="1">
      <c r="C502" s="65"/>
      <c r="D502" s="65"/>
      <c r="E502" s="65"/>
      <c r="F502" s="65"/>
      <c r="H502" s="65"/>
      <c r="J502" s="65"/>
      <c r="K502" s="65"/>
      <c r="L502" s="65"/>
    </row>
    <row r="503" ht="15.75" customHeight="1">
      <c r="C503" s="65"/>
      <c r="D503" s="65"/>
      <c r="E503" s="65"/>
      <c r="F503" s="65"/>
      <c r="H503" s="65"/>
      <c r="J503" s="65"/>
      <c r="K503" s="65"/>
      <c r="L503" s="65"/>
    </row>
    <row r="504" ht="15.75" customHeight="1">
      <c r="C504" s="65"/>
      <c r="D504" s="65"/>
      <c r="E504" s="65"/>
      <c r="F504" s="65"/>
      <c r="H504" s="65"/>
      <c r="J504" s="65"/>
      <c r="K504" s="65"/>
      <c r="L504" s="65"/>
    </row>
    <row r="505" ht="15.75" customHeight="1">
      <c r="C505" s="65"/>
      <c r="D505" s="65"/>
      <c r="E505" s="65"/>
      <c r="F505" s="65"/>
      <c r="H505" s="65"/>
      <c r="J505" s="65"/>
      <c r="K505" s="65"/>
      <c r="L505" s="65"/>
    </row>
    <row r="506" ht="15.75" customHeight="1">
      <c r="C506" s="65"/>
      <c r="D506" s="65"/>
      <c r="E506" s="65"/>
      <c r="F506" s="65"/>
      <c r="H506" s="65"/>
      <c r="J506" s="65"/>
      <c r="K506" s="65"/>
      <c r="L506" s="65"/>
    </row>
    <row r="507" ht="15.75" customHeight="1">
      <c r="C507" s="65"/>
      <c r="D507" s="65"/>
      <c r="E507" s="65"/>
      <c r="F507" s="65"/>
      <c r="H507" s="65"/>
      <c r="J507" s="65"/>
      <c r="K507" s="65"/>
      <c r="L507" s="65"/>
    </row>
    <row r="508" ht="15.75" customHeight="1">
      <c r="C508" s="65"/>
      <c r="D508" s="65"/>
      <c r="E508" s="65"/>
      <c r="F508" s="65"/>
      <c r="H508" s="65"/>
      <c r="J508" s="65"/>
      <c r="K508" s="65"/>
      <c r="L508" s="65"/>
    </row>
    <row r="509" ht="15.75" customHeight="1">
      <c r="C509" s="65"/>
      <c r="D509" s="65"/>
      <c r="E509" s="65"/>
      <c r="F509" s="65"/>
      <c r="H509" s="65"/>
      <c r="J509" s="65"/>
      <c r="K509" s="65"/>
      <c r="L509" s="65"/>
    </row>
    <row r="510" ht="15.75" customHeight="1">
      <c r="C510" s="65"/>
      <c r="D510" s="65"/>
      <c r="E510" s="65"/>
      <c r="F510" s="65"/>
      <c r="H510" s="65"/>
      <c r="J510" s="65"/>
      <c r="K510" s="65"/>
      <c r="L510" s="65"/>
    </row>
    <row r="511" ht="15.75" customHeight="1">
      <c r="C511" s="65"/>
      <c r="D511" s="65"/>
      <c r="E511" s="65"/>
      <c r="F511" s="65"/>
      <c r="H511" s="65"/>
      <c r="J511" s="65"/>
      <c r="K511" s="65"/>
      <c r="L511" s="65"/>
    </row>
    <row r="512" ht="15.75" customHeight="1">
      <c r="C512" s="65"/>
      <c r="D512" s="65"/>
      <c r="E512" s="65"/>
      <c r="F512" s="65"/>
      <c r="H512" s="65"/>
      <c r="J512" s="65"/>
      <c r="K512" s="65"/>
      <c r="L512" s="65"/>
    </row>
    <row r="513" ht="15.75" customHeight="1">
      <c r="C513" s="65"/>
      <c r="D513" s="65"/>
      <c r="E513" s="65"/>
      <c r="F513" s="65"/>
      <c r="H513" s="65"/>
      <c r="J513" s="65"/>
      <c r="K513" s="65"/>
      <c r="L513" s="65"/>
    </row>
    <row r="514" ht="15.75" customHeight="1">
      <c r="C514" s="65"/>
      <c r="D514" s="65"/>
      <c r="E514" s="65"/>
      <c r="F514" s="65"/>
      <c r="H514" s="65"/>
      <c r="J514" s="65"/>
      <c r="K514" s="65"/>
      <c r="L514" s="65"/>
    </row>
    <row r="515" ht="15.75" customHeight="1">
      <c r="C515" s="65"/>
      <c r="D515" s="65"/>
      <c r="E515" s="65"/>
      <c r="F515" s="65"/>
      <c r="H515" s="65"/>
      <c r="J515" s="65"/>
      <c r="K515" s="65"/>
      <c r="L515" s="65"/>
    </row>
    <row r="516" ht="15.75" customHeight="1">
      <c r="C516" s="65"/>
      <c r="D516" s="65"/>
      <c r="E516" s="65"/>
      <c r="F516" s="65"/>
      <c r="H516" s="65"/>
      <c r="J516" s="65"/>
      <c r="K516" s="65"/>
      <c r="L516" s="65"/>
    </row>
    <row r="517" ht="15.75" customHeight="1">
      <c r="C517" s="65"/>
      <c r="D517" s="65"/>
      <c r="E517" s="65"/>
      <c r="F517" s="65"/>
      <c r="H517" s="65"/>
      <c r="J517" s="65"/>
      <c r="K517" s="65"/>
      <c r="L517" s="65"/>
    </row>
    <row r="518" ht="15.75" customHeight="1">
      <c r="C518" s="65"/>
      <c r="D518" s="65"/>
      <c r="E518" s="65"/>
      <c r="F518" s="65"/>
      <c r="H518" s="65"/>
      <c r="J518" s="65"/>
      <c r="K518" s="65"/>
      <c r="L518" s="65"/>
    </row>
    <row r="519" ht="15.75" customHeight="1">
      <c r="C519" s="65"/>
      <c r="D519" s="65"/>
      <c r="E519" s="65"/>
      <c r="F519" s="65"/>
      <c r="H519" s="65"/>
      <c r="J519" s="65"/>
      <c r="K519" s="65"/>
      <c r="L519" s="65"/>
    </row>
    <row r="520" ht="15.75" customHeight="1">
      <c r="C520" s="65"/>
      <c r="D520" s="65"/>
      <c r="E520" s="65"/>
      <c r="F520" s="65"/>
      <c r="H520" s="65"/>
      <c r="J520" s="65"/>
      <c r="K520" s="65"/>
      <c r="L520" s="65"/>
    </row>
    <row r="521" ht="15.75" customHeight="1">
      <c r="C521" s="65"/>
      <c r="D521" s="65"/>
      <c r="E521" s="65"/>
      <c r="F521" s="65"/>
      <c r="H521" s="65"/>
      <c r="J521" s="65"/>
      <c r="K521" s="65"/>
      <c r="L521" s="65"/>
    </row>
    <row r="522" ht="15.75" customHeight="1">
      <c r="C522" s="65"/>
      <c r="D522" s="65"/>
      <c r="E522" s="65"/>
      <c r="F522" s="65"/>
      <c r="H522" s="65"/>
      <c r="J522" s="65"/>
      <c r="K522" s="65"/>
      <c r="L522" s="65"/>
    </row>
    <row r="523" ht="15.75" customHeight="1">
      <c r="C523" s="65"/>
      <c r="D523" s="65"/>
      <c r="E523" s="65"/>
      <c r="F523" s="65"/>
      <c r="H523" s="65"/>
      <c r="J523" s="65"/>
      <c r="K523" s="65"/>
      <c r="L523" s="65"/>
    </row>
    <row r="524" ht="15.75" customHeight="1">
      <c r="C524" s="65"/>
      <c r="D524" s="65"/>
      <c r="E524" s="65"/>
      <c r="F524" s="65"/>
      <c r="H524" s="65"/>
      <c r="J524" s="65"/>
      <c r="K524" s="65"/>
      <c r="L524" s="65"/>
    </row>
    <row r="525" ht="15.75" customHeight="1">
      <c r="C525" s="65"/>
      <c r="D525" s="65"/>
      <c r="E525" s="65"/>
      <c r="F525" s="65"/>
      <c r="H525" s="65"/>
      <c r="J525" s="65"/>
      <c r="K525" s="65"/>
      <c r="L525" s="65"/>
    </row>
    <row r="526" ht="15.75" customHeight="1">
      <c r="C526" s="65"/>
      <c r="D526" s="65"/>
      <c r="E526" s="65"/>
      <c r="F526" s="65"/>
      <c r="H526" s="65"/>
      <c r="J526" s="65"/>
      <c r="K526" s="65"/>
      <c r="L526" s="65"/>
    </row>
    <row r="527" ht="15.75" customHeight="1">
      <c r="C527" s="65"/>
      <c r="D527" s="65"/>
      <c r="E527" s="65"/>
      <c r="F527" s="65"/>
      <c r="H527" s="65"/>
      <c r="J527" s="65"/>
      <c r="K527" s="65"/>
      <c r="L527" s="65"/>
    </row>
    <row r="528" ht="15.75" customHeight="1">
      <c r="C528" s="65"/>
      <c r="D528" s="65"/>
      <c r="E528" s="65"/>
      <c r="F528" s="65"/>
      <c r="H528" s="65"/>
      <c r="J528" s="65"/>
      <c r="K528" s="65"/>
      <c r="L528" s="65"/>
    </row>
    <row r="529" ht="15.75" customHeight="1">
      <c r="C529" s="65"/>
      <c r="D529" s="65"/>
      <c r="E529" s="65"/>
      <c r="F529" s="65"/>
      <c r="H529" s="65"/>
      <c r="J529" s="65"/>
      <c r="K529" s="65"/>
      <c r="L529" s="65"/>
    </row>
    <row r="530" ht="15.75" customHeight="1">
      <c r="C530" s="65"/>
      <c r="D530" s="65"/>
      <c r="E530" s="65"/>
      <c r="F530" s="65"/>
      <c r="H530" s="65"/>
      <c r="J530" s="65"/>
      <c r="K530" s="65"/>
      <c r="L530" s="65"/>
    </row>
    <row r="531" ht="15.75" customHeight="1">
      <c r="C531" s="65"/>
      <c r="D531" s="65"/>
      <c r="E531" s="65"/>
      <c r="F531" s="65"/>
      <c r="H531" s="65"/>
      <c r="J531" s="65"/>
      <c r="K531" s="65"/>
      <c r="L531" s="65"/>
    </row>
    <row r="532" ht="15.75" customHeight="1">
      <c r="C532" s="65"/>
      <c r="D532" s="65"/>
      <c r="E532" s="65"/>
      <c r="F532" s="65"/>
      <c r="H532" s="65"/>
      <c r="J532" s="65"/>
      <c r="K532" s="65"/>
      <c r="L532" s="65"/>
    </row>
    <row r="533" ht="15.75" customHeight="1">
      <c r="C533" s="65"/>
      <c r="D533" s="65"/>
      <c r="E533" s="65"/>
      <c r="F533" s="65"/>
      <c r="H533" s="65"/>
      <c r="J533" s="65"/>
      <c r="K533" s="65"/>
      <c r="L533" s="65"/>
    </row>
    <row r="534" ht="15.75" customHeight="1">
      <c r="C534" s="65"/>
      <c r="D534" s="65"/>
      <c r="E534" s="65"/>
      <c r="F534" s="65"/>
      <c r="H534" s="65"/>
      <c r="J534" s="65"/>
      <c r="K534" s="65"/>
      <c r="L534" s="65"/>
    </row>
    <row r="535" ht="15.75" customHeight="1">
      <c r="C535" s="65"/>
      <c r="D535" s="65"/>
      <c r="E535" s="65"/>
      <c r="F535" s="65"/>
      <c r="H535" s="65"/>
      <c r="J535" s="65"/>
      <c r="K535" s="65"/>
      <c r="L535" s="65"/>
    </row>
    <row r="536" ht="15.75" customHeight="1">
      <c r="C536" s="65"/>
      <c r="D536" s="65"/>
      <c r="E536" s="65"/>
      <c r="F536" s="65"/>
      <c r="H536" s="65"/>
      <c r="J536" s="65"/>
      <c r="K536" s="65"/>
      <c r="L536" s="65"/>
    </row>
    <row r="537" ht="15.75" customHeight="1">
      <c r="C537" s="65"/>
      <c r="D537" s="65"/>
      <c r="E537" s="65"/>
      <c r="F537" s="65"/>
      <c r="H537" s="65"/>
      <c r="J537" s="65"/>
      <c r="K537" s="65"/>
      <c r="L537" s="65"/>
    </row>
    <row r="538" ht="15.75" customHeight="1">
      <c r="C538" s="65"/>
      <c r="D538" s="65"/>
      <c r="E538" s="65"/>
      <c r="F538" s="65"/>
      <c r="H538" s="65"/>
      <c r="J538" s="65"/>
      <c r="K538" s="65"/>
      <c r="L538" s="65"/>
    </row>
    <row r="539" ht="15.75" customHeight="1">
      <c r="C539" s="65"/>
      <c r="D539" s="65"/>
      <c r="E539" s="65"/>
      <c r="F539" s="65"/>
      <c r="H539" s="65"/>
      <c r="J539" s="65"/>
      <c r="K539" s="65"/>
      <c r="L539" s="65"/>
    </row>
    <row r="540" ht="15.75" customHeight="1">
      <c r="C540" s="65"/>
      <c r="D540" s="65"/>
      <c r="E540" s="65"/>
      <c r="F540" s="65"/>
      <c r="H540" s="65"/>
      <c r="J540" s="65"/>
      <c r="K540" s="65"/>
      <c r="L540" s="65"/>
    </row>
    <row r="541" ht="15.75" customHeight="1">
      <c r="C541" s="65"/>
      <c r="D541" s="65"/>
      <c r="E541" s="65"/>
      <c r="F541" s="65"/>
      <c r="H541" s="65"/>
      <c r="J541" s="65"/>
      <c r="K541" s="65"/>
      <c r="L541" s="65"/>
    </row>
    <row r="542" ht="15.75" customHeight="1">
      <c r="C542" s="65"/>
      <c r="D542" s="65"/>
      <c r="E542" s="65"/>
      <c r="F542" s="65"/>
      <c r="H542" s="65"/>
      <c r="J542" s="65"/>
      <c r="K542" s="65"/>
      <c r="L542" s="65"/>
    </row>
    <row r="543" ht="15.75" customHeight="1">
      <c r="C543" s="65"/>
      <c r="D543" s="65"/>
      <c r="E543" s="65"/>
      <c r="F543" s="65"/>
      <c r="H543" s="65"/>
      <c r="J543" s="65"/>
      <c r="K543" s="65"/>
      <c r="L543" s="65"/>
    </row>
    <row r="544" ht="15.75" customHeight="1">
      <c r="C544" s="65"/>
      <c r="D544" s="65"/>
      <c r="E544" s="65"/>
      <c r="F544" s="65"/>
      <c r="H544" s="65"/>
      <c r="J544" s="65"/>
      <c r="K544" s="65"/>
      <c r="L544" s="65"/>
    </row>
    <row r="545" ht="15.75" customHeight="1">
      <c r="C545" s="65"/>
      <c r="D545" s="65"/>
      <c r="E545" s="65"/>
      <c r="F545" s="65"/>
      <c r="H545" s="65"/>
      <c r="J545" s="65"/>
      <c r="K545" s="65"/>
      <c r="L545" s="65"/>
    </row>
    <row r="546" ht="15.75" customHeight="1">
      <c r="C546" s="65"/>
      <c r="D546" s="65"/>
      <c r="E546" s="65"/>
      <c r="F546" s="65"/>
      <c r="H546" s="65"/>
      <c r="J546" s="65"/>
      <c r="K546" s="65"/>
      <c r="L546" s="65"/>
    </row>
    <row r="547" ht="15.75" customHeight="1">
      <c r="C547" s="65"/>
      <c r="D547" s="65"/>
      <c r="E547" s="65"/>
      <c r="F547" s="65"/>
      <c r="H547" s="65"/>
      <c r="J547" s="65"/>
      <c r="K547" s="65"/>
      <c r="L547" s="65"/>
    </row>
    <row r="548" ht="15.75" customHeight="1">
      <c r="C548" s="65"/>
      <c r="D548" s="65"/>
      <c r="E548" s="65"/>
      <c r="F548" s="65"/>
      <c r="H548" s="65"/>
      <c r="J548" s="65"/>
      <c r="K548" s="65"/>
      <c r="L548" s="65"/>
    </row>
    <row r="549" ht="15.75" customHeight="1">
      <c r="C549" s="65"/>
      <c r="D549" s="65"/>
      <c r="E549" s="65"/>
      <c r="F549" s="65"/>
      <c r="H549" s="65"/>
      <c r="J549" s="65"/>
      <c r="K549" s="65"/>
      <c r="L549" s="65"/>
    </row>
    <row r="550" ht="15.75" customHeight="1">
      <c r="C550" s="65"/>
      <c r="D550" s="65"/>
      <c r="E550" s="65"/>
      <c r="F550" s="65"/>
      <c r="H550" s="65"/>
      <c r="J550" s="65"/>
      <c r="K550" s="65"/>
      <c r="L550" s="65"/>
    </row>
    <row r="551" ht="15.75" customHeight="1">
      <c r="C551" s="65"/>
      <c r="D551" s="65"/>
      <c r="E551" s="65"/>
      <c r="F551" s="65"/>
      <c r="H551" s="65"/>
      <c r="J551" s="65"/>
      <c r="K551" s="65"/>
      <c r="L551" s="65"/>
    </row>
    <row r="552" ht="15.75" customHeight="1">
      <c r="C552" s="65"/>
      <c r="D552" s="65"/>
      <c r="E552" s="65"/>
      <c r="F552" s="65"/>
      <c r="H552" s="65"/>
      <c r="J552" s="65"/>
      <c r="K552" s="65"/>
      <c r="L552" s="65"/>
    </row>
    <row r="553" ht="15.75" customHeight="1">
      <c r="C553" s="65"/>
      <c r="D553" s="65"/>
      <c r="E553" s="65"/>
      <c r="F553" s="65"/>
      <c r="H553" s="65"/>
      <c r="J553" s="65"/>
      <c r="K553" s="65"/>
      <c r="L553" s="65"/>
    </row>
    <row r="554" ht="15.75" customHeight="1">
      <c r="C554" s="65"/>
      <c r="D554" s="65"/>
      <c r="E554" s="65"/>
      <c r="F554" s="65"/>
      <c r="H554" s="65"/>
      <c r="J554" s="65"/>
      <c r="K554" s="65"/>
      <c r="L554" s="65"/>
    </row>
    <row r="555" ht="15.75" customHeight="1">
      <c r="C555" s="65"/>
      <c r="D555" s="65"/>
      <c r="E555" s="65"/>
      <c r="F555" s="65"/>
      <c r="H555" s="65"/>
      <c r="J555" s="65"/>
      <c r="K555" s="65"/>
      <c r="L555" s="65"/>
    </row>
    <row r="556" ht="15.75" customHeight="1">
      <c r="C556" s="65"/>
      <c r="D556" s="65"/>
      <c r="E556" s="65"/>
      <c r="F556" s="65"/>
      <c r="H556" s="65"/>
      <c r="J556" s="65"/>
      <c r="K556" s="65"/>
      <c r="L556" s="65"/>
    </row>
    <row r="557" ht="15.75" customHeight="1">
      <c r="C557" s="65"/>
      <c r="D557" s="65"/>
      <c r="E557" s="65"/>
      <c r="F557" s="65"/>
      <c r="H557" s="65"/>
      <c r="J557" s="65"/>
      <c r="K557" s="65"/>
      <c r="L557" s="65"/>
    </row>
    <row r="558" ht="15.75" customHeight="1">
      <c r="C558" s="65"/>
      <c r="D558" s="65"/>
      <c r="E558" s="65"/>
      <c r="F558" s="65"/>
      <c r="H558" s="65"/>
      <c r="J558" s="65"/>
      <c r="K558" s="65"/>
      <c r="L558" s="65"/>
    </row>
    <row r="559" ht="15.75" customHeight="1">
      <c r="C559" s="65"/>
      <c r="D559" s="65"/>
      <c r="E559" s="65"/>
      <c r="F559" s="65"/>
      <c r="H559" s="65"/>
      <c r="J559" s="65"/>
      <c r="K559" s="65"/>
      <c r="L559" s="65"/>
    </row>
    <row r="560" ht="15.75" customHeight="1">
      <c r="C560" s="65"/>
      <c r="D560" s="65"/>
      <c r="E560" s="65"/>
      <c r="F560" s="65"/>
      <c r="H560" s="65"/>
      <c r="J560" s="65"/>
      <c r="K560" s="65"/>
      <c r="L560" s="65"/>
    </row>
    <row r="561" ht="15.75" customHeight="1">
      <c r="C561" s="65"/>
      <c r="D561" s="65"/>
      <c r="E561" s="65"/>
      <c r="F561" s="65"/>
      <c r="H561" s="65"/>
      <c r="J561" s="65"/>
      <c r="K561" s="65"/>
      <c r="L561" s="65"/>
    </row>
    <row r="562" ht="15.75" customHeight="1">
      <c r="C562" s="65"/>
      <c r="D562" s="65"/>
      <c r="E562" s="65"/>
      <c r="F562" s="65"/>
      <c r="H562" s="65"/>
      <c r="J562" s="65"/>
      <c r="K562" s="65"/>
      <c r="L562" s="65"/>
    </row>
    <row r="563" ht="15.75" customHeight="1">
      <c r="C563" s="65"/>
      <c r="D563" s="65"/>
      <c r="E563" s="65"/>
      <c r="F563" s="65"/>
      <c r="H563" s="65"/>
      <c r="J563" s="65"/>
      <c r="K563" s="65"/>
      <c r="L563" s="65"/>
    </row>
    <row r="564" ht="15.75" customHeight="1">
      <c r="C564" s="65"/>
      <c r="D564" s="65"/>
      <c r="E564" s="65"/>
      <c r="F564" s="65"/>
      <c r="H564" s="65"/>
      <c r="J564" s="65"/>
      <c r="K564" s="65"/>
      <c r="L564" s="65"/>
    </row>
    <row r="565" ht="15.75" customHeight="1">
      <c r="C565" s="65"/>
      <c r="D565" s="65"/>
      <c r="E565" s="65"/>
      <c r="F565" s="65"/>
      <c r="H565" s="65"/>
      <c r="J565" s="65"/>
      <c r="K565" s="65"/>
      <c r="L565" s="65"/>
    </row>
    <row r="566" ht="15.75" customHeight="1">
      <c r="C566" s="65"/>
      <c r="D566" s="65"/>
      <c r="E566" s="65"/>
      <c r="F566" s="65"/>
      <c r="H566" s="65"/>
      <c r="J566" s="65"/>
      <c r="K566" s="65"/>
      <c r="L566" s="65"/>
    </row>
    <row r="567" ht="15.75" customHeight="1">
      <c r="C567" s="65"/>
      <c r="D567" s="65"/>
      <c r="E567" s="65"/>
      <c r="F567" s="65"/>
      <c r="H567" s="65"/>
      <c r="J567" s="65"/>
      <c r="K567" s="65"/>
      <c r="L567" s="65"/>
    </row>
    <row r="568" ht="15.75" customHeight="1">
      <c r="C568" s="65"/>
      <c r="D568" s="65"/>
      <c r="E568" s="65"/>
      <c r="F568" s="65"/>
      <c r="H568" s="65"/>
      <c r="J568" s="65"/>
      <c r="K568" s="65"/>
      <c r="L568" s="65"/>
    </row>
    <row r="569" ht="15.75" customHeight="1">
      <c r="C569" s="65"/>
      <c r="D569" s="65"/>
      <c r="E569" s="65"/>
      <c r="F569" s="65"/>
      <c r="H569" s="65"/>
      <c r="J569" s="65"/>
      <c r="K569" s="65"/>
      <c r="L569" s="65"/>
    </row>
    <row r="570" ht="15.75" customHeight="1">
      <c r="C570" s="65"/>
      <c r="D570" s="65"/>
      <c r="E570" s="65"/>
      <c r="F570" s="65"/>
      <c r="H570" s="65"/>
      <c r="J570" s="65"/>
      <c r="K570" s="65"/>
      <c r="L570" s="65"/>
    </row>
    <row r="571" ht="15.75" customHeight="1">
      <c r="C571" s="65"/>
      <c r="D571" s="65"/>
      <c r="E571" s="65"/>
      <c r="F571" s="65"/>
      <c r="H571" s="65"/>
      <c r="J571" s="65"/>
      <c r="K571" s="65"/>
      <c r="L571" s="65"/>
    </row>
    <row r="572" ht="15.75" customHeight="1">
      <c r="C572" s="65"/>
      <c r="D572" s="65"/>
      <c r="E572" s="65"/>
      <c r="F572" s="65"/>
      <c r="H572" s="65"/>
      <c r="J572" s="65"/>
      <c r="K572" s="65"/>
      <c r="L572" s="65"/>
    </row>
    <row r="573" ht="15.75" customHeight="1">
      <c r="C573" s="65"/>
      <c r="D573" s="65"/>
      <c r="E573" s="65"/>
      <c r="F573" s="65"/>
      <c r="H573" s="65"/>
      <c r="J573" s="65"/>
      <c r="K573" s="65"/>
      <c r="L573" s="65"/>
    </row>
    <row r="574" ht="15.75" customHeight="1">
      <c r="C574" s="65"/>
      <c r="D574" s="65"/>
      <c r="E574" s="65"/>
      <c r="F574" s="65"/>
      <c r="H574" s="65"/>
      <c r="J574" s="65"/>
      <c r="K574" s="65"/>
      <c r="L574" s="65"/>
    </row>
    <row r="575" ht="15.75" customHeight="1">
      <c r="C575" s="65"/>
      <c r="D575" s="65"/>
      <c r="E575" s="65"/>
      <c r="F575" s="65"/>
      <c r="H575" s="65"/>
      <c r="J575" s="65"/>
      <c r="K575" s="65"/>
      <c r="L575" s="65"/>
    </row>
    <row r="576" ht="15.75" customHeight="1">
      <c r="C576" s="65"/>
      <c r="D576" s="65"/>
      <c r="E576" s="65"/>
      <c r="F576" s="65"/>
      <c r="H576" s="65"/>
      <c r="J576" s="65"/>
      <c r="K576" s="65"/>
      <c r="L576" s="65"/>
    </row>
    <row r="577" ht="15.75" customHeight="1">
      <c r="C577" s="65"/>
      <c r="D577" s="65"/>
      <c r="E577" s="65"/>
      <c r="F577" s="65"/>
      <c r="H577" s="65"/>
      <c r="J577" s="65"/>
      <c r="K577" s="65"/>
      <c r="L577" s="65"/>
    </row>
    <row r="578" ht="15.75" customHeight="1">
      <c r="C578" s="65"/>
      <c r="D578" s="65"/>
      <c r="E578" s="65"/>
      <c r="F578" s="65"/>
      <c r="H578" s="65"/>
      <c r="J578" s="65"/>
      <c r="K578" s="65"/>
      <c r="L578" s="65"/>
    </row>
    <row r="579" ht="15.75" customHeight="1">
      <c r="C579" s="65"/>
      <c r="D579" s="65"/>
      <c r="E579" s="65"/>
      <c r="F579" s="65"/>
      <c r="H579" s="65"/>
      <c r="J579" s="65"/>
      <c r="K579" s="65"/>
      <c r="L579" s="65"/>
    </row>
    <row r="580" ht="15.75" customHeight="1">
      <c r="C580" s="65"/>
      <c r="D580" s="65"/>
      <c r="E580" s="65"/>
      <c r="F580" s="65"/>
      <c r="H580" s="65"/>
      <c r="J580" s="65"/>
      <c r="K580" s="65"/>
      <c r="L580" s="65"/>
    </row>
    <row r="581" ht="15.75" customHeight="1">
      <c r="C581" s="65"/>
      <c r="D581" s="65"/>
      <c r="E581" s="65"/>
      <c r="F581" s="65"/>
      <c r="H581" s="65"/>
      <c r="J581" s="65"/>
      <c r="K581" s="65"/>
      <c r="L581" s="65"/>
    </row>
    <row r="582" ht="15.75" customHeight="1">
      <c r="C582" s="65"/>
      <c r="D582" s="65"/>
      <c r="E582" s="65"/>
      <c r="F582" s="65"/>
      <c r="H582" s="65"/>
      <c r="J582" s="65"/>
      <c r="K582" s="65"/>
      <c r="L582" s="65"/>
    </row>
    <row r="583" ht="15.75" customHeight="1">
      <c r="C583" s="65"/>
      <c r="D583" s="65"/>
      <c r="E583" s="65"/>
      <c r="F583" s="65"/>
      <c r="H583" s="65"/>
      <c r="J583" s="65"/>
      <c r="K583" s="65"/>
      <c r="L583" s="65"/>
    </row>
    <row r="584" ht="15.75" customHeight="1">
      <c r="C584" s="65"/>
      <c r="D584" s="65"/>
      <c r="E584" s="65"/>
      <c r="F584" s="65"/>
      <c r="H584" s="65"/>
      <c r="J584" s="65"/>
      <c r="K584" s="65"/>
      <c r="L584" s="65"/>
    </row>
    <row r="585" ht="15.75" customHeight="1">
      <c r="C585" s="65"/>
      <c r="D585" s="65"/>
      <c r="E585" s="65"/>
      <c r="F585" s="65"/>
      <c r="H585" s="65"/>
      <c r="J585" s="65"/>
      <c r="K585" s="65"/>
      <c r="L585" s="65"/>
    </row>
    <row r="586" ht="15.75" customHeight="1">
      <c r="C586" s="65"/>
      <c r="D586" s="65"/>
      <c r="E586" s="65"/>
      <c r="F586" s="65"/>
      <c r="H586" s="65"/>
      <c r="J586" s="65"/>
      <c r="K586" s="65"/>
      <c r="L586" s="65"/>
    </row>
    <row r="587" ht="15.75" customHeight="1">
      <c r="C587" s="65"/>
      <c r="D587" s="65"/>
      <c r="E587" s="65"/>
      <c r="F587" s="65"/>
      <c r="H587" s="65"/>
      <c r="J587" s="65"/>
      <c r="K587" s="65"/>
      <c r="L587" s="65"/>
    </row>
    <row r="588" ht="15.75" customHeight="1">
      <c r="C588" s="65"/>
      <c r="D588" s="65"/>
      <c r="E588" s="65"/>
      <c r="F588" s="65"/>
      <c r="H588" s="65"/>
      <c r="J588" s="65"/>
      <c r="K588" s="65"/>
      <c r="L588" s="65"/>
    </row>
    <row r="589" ht="15.75" customHeight="1">
      <c r="C589" s="65"/>
      <c r="D589" s="65"/>
      <c r="E589" s="65"/>
      <c r="F589" s="65"/>
      <c r="H589" s="65"/>
      <c r="J589" s="65"/>
      <c r="K589" s="65"/>
      <c r="L589" s="65"/>
    </row>
    <row r="590" ht="15.75" customHeight="1">
      <c r="C590" s="65"/>
      <c r="D590" s="65"/>
      <c r="E590" s="65"/>
      <c r="F590" s="65"/>
      <c r="H590" s="65"/>
      <c r="J590" s="65"/>
      <c r="K590" s="65"/>
      <c r="L590" s="65"/>
    </row>
    <row r="591" ht="15.75" customHeight="1">
      <c r="C591" s="65"/>
      <c r="D591" s="65"/>
      <c r="E591" s="65"/>
      <c r="F591" s="65"/>
      <c r="H591" s="65"/>
      <c r="J591" s="65"/>
      <c r="K591" s="65"/>
      <c r="L591" s="65"/>
    </row>
    <row r="592" ht="15.75" customHeight="1">
      <c r="C592" s="65"/>
      <c r="D592" s="65"/>
      <c r="E592" s="65"/>
      <c r="F592" s="65"/>
      <c r="H592" s="65"/>
      <c r="J592" s="65"/>
      <c r="K592" s="65"/>
      <c r="L592" s="65"/>
    </row>
    <row r="593" ht="15.75" customHeight="1">
      <c r="C593" s="65"/>
      <c r="D593" s="65"/>
      <c r="E593" s="65"/>
      <c r="F593" s="65"/>
      <c r="H593" s="65"/>
      <c r="J593" s="65"/>
      <c r="K593" s="65"/>
      <c r="L593" s="65"/>
    </row>
    <row r="594" ht="15.75" customHeight="1">
      <c r="C594" s="65"/>
      <c r="D594" s="65"/>
      <c r="E594" s="65"/>
      <c r="F594" s="65"/>
      <c r="H594" s="65"/>
      <c r="J594" s="65"/>
      <c r="K594" s="65"/>
      <c r="L594" s="65"/>
    </row>
    <row r="595" ht="15.75" customHeight="1">
      <c r="C595" s="65"/>
      <c r="D595" s="65"/>
      <c r="E595" s="65"/>
      <c r="F595" s="65"/>
      <c r="H595" s="65"/>
      <c r="J595" s="65"/>
      <c r="K595" s="65"/>
      <c r="L595" s="65"/>
    </row>
    <row r="596" ht="15.75" customHeight="1">
      <c r="C596" s="65"/>
      <c r="D596" s="65"/>
      <c r="E596" s="65"/>
      <c r="F596" s="65"/>
      <c r="H596" s="65"/>
      <c r="J596" s="65"/>
      <c r="K596" s="65"/>
      <c r="L596" s="65"/>
    </row>
    <row r="597" ht="15.75" customHeight="1">
      <c r="C597" s="65"/>
      <c r="D597" s="65"/>
      <c r="E597" s="65"/>
      <c r="F597" s="65"/>
      <c r="H597" s="65"/>
      <c r="J597" s="65"/>
      <c r="K597" s="65"/>
      <c r="L597" s="65"/>
    </row>
    <row r="598" ht="15.75" customHeight="1">
      <c r="C598" s="65"/>
      <c r="D598" s="65"/>
      <c r="E598" s="65"/>
      <c r="F598" s="65"/>
      <c r="H598" s="65"/>
      <c r="J598" s="65"/>
      <c r="K598" s="65"/>
      <c r="L598" s="65"/>
    </row>
    <row r="599" ht="15.75" customHeight="1">
      <c r="C599" s="65"/>
      <c r="D599" s="65"/>
      <c r="E599" s="65"/>
      <c r="F599" s="65"/>
      <c r="H599" s="65"/>
      <c r="J599" s="65"/>
      <c r="K599" s="65"/>
      <c r="L599" s="65"/>
    </row>
    <row r="600" ht="15.75" customHeight="1">
      <c r="C600" s="65"/>
      <c r="D600" s="65"/>
      <c r="E600" s="65"/>
      <c r="F600" s="65"/>
      <c r="H600" s="65"/>
      <c r="J600" s="65"/>
      <c r="K600" s="65"/>
      <c r="L600" s="65"/>
    </row>
    <row r="601" ht="15.75" customHeight="1">
      <c r="C601" s="65"/>
      <c r="D601" s="65"/>
      <c r="E601" s="65"/>
      <c r="F601" s="65"/>
      <c r="H601" s="65"/>
      <c r="J601" s="65"/>
      <c r="K601" s="65"/>
      <c r="L601" s="65"/>
    </row>
    <row r="602" ht="15.75" customHeight="1">
      <c r="C602" s="65"/>
      <c r="D602" s="65"/>
      <c r="E602" s="65"/>
      <c r="F602" s="65"/>
      <c r="H602" s="65"/>
      <c r="J602" s="65"/>
      <c r="K602" s="65"/>
      <c r="L602" s="65"/>
    </row>
    <row r="603" ht="15.75" customHeight="1">
      <c r="C603" s="65"/>
      <c r="D603" s="65"/>
      <c r="E603" s="65"/>
      <c r="F603" s="65"/>
      <c r="H603" s="65"/>
      <c r="J603" s="65"/>
      <c r="K603" s="65"/>
      <c r="L603" s="65"/>
    </row>
    <row r="604" ht="15.75" customHeight="1">
      <c r="C604" s="65"/>
      <c r="D604" s="65"/>
      <c r="E604" s="65"/>
      <c r="F604" s="65"/>
      <c r="H604" s="65"/>
      <c r="J604" s="65"/>
      <c r="K604" s="65"/>
      <c r="L604" s="65"/>
    </row>
    <row r="605" ht="15.75" customHeight="1">
      <c r="C605" s="65"/>
      <c r="D605" s="65"/>
      <c r="E605" s="65"/>
      <c r="F605" s="65"/>
      <c r="H605" s="65"/>
      <c r="J605" s="65"/>
      <c r="K605" s="65"/>
      <c r="L605" s="65"/>
    </row>
    <row r="606" ht="15.75" customHeight="1">
      <c r="C606" s="65"/>
      <c r="D606" s="65"/>
      <c r="E606" s="65"/>
      <c r="F606" s="65"/>
      <c r="H606" s="65"/>
      <c r="J606" s="65"/>
      <c r="K606" s="65"/>
      <c r="L606" s="65"/>
    </row>
    <row r="607" ht="15.75" customHeight="1">
      <c r="C607" s="65"/>
      <c r="D607" s="65"/>
      <c r="E607" s="65"/>
      <c r="F607" s="65"/>
      <c r="H607" s="65"/>
      <c r="J607" s="65"/>
      <c r="K607" s="65"/>
      <c r="L607" s="65"/>
    </row>
    <row r="608" ht="15.75" customHeight="1">
      <c r="C608" s="65"/>
      <c r="D608" s="65"/>
      <c r="E608" s="65"/>
      <c r="F608" s="65"/>
      <c r="H608" s="65"/>
      <c r="J608" s="65"/>
      <c r="K608" s="65"/>
      <c r="L608" s="65"/>
    </row>
    <row r="609" ht="15.75" customHeight="1">
      <c r="C609" s="65"/>
      <c r="D609" s="65"/>
      <c r="E609" s="65"/>
      <c r="F609" s="65"/>
      <c r="H609" s="65"/>
      <c r="J609" s="65"/>
      <c r="K609" s="65"/>
      <c r="L609" s="65"/>
    </row>
    <row r="610" ht="15.75" customHeight="1">
      <c r="C610" s="65"/>
      <c r="D610" s="65"/>
      <c r="E610" s="65"/>
      <c r="F610" s="65"/>
      <c r="H610" s="65"/>
      <c r="J610" s="65"/>
      <c r="K610" s="65"/>
      <c r="L610" s="65"/>
    </row>
    <row r="611" ht="15.75" customHeight="1">
      <c r="C611" s="65"/>
      <c r="D611" s="65"/>
      <c r="E611" s="65"/>
      <c r="F611" s="65"/>
      <c r="H611" s="65"/>
      <c r="J611" s="65"/>
      <c r="K611" s="65"/>
      <c r="L611" s="65"/>
    </row>
    <row r="612" ht="15.75" customHeight="1">
      <c r="C612" s="65"/>
      <c r="D612" s="65"/>
      <c r="E612" s="65"/>
      <c r="F612" s="65"/>
      <c r="H612" s="65"/>
      <c r="J612" s="65"/>
      <c r="K612" s="65"/>
      <c r="L612" s="65"/>
    </row>
    <row r="613" ht="15.75" customHeight="1">
      <c r="C613" s="65"/>
      <c r="D613" s="65"/>
      <c r="E613" s="65"/>
      <c r="F613" s="65"/>
      <c r="H613" s="65"/>
      <c r="J613" s="65"/>
      <c r="K613" s="65"/>
      <c r="L613" s="65"/>
    </row>
    <row r="614" ht="15.75" customHeight="1">
      <c r="C614" s="65"/>
      <c r="D614" s="65"/>
      <c r="E614" s="65"/>
      <c r="F614" s="65"/>
      <c r="H614" s="65"/>
      <c r="J614" s="65"/>
      <c r="K614" s="65"/>
      <c r="L614" s="65"/>
    </row>
    <row r="615" ht="15.75" customHeight="1">
      <c r="C615" s="65"/>
      <c r="D615" s="65"/>
      <c r="E615" s="65"/>
      <c r="F615" s="65"/>
      <c r="H615" s="65"/>
      <c r="J615" s="65"/>
      <c r="K615" s="65"/>
      <c r="L615" s="65"/>
    </row>
    <row r="616" ht="15.75" customHeight="1">
      <c r="C616" s="65"/>
      <c r="D616" s="65"/>
      <c r="E616" s="65"/>
      <c r="F616" s="65"/>
      <c r="H616" s="65"/>
      <c r="J616" s="65"/>
      <c r="K616" s="65"/>
      <c r="L616" s="65"/>
    </row>
    <row r="617" ht="15.75" customHeight="1">
      <c r="C617" s="65"/>
      <c r="D617" s="65"/>
      <c r="E617" s="65"/>
      <c r="F617" s="65"/>
      <c r="H617" s="65"/>
      <c r="J617" s="65"/>
      <c r="K617" s="65"/>
      <c r="L617" s="65"/>
    </row>
    <row r="618" ht="15.75" customHeight="1">
      <c r="C618" s="65"/>
      <c r="D618" s="65"/>
      <c r="E618" s="65"/>
      <c r="F618" s="65"/>
      <c r="H618" s="65"/>
      <c r="J618" s="65"/>
      <c r="K618" s="65"/>
      <c r="L618" s="65"/>
    </row>
    <row r="619" ht="15.75" customHeight="1">
      <c r="C619" s="65"/>
      <c r="D619" s="65"/>
      <c r="E619" s="65"/>
      <c r="F619" s="65"/>
      <c r="H619" s="65"/>
      <c r="J619" s="65"/>
      <c r="K619" s="65"/>
      <c r="L619" s="65"/>
    </row>
    <row r="620" ht="15.75" customHeight="1">
      <c r="C620" s="65"/>
      <c r="D620" s="65"/>
      <c r="E620" s="65"/>
      <c r="F620" s="65"/>
      <c r="H620" s="65"/>
      <c r="J620" s="65"/>
      <c r="K620" s="65"/>
      <c r="L620" s="65"/>
    </row>
    <row r="621" ht="15.75" customHeight="1">
      <c r="C621" s="65"/>
      <c r="D621" s="65"/>
      <c r="E621" s="65"/>
      <c r="F621" s="65"/>
      <c r="H621" s="65"/>
      <c r="J621" s="65"/>
      <c r="K621" s="65"/>
      <c r="L621" s="65"/>
    </row>
    <row r="622" ht="15.75" customHeight="1">
      <c r="C622" s="65"/>
      <c r="D622" s="65"/>
      <c r="E622" s="65"/>
      <c r="F622" s="65"/>
      <c r="H622" s="65"/>
      <c r="J622" s="65"/>
      <c r="K622" s="65"/>
      <c r="L622" s="65"/>
    </row>
    <row r="623" ht="15.75" customHeight="1">
      <c r="C623" s="65"/>
      <c r="D623" s="65"/>
      <c r="E623" s="65"/>
      <c r="F623" s="65"/>
      <c r="H623" s="65"/>
      <c r="J623" s="65"/>
      <c r="K623" s="65"/>
      <c r="L623" s="65"/>
    </row>
    <row r="624" ht="15.75" customHeight="1">
      <c r="C624" s="65"/>
      <c r="D624" s="65"/>
      <c r="E624" s="65"/>
      <c r="F624" s="65"/>
      <c r="H624" s="65"/>
      <c r="J624" s="65"/>
      <c r="K624" s="65"/>
      <c r="L624" s="65"/>
    </row>
    <row r="625" ht="15.75" customHeight="1">
      <c r="C625" s="65"/>
      <c r="D625" s="65"/>
      <c r="E625" s="65"/>
      <c r="F625" s="65"/>
      <c r="H625" s="65"/>
      <c r="J625" s="65"/>
      <c r="K625" s="65"/>
      <c r="L625" s="65"/>
    </row>
    <row r="626" ht="15.75" customHeight="1">
      <c r="C626" s="65"/>
      <c r="D626" s="65"/>
      <c r="E626" s="65"/>
      <c r="F626" s="65"/>
      <c r="H626" s="65"/>
      <c r="J626" s="65"/>
      <c r="K626" s="65"/>
      <c r="L626" s="65"/>
    </row>
    <row r="627" ht="15.75" customHeight="1">
      <c r="C627" s="65"/>
      <c r="D627" s="65"/>
      <c r="E627" s="65"/>
      <c r="F627" s="65"/>
      <c r="H627" s="65"/>
      <c r="J627" s="65"/>
      <c r="K627" s="65"/>
      <c r="L627" s="65"/>
    </row>
    <row r="628" ht="15.75" customHeight="1">
      <c r="C628" s="65"/>
      <c r="D628" s="65"/>
      <c r="E628" s="65"/>
      <c r="F628" s="65"/>
      <c r="H628" s="65"/>
      <c r="J628" s="65"/>
      <c r="K628" s="65"/>
      <c r="L628" s="65"/>
    </row>
    <row r="629" ht="15.75" customHeight="1">
      <c r="C629" s="65"/>
      <c r="D629" s="65"/>
      <c r="E629" s="65"/>
      <c r="F629" s="65"/>
      <c r="H629" s="65"/>
      <c r="J629" s="65"/>
      <c r="K629" s="65"/>
      <c r="L629" s="65"/>
    </row>
    <row r="630" ht="15.75" customHeight="1">
      <c r="C630" s="65"/>
      <c r="D630" s="65"/>
      <c r="E630" s="65"/>
      <c r="F630" s="65"/>
      <c r="H630" s="65"/>
      <c r="J630" s="65"/>
      <c r="K630" s="65"/>
      <c r="L630" s="65"/>
    </row>
    <row r="631" ht="15.75" customHeight="1">
      <c r="C631" s="65"/>
      <c r="D631" s="65"/>
      <c r="E631" s="65"/>
      <c r="F631" s="65"/>
      <c r="H631" s="65"/>
      <c r="J631" s="65"/>
      <c r="K631" s="65"/>
      <c r="L631" s="65"/>
    </row>
    <row r="632" ht="15.75" customHeight="1">
      <c r="C632" s="65"/>
      <c r="D632" s="65"/>
      <c r="E632" s="65"/>
      <c r="F632" s="65"/>
      <c r="H632" s="65"/>
      <c r="J632" s="65"/>
      <c r="K632" s="65"/>
      <c r="L632" s="65"/>
    </row>
    <row r="633" ht="15.75" customHeight="1">
      <c r="C633" s="65"/>
      <c r="D633" s="65"/>
      <c r="E633" s="65"/>
      <c r="F633" s="65"/>
      <c r="H633" s="65"/>
      <c r="J633" s="65"/>
      <c r="K633" s="65"/>
      <c r="L633" s="65"/>
    </row>
    <row r="634" ht="15.75" customHeight="1">
      <c r="C634" s="65"/>
      <c r="D634" s="65"/>
      <c r="E634" s="65"/>
      <c r="F634" s="65"/>
      <c r="H634" s="65"/>
      <c r="J634" s="65"/>
      <c r="K634" s="65"/>
      <c r="L634" s="65"/>
    </row>
    <row r="635" ht="15.75" customHeight="1">
      <c r="C635" s="65"/>
      <c r="D635" s="65"/>
      <c r="E635" s="65"/>
      <c r="F635" s="65"/>
      <c r="H635" s="65"/>
      <c r="J635" s="65"/>
      <c r="K635" s="65"/>
      <c r="L635" s="65"/>
    </row>
    <row r="636" ht="15.75" customHeight="1">
      <c r="C636" s="65"/>
      <c r="D636" s="65"/>
      <c r="E636" s="65"/>
      <c r="F636" s="65"/>
      <c r="H636" s="65"/>
      <c r="J636" s="65"/>
      <c r="K636" s="65"/>
      <c r="L636" s="65"/>
    </row>
    <row r="637" ht="15.75" customHeight="1">
      <c r="C637" s="65"/>
      <c r="D637" s="65"/>
      <c r="E637" s="65"/>
      <c r="F637" s="65"/>
      <c r="H637" s="65"/>
      <c r="J637" s="65"/>
      <c r="K637" s="65"/>
      <c r="L637" s="65"/>
    </row>
    <row r="638" ht="15.75" customHeight="1">
      <c r="C638" s="65"/>
      <c r="D638" s="65"/>
      <c r="E638" s="65"/>
      <c r="F638" s="65"/>
      <c r="H638" s="65"/>
      <c r="J638" s="65"/>
      <c r="K638" s="65"/>
      <c r="L638" s="65"/>
    </row>
    <row r="639" ht="15.75" customHeight="1">
      <c r="C639" s="65"/>
      <c r="D639" s="65"/>
      <c r="E639" s="65"/>
      <c r="F639" s="65"/>
      <c r="H639" s="65"/>
      <c r="J639" s="65"/>
      <c r="K639" s="65"/>
      <c r="L639" s="65"/>
    </row>
    <row r="640" ht="15.75" customHeight="1">
      <c r="C640" s="65"/>
      <c r="D640" s="65"/>
      <c r="E640" s="65"/>
      <c r="F640" s="65"/>
      <c r="H640" s="65"/>
      <c r="J640" s="65"/>
      <c r="K640" s="65"/>
      <c r="L640" s="65"/>
    </row>
    <row r="641" ht="15.75" customHeight="1">
      <c r="C641" s="65"/>
      <c r="D641" s="65"/>
      <c r="E641" s="65"/>
      <c r="F641" s="65"/>
      <c r="H641" s="65"/>
      <c r="J641" s="65"/>
      <c r="K641" s="65"/>
      <c r="L641" s="65"/>
    </row>
    <row r="642" ht="15.75" customHeight="1">
      <c r="C642" s="65"/>
      <c r="D642" s="65"/>
      <c r="E642" s="65"/>
      <c r="F642" s="65"/>
      <c r="H642" s="65"/>
      <c r="J642" s="65"/>
      <c r="K642" s="65"/>
      <c r="L642" s="65"/>
    </row>
    <row r="643" ht="15.75" customHeight="1">
      <c r="C643" s="65"/>
      <c r="D643" s="65"/>
      <c r="E643" s="65"/>
      <c r="F643" s="65"/>
      <c r="H643" s="65"/>
      <c r="J643" s="65"/>
      <c r="K643" s="65"/>
      <c r="L643" s="65"/>
    </row>
    <row r="644" ht="15.75" customHeight="1">
      <c r="C644" s="65"/>
      <c r="D644" s="65"/>
      <c r="E644" s="65"/>
      <c r="F644" s="65"/>
      <c r="H644" s="65"/>
      <c r="J644" s="65"/>
      <c r="K644" s="65"/>
      <c r="L644" s="65"/>
    </row>
    <row r="645" ht="15.75" customHeight="1">
      <c r="C645" s="65"/>
      <c r="D645" s="65"/>
      <c r="E645" s="65"/>
      <c r="F645" s="65"/>
      <c r="H645" s="65"/>
      <c r="J645" s="65"/>
      <c r="K645" s="65"/>
      <c r="L645" s="65"/>
    </row>
    <row r="646" ht="15.75" customHeight="1">
      <c r="C646" s="65"/>
      <c r="D646" s="65"/>
      <c r="E646" s="65"/>
      <c r="F646" s="65"/>
      <c r="H646" s="65"/>
      <c r="J646" s="65"/>
      <c r="K646" s="65"/>
      <c r="L646" s="65"/>
    </row>
    <row r="647" ht="15.75" customHeight="1">
      <c r="C647" s="65"/>
      <c r="D647" s="65"/>
      <c r="E647" s="65"/>
      <c r="F647" s="65"/>
      <c r="H647" s="65"/>
      <c r="J647" s="65"/>
      <c r="K647" s="65"/>
      <c r="L647" s="65"/>
    </row>
    <row r="648" ht="15.75" customHeight="1">
      <c r="C648" s="65"/>
      <c r="D648" s="65"/>
      <c r="E648" s="65"/>
      <c r="F648" s="65"/>
      <c r="H648" s="65"/>
      <c r="J648" s="65"/>
      <c r="K648" s="65"/>
      <c r="L648" s="65"/>
    </row>
    <row r="649" ht="15.75" customHeight="1">
      <c r="C649" s="65"/>
      <c r="D649" s="65"/>
      <c r="E649" s="65"/>
      <c r="F649" s="65"/>
      <c r="H649" s="65"/>
      <c r="J649" s="65"/>
      <c r="K649" s="65"/>
      <c r="L649" s="65"/>
    </row>
    <row r="650" ht="15.75" customHeight="1">
      <c r="C650" s="65"/>
      <c r="D650" s="65"/>
      <c r="E650" s="65"/>
      <c r="F650" s="65"/>
      <c r="H650" s="65"/>
      <c r="J650" s="65"/>
      <c r="K650" s="65"/>
      <c r="L650" s="65"/>
    </row>
    <row r="651" ht="15.75" customHeight="1">
      <c r="C651" s="65"/>
      <c r="D651" s="65"/>
      <c r="E651" s="65"/>
      <c r="F651" s="65"/>
      <c r="H651" s="65"/>
      <c r="J651" s="65"/>
      <c r="K651" s="65"/>
      <c r="L651" s="65"/>
    </row>
    <row r="652" ht="15.75" customHeight="1">
      <c r="C652" s="65"/>
      <c r="D652" s="65"/>
      <c r="E652" s="65"/>
      <c r="F652" s="65"/>
      <c r="H652" s="65"/>
      <c r="J652" s="65"/>
      <c r="K652" s="65"/>
      <c r="L652" s="65"/>
    </row>
    <row r="653" ht="15.75" customHeight="1">
      <c r="C653" s="65"/>
      <c r="D653" s="65"/>
      <c r="E653" s="65"/>
      <c r="F653" s="65"/>
      <c r="H653" s="65"/>
      <c r="J653" s="65"/>
      <c r="K653" s="65"/>
      <c r="L653" s="65"/>
    </row>
    <row r="654" ht="15.75" customHeight="1">
      <c r="C654" s="65"/>
      <c r="D654" s="65"/>
      <c r="E654" s="65"/>
      <c r="F654" s="65"/>
      <c r="H654" s="65"/>
      <c r="J654" s="65"/>
      <c r="K654" s="65"/>
      <c r="L654" s="65"/>
    </row>
    <row r="655" ht="15.75" customHeight="1">
      <c r="C655" s="65"/>
      <c r="D655" s="65"/>
      <c r="E655" s="65"/>
      <c r="F655" s="65"/>
      <c r="H655" s="65"/>
      <c r="J655" s="65"/>
      <c r="K655" s="65"/>
      <c r="L655" s="65"/>
    </row>
    <row r="656" ht="15.75" customHeight="1">
      <c r="C656" s="65"/>
      <c r="D656" s="65"/>
      <c r="E656" s="65"/>
      <c r="F656" s="65"/>
      <c r="H656" s="65"/>
      <c r="J656" s="65"/>
      <c r="K656" s="65"/>
      <c r="L656" s="65"/>
    </row>
    <row r="657" ht="15.75" customHeight="1">
      <c r="C657" s="65"/>
      <c r="D657" s="65"/>
      <c r="E657" s="65"/>
      <c r="F657" s="65"/>
      <c r="H657" s="65"/>
      <c r="J657" s="65"/>
      <c r="K657" s="65"/>
      <c r="L657" s="65"/>
    </row>
    <row r="658" ht="15.75" customHeight="1">
      <c r="C658" s="65"/>
      <c r="D658" s="65"/>
      <c r="E658" s="65"/>
      <c r="F658" s="65"/>
      <c r="H658" s="65"/>
      <c r="J658" s="65"/>
      <c r="K658" s="65"/>
      <c r="L658" s="65"/>
    </row>
    <row r="659" ht="15.75" customHeight="1">
      <c r="C659" s="65"/>
      <c r="D659" s="65"/>
      <c r="E659" s="65"/>
      <c r="F659" s="65"/>
      <c r="H659" s="65"/>
      <c r="J659" s="65"/>
      <c r="K659" s="65"/>
      <c r="L659" s="65"/>
    </row>
    <row r="660" ht="15.75" customHeight="1">
      <c r="C660" s="65"/>
      <c r="D660" s="65"/>
      <c r="E660" s="65"/>
      <c r="F660" s="65"/>
      <c r="H660" s="65"/>
      <c r="J660" s="65"/>
      <c r="K660" s="65"/>
      <c r="L660" s="65"/>
    </row>
    <row r="661" ht="15.75" customHeight="1">
      <c r="C661" s="65"/>
      <c r="D661" s="65"/>
      <c r="E661" s="65"/>
      <c r="F661" s="65"/>
      <c r="H661" s="65"/>
      <c r="J661" s="65"/>
      <c r="K661" s="65"/>
      <c r="L661" s="65"/>
    </row>
    <row r="662" ht="15.75" customHeight="1">
      <c r="C662" s="65"/>
      <c r="D662" s="65"/>
      <c r="E662" s="65"/>
      <c r="F662" s="65"/>
      <c r="H662" s="65"/>
      <c r="J662" s="65"/>
      <c r="K662" s="65"/>
      <c r="L662" s="65"/>
    </row>
    <row r="663" ht="15.75" customHeight="1">
      <c r="C663" s="65"/>
      <c r="D663" s="65"/>
      <c r="E663" s="65"/>
      <c r="F663" s="65"/>
      <c r="H663" s="65"/>
      <c r="J663" s="65"/>
      <c r="K663" s="65"/>
      <c r="L663" s="65"/>
    </row>
    <row r="664" ht="15.75" customHeight="1">
      <c r="C664" s="65"/>
      <c r="D664" s="65"/>
      <c r="E664" s="65"/>
      <c r="F664" s="65"/>
      <c r="H664" s="65"/>
      <c r="J664" s="65"/>
      <c r="K664" s="65"/>
      <c r="L664" s="65"/>
    </row>
    <row r="665" ht="15.75" customHeight="1">
      <c r="C665" s="65"/>
      <c r="D665" s="65"/>
      <c r="E665" s="65"/>
      <c r="F665" s="65"/>
      <c r="H665" s="65"/>
      <c r="J665" s="65"/>
      <c r="K665" s="65"/>
      <c r="L665" s="65"/>
    </row>
    <row r="666" ht="15.75" customHeight="1">
      <c r="C666" s="65"/>
      <c r="D666" s="65"/>
      <c r="E666" s="65"/>
      <c r="F666" s="65"/>
      <c r="H666" s="65"/>
      <c r="J666" s="65"/>
      <c r="K666" s="65"/>
      <c r="L666" s="65"/>
    </row>
    <row r="667" ht="15.75" customHeight="1">
      <c r="C667" s="65"/>
      <c r="D667" s="65"/>
      <c r="E667" s="65"/>
      <c r="F667" s="65"/>
      <c r="H667" s="65"/>
      <c r="J667" s="65"/>
      <c r="K667" s="65"/>
      <c r="L667" s="65"/>
    </row>
    <row r="668" ht="15.75" customHeight="1">
      <c r="C668" s="65"/>
      <c r="D668" s="65"/>
      <c r="E668" s="65"/>
      <c r="F668" s="65"/>
      <c r="H668" s="65"/>
      <c r="J668" s="65"/>
      <c r="K668" s="65"/>
      <c r="L668" s="65"/>
    </row>
    <row r="669" ht="15.75" customHeight="1">
      <c r="C669" s="65"/>
      <c r="D669" s="65"/>
      <c r="E669" s="65"/>
      <c r="F669" s="65"/>
      <c r="H669" s="65"/>
      <c r="J669" s="65"/>
      <c r="K669" s="65"/>
      <c r="L669" s="65"/>
    </row>
    <row r="670" ht="15.75" customHeight="1">
      <c r="C670" s="65"/>
      <c r="D670" s="65"/>
      <c r="E670" s="65"/>
      <c r="F670" s="65"/>
      <c r="H670" s="65"/>
      <c r="J670" s="65"/>
      <c r="K670" s="65"/>
      <c r="L670" s="65"/>
    </row>
    <row r="671" ht="15.75" customHeight="1">
      <c r="C671" s="65"/>
      <c r="D671" s="65"/>
      <c r="E671" s="65"/>
      <c r="F671" s="65"/>
      <c r="H671" s="65"/>
      <c r="J671" s="65"/>
      <c r="K671" s="65"/>
      <c r="L671" s="65"/>
    </row>
    <row r="672" ht="15.75" customHeight="1">
      <c r="C672" s="65"/>
      <c r="D672" s="65"/>
      <c r="E672" s="65"/>
      <c r="F672" s="65"/>
      <c r="H672" s="65"/>
      <c r="J672" s="65"/>
      <c r="K672" s="65"/>
      <c r="L672" s="65"/>
    </row>
    <row r="673" ht="15.75" customHeight="1">
      <c r="C673" s="65"/>
      <c r="D673" s="65"/>
      <c r="E673" s="65"/>
      <c r="F673" s="65"/>
      <c r="H673" s="65"/>
      <c r="J673" s="65"/>
      <c r="K673" s="65"/>
      <c r="L673" s="65"/>
    </row>
    <row r="674" ht="15.75" customHeight="1">
      <c r="C674" s="65"/>
      <c r="D674" s="65"/>
      <c r="E674" s="65"/>
      <c r="F674" s="65"/>
      <c r="H674" s="65"/>
      <c r="J674" s="65"/>
      <c r="K674" s="65"/>
      <c r="L674" s="65"/>
    </row>
    <row r="675" ht="15.75" customHeight="1">
      <c r="C675" s="65"/>
      <c r="D675" s="65"/>
      <c r="E675" s="65"/>
      <c r="F675" s="65"/>
      <c r="H675" s="65"/>
      <c r="J675" s="65"/>
      <c r="K675" s="65"/>
      <c r="L675" s="65"/>
    </row>
    <row r="676" ht="15.75" customHeight="1">
      <c r="C676" s="65"/>
      <c r="D676" s="65"/>
      <c r="E676" s="65"/>
      <c r="F676" s="65"/>
      <c r="H676" s="65"/>
      <c r="J676" s="65"/>
      <c r="K676" s="65"/>
      <c r="L676" s="65"/>
    </row>
    <row r="677" ht="15.75" customHeight="1">
      <c r="C677" s="65"/>
      <c r="D677" s="65"/>
      <c r="E677" s="65"/>
      <c r="F677" s="65"/>
      <c r="H677" s="65"/>
      <c r="J677" s="65"/>
      <c r="K677" s="65"/>
      <c r="L677" s="65"/>
    </row>
    <row r="678" ht="15.75" customHeight="1">
      <c r="C678" s="65"/>
      <c r="D678" s="65"/>
      <c r="E678" s="65"/>
      <c r="F678" s="65"/>
      <c r="H678" s="65"/>
      <c r="J678" s="65"/>
      <c r="K678" s="65"/>
      <c r="L678" s="65"/>
    </row>
    <row r="679" ht="15.75" customHeight="1">
      <c r="C679" s="65"/>
      <c r="D679" s="65"/>
      <c r="E679" s="65"/>
      <c r="F679" s="65"/>
      <c r="H679" s="65"/>
      <c r="J679" s="65"/>
      <c r="K679" s="65"/>
      <c r="L679" s="65"/>
    </row>
    <row r="680" ht="15.75" customHeight="1">
      <c r="C680" s="65"/>
      <c r="D680" s="65"/>
      <c r="E680" s="65"/>
      <c r="F680" s="65"/>
      <c r="H680" s="65"/>
      <c r="J680" s="65"/>
      <c r="K680" s="65"/>
      <c r="L680" s="65"/>
    </row>
    <row r="681" ht="15.75" customHeight="1">
      <c r="C681" s="65"/>
      <c r="D681" s="65"/>
      <c r="E681" s="65"/>
      <c r="F681" s="65"/>
      <c r="H681" s="65"/>
      <c r="J681" s="65"/>
      <c r="K681" s="65"/>
      <c r="L681" s="65"/>
    </row>
    <row r="682" ht="15.75" customHeight="1">
      <c r="C682" s="65"/>
      <c r="D682" s="65"/>
      <c r="E682" s="65"/>
      <c r="F682" s="65"/>
      <c r="H682" s="65"/>
      <c r="J682" s="65"/>
      <c r="K682" s="65"/>
      <c r="L682" s="65"/>
    </row>
    <row r="683" ht="15.75" customHeight="1">
      <c r="C683" s="65"/>
      <c r="D683" s="65"/>
      <c r="E683" s="65"/>
      <c r="F683" s="65"/>
      <c r="H683" s="65"/>
      <c r="J683" s="65"/>
      <c r="K683" s="65"/>
      <c r="L683" s="65"/>
    </row>
    <row r="684" ht="15.75" customHeight="1">
      <c r="C684" s="65"/>
      <c r="D684" s="65"/>
      <c r="E684" s="65"/>
      <c r="F684" s="65"/>
      <c r="H684" s="65"/>
      <c r="J684" s="65"/>
      <c r="K684" s="65"/>
      <c r="L684" s="65"/>
    </row>
    <row r="685" ht="15.75" customHeight="1">
      <c r="C685" s="65"/>
      <c r="D685" s="65"/>
      <c r="E685" s="65"/>
      <c r="F685" s="65"/>
      <c r="H685" s="65"/>
      <c r="J685" s="65"/>
      <c r="K685" s="65"/>
      <c r="L685" s="65"/>
    </row>
    <row r="686" ht="15.75" customHeight="1">
      <c r="C686" s="65"/>
      <c r="D686" s="65"/>
      <c r="E686" s="65"/>
      <c r="F686" s="65"/>
      <c r="H686" s="65"/>
      <c r="J686" s="65"/>
      <c r="K686" s="65"/>
      <c r="L686" s="65"/>
    </row>
    <row r="687" ht="15.75" customHeight="1">
      <c r="C687" s="65"/>
      <c r="D687" s="65"/>
      <c r="E687" s="65"/>
      <c r="F687" s="65"/>
      <c r="H687" s="65"/>
      <c r="J687" s="65"/>
      <c r="K687" s="65"/>
      <c r="L687" s="65"/>
    </row>
    <row r="688" ht="15.75" customHeight="1">
      <c r="C688" s="65"/>
      <c r="D688" s="65"/>
      <c r="E688" s="65"/>
      <c r="F688" s="65"/>
      <c r="H688" s="65"/>
      <c r="J688" s="65"/>
      <c r="K688" s="65"/>
      <c r="L688" s="65"/>
    </row>
    <row r="689" ht="15.75" customHeight="1">
      <c r="C689" s="65"/>
      <c r="D689" s="65"/>
      <c r="E689" s="65"/>
      <c r="F689" s="65"/>
      <c r="H689" s="65"/>
      <c r="J689" s="65"/>
      <c r="K689" s="65"/>
      <c r="L689" s="65"/>
    </row>
    <row r="690" ht="15.75" customHeight="1">
      <c r="C690" s="65"/>
      <c r="D690" s="65"/>
      <c r="E690" s="65"/>
      <c r="F690" s="65"/>
      <c r="H690" s="65"/>
      <c r="J690" s="65"/>
      <c r="K690" s="65"/>
      <c r="L690" s="65"/>
    </row>
    <row r="691" ht="15.75" customHeight="1">
      <c r="C691" s="65"/>
      <c r="D691" s="65"/>
      <c r="E691" s="65"/>
      <c r="F691" s="65"/>
      <c r="H691" s="65"/>
      <c r="J691" s="65"/>
      <c r="K691" s="65"/>
      <c r="L691" s="65"/>
    </row>
    <row r="692" ht="15.75" customHeight="1">
      <c r="C692" s="65"/>
      <c r="D692" s="65"/>
      <c r="E692" s="65"/>
      <c r="F692" s="65"/>
      <c r="H692" s="65"/>
      <c r="J692" s="65"/>
      <c r="K692" s="65"/>
      <c r="L692" s="65"/>
    </row>
    <row r="693" ht="15.75" customHeight="1">
      <c r="C693" s="65"/>
      <c r="D693" s="65"/>
      <c r="E693" s="65"/>
      <c r="F693" s="65"/>
      <c r="H693" s="65"/>
      <c r="J693" s="65"/>
      <c r="K693" s="65"/>
      <c r="L693" s="65"/>
    </row>
    <row r="694" ht="15.75" customHeight="1">
      <c r="C694" s="65"/>
      <c r="D694" s="65"/>
      <c r="E694" s="65"/>
      <c r="F694" s="65"/>
      <c r="H694" s="65"/>
      <c r="J694" s="65"/>
      <c r="K694" s="65"/>
      <c r="L694" s="65"/>
    </row>
    <row r="695" ht="15.75" customHeight="1">
      <c r="C695" s="65"/>
      <c r="D695" s="65"/>
      <c r="E695" s="65"/>
      <c r="F695" s="65"/>
      <c r="H695" s="65"/>
      <c r="J695" s="65"/>
      <c r="K695" s="65"/>
      <c r="L695" s="65"/>
    </row>
    <row r="696" ht="15.75" customHeight="1">
      <c r="C696" s="65"/>
      <c r="D696" s="65"/>
      <c r="E696" s="65"/>
      <c r="F696" s="65"/>
      <c r="H696" s="65"/>
      <c r="J696" s="65"/>
      <c r="K696" s="65"/>
      <c r="L696" s="65"/>
    </row>
    <row r="697" ht="15.75" customHeight="1">
      <c r="C697" s="65"/>
      <c r="D697" s="65"/>
      <c r="E697" s="65"/>
      <c r="F697" s="65"/>
      <c r="H697" s="65"/>
      <c r="J697" s="65"/>
      <c r="K697" s="65"/>
      <c r="L697" s="65"/>
    </row>
    <row r="698" ht="15.75" customHeight="1">
      <c r="C698" s="65"/>
      <c r="D698" s="65"/>
      <c r="E698" s="65"/>
      <c r="F698" s="65"/>
      <c r="H698" s="65"/>
      <c r="J698" s="65"/>
      <c r="K698" s="65"/>
      <c r="L698" s="65"/>
    </row>
    <row r="699" ht="15.75" customHeight="1">
      <c r="C699" s="65"/>
      <c r="D699" s="65"/>
      <c r="E699" s="65"/>
      <c r="F699" s="65"/>
      <c r="H699" s="65"/>
      <c r="J699" s="65"/>
      <c r="K699" s="65"/>
      <c r="L699" s="65"/>
    </row>
    <row r="700" ht="15.75" customHeight="1">
      <c r="C700" s="65"/>
      <c r="D700" s="65"/>
      <c r="E700" s="65"/>
      <c r="F700" s="65"/>
      <c r="H700" s="65"/>
      <c r="J700" s="65"/>
      <c r="K700" s="65"/>
      <c r="L700" s="65"/>
    </row>
    <row r="701" ht="15.75" customHeight="1">
      <c r="C701" s="65"/>
      <c r="D701" s="65"/>
      <c r="E701" s="65"/>
      <c r="F701" s="65"/>
      <c r="H701" s="65"/>
      <c r="J701" s="65"/>
      <c r="K701" s="65"/>
      <c r="L701" s="65"/>
    </row>
    <row r="702" ht="15.75" customHeight="1">
      <c r="C702" s="65"/>
      <c r="D702" s="65"/>
      <c r="E702" s="65"/>
      <c r="F702" s="65"/>
      <c r="H702" s="65"/>
      <c r="J702" s="65"/>
      <c r="K702" s="65"/>
      <c r="L702" s="65"/>
    </row>
    <row r="703" ht="15.75" customHeight="1">
      <c r="C703" s="65"/>
      <c r="D703" s="65"/>
      <c r="E703" s="65"/>
      <c r="F703" s="65"/>
      <c r="H703" s="65"/>
      <c r="J703" s="65"/>
      <c r="K703" s="65"/>
      <c r="L703" s="65"/>
    </row>
    <row r="704" ht="15.75" customHeight="1">
      <c r="C704" s="65"/>
      <c r="D704" s="65"/>
      <c r="E704" s="65"/>
      <c r="F704" s="65"/>
      <c r="H704" s="65"/>
      <c r="J704" s="65"/>
      <c r="K704" s="65"/>
      <c r="L704" s="65"/>
    </row>
    <row r="705" ht="15.75" customHeight="1">
      <c r="C705" s="65"/>
      <c r="D705" s="65"/>
      <c r="E705" s="65"/>
      <c r="F705" s="65"/>
      <c r="H705" s="65"/>
      <c r="J705" s="65"/>
      <c r="K705" s="65"/>
      <c r="L705" s="65"/>
    </row>
    <row r="706" ht="15.75" customHeight="1">
      <c r="C706" s="65"/>
      <c r="D706" s="65"/>
      <c r="E706" s="65"/>
      <c r="F706" s="65"/>
      <c r="H706" s="65"/>
      <c r="J706" s="65"/>
      <c r="K706" s="65"/>
      <c r="L706" s="65"/>
    </row>
    <row r="707" ht="15.75" customHeight="1">
      <c r="C707" s="65"/>
      <c r="D707" s="65"/>
      <c r="E707" s="65"/>
      <c r="F707" s="65"/>
      <c r="H707" s="65"/>
      <c r="J707" s="65"/>
      <c r="K707" s="65"/>
      <c r="L707" s="65"/>
    </row>
    <row r="708" ht="15.75" customHeight="1">
      <c r="C708" s="65"/>
      <c r="D708" s="65"/>
      <c r="E708" s="65"/>
      <c r="F708" s="65"/>
      <c r="H708" s="65"/>
      <c r="J708" s="65"/>
      <c r="K708" s="65"/>
      <c r="L708" s="65"/>
    </row>
    <row r="709" ht="15.75" customHeight="1">
      <c r="C709" s="65"/>
      <c r="D709" s="65"/>
      <c r="E709" s="65"/>
      <c r="F709" s="65"/>
      <c r="H709" s="65"/>
      <c r="J709" s="65"/>
      <c r="K709" s="65"/>
      <c r="L709" s="65"/>
    </row>
    <row r="710" ht="15.75" customHeight="1">
      <c r="C710" s="65"/>
      <c r="D710" s="65"/>
      <c r="E710" s="65"/>
      <c r="F710" s="65"/>
      <c r="H710" s="65"/>
      <c r="J710" s="65"/>
      <c r="K710" s="65"/>
      <c r="L710" s="65"/>
    </row>
    <row r="711" ht="15.75" customHeight="1">
      <c r="C711" s="65"/>
      <c r="D711" s="65"/>
      <c r="E711" s="65"/>
      <c r="F711" s="65"/>
      <c r="H711" s="65"/>
      <c r="J711" s="65"/>
      <c r="K711" s="65"/>
      <c r="L711" s="65"/>
    </row>
    <row r="712" ht="15.75" customHeight="1">
      <c r="C712" s="65"/>
      <c r="D712" s="65"/>
      <c r="E712" s="65"/>
      <c r="F712" s="65"/>
      <c r="H712" s="65"/>
      <c r="J712" s="65"/>
      <c r="K712" s="65"/>
      <c r="L712" s="65"/>
    </row>
    <row r="713" ht="15.75" customHeight="1">
      <c r="C713" s="65"/>
      <c r="D713" s="65"/>
      <c r="E713" s="65"/>
      <c r="F713" s="65"/>
      <c r="H713" s="65"/>
      <c r="J713" s="65"/>
      <c r="K713" s="65"/>
      <c r="L713" s="65"/>
    </row>
    <row r="714" ht="15.75" customHeight="1">
      <c r="C714" s="65"/>
      <c r="D714" s="65"/>
      <c r="E714" s="65"/>
      <c r="F714" s="65"/>
      <c r="H714" s="65"/>
      <c r="J714" s="65"/>
      <c r="K714" s="65"/>
      <c r="L714" s="65"/>
    </row>
    <row r="715" ht="15.75" customHeight="1">
      <c r="C715" s="65"/>
      <c r="D715" s="65"/>
      <c r="E715" s="65"/>
      <c r="F715" s="65"/>
      <c r="H715" s="65"/>
      <c r="J715" s="65"/>
      <c r="K715" s="65"/>
      <c r="L715" s="65"/>
    </row>
    <row r="716" ht="15.75" customHeight="1">
      <c r="C716" s="65"/>
      <c r="D716" s="65"/>
      <c r="E716" s="65"/>
      <c r="F716" s="65"/>
      <c r="H716" s="65"/>
      <c r="J716" s="65"/>
      <c r="K716" s="65"/>
      <c r="L716" s="65"/>
    </row>
    <row r="717" ht="15.75" customHeight="1">
      <c r="C717" s="65"/>
      <c r="D717" s="65"/>
      <c r="E717" s="65"/>
      <c r="F717" s="65"/>
      <c r="H717" s="65"/>
      <c r="J717" s="65"/>
      <c r="K717" s="65"/>
      <c r="L717" s="65"/>
    </row>
    <row r="718" ht="15.75" customHeight="1">
      <c r="C718" s="65"/>
      <c r="D718" s="65"/>
      <c r="E718" s="65"/>
      <c r="F718" s="65"/>
      <c r="H718" s="65"/>
      <c r="J718" s="65"/>
      <c r="K718" s="65"/>
      <c r="L718" s="65"/>
    </row>
    <row r="719" ht="15.75" customHeight="1">
      <c r="C719" s="65"/>
      <c r="D719" s="65"/>
      <c r="E719" s="65"/>
      <c r="F719" s="65"/>
      <c r="H719" s="65"/>
      <c r="J719" s="65"/>
      <c r="K719" s="65"/>
      <c r="L719" s="65"/>
    </row>
    <row r="720" ht="15.75" customHeight="1">
      <c r="C720" s="65"/>
      <c r="D720" s="65"/>
      <c r="E720" s="65"/>
      <c r="F720" s="65"/>
      <c r="H720" s="65"/>
      <c r="J720" s="65"/>
      <c r="K720" s="65"/>
      <c r="L720" s="65"/>
    </row>
    <row r="721" ht="15.75" customHeight="1">
      <c r="C721" s="65"/>
      <c r="D721" s="65"/>
      <c r="E721" s="65"/>
      <c r="F721" s="65"/>
      <c r="H721" s="65"/>
      <c r="J721" s="65"/>
      <c r="K721" s="65"/>
      <c r="L721" s="65"/>
    </row>
    <row r="722" ht="15.75" customHeight="1">
      <c r="C722" s="65"/>
      <c r="D722" s="65"/>
      <c r="E722" s="65"/>
      <c r="F722" s="65"/>
      <c r="H722" s="65"/>
      <c r="J722" s="65"/>
      <c r="K722" s="65"/>
      <c r="L722" s="65"/>
    </row>
    <row r="723" ht="15.75" customHeight="1">
      <c r="C723" s="65"/>
      <c r="D723" s="65"/>
      <c r="E723" s="65"/>
      <c r="F723" s="65"/>
      <c r="H723" s="65"/>
      <c r="J723" s="65"/>
      <c r="K723" s="65"/>
      <c r="L723" s="65"/>
    </row>
    <row r="724" ht="15.75" customHeight="1">
      <c r="C724" s="65"/>
      <c r="D724" s="65"/>
      <c r="E724" s="65"/>
      <c r="F724" s="65"/>
      <c r="H724" s="65"/>
      <c r="J724" s="65"/>
      <c r="K724" s="65"/>
      <c r="L724" s="65"/>
    </row>
    <row r="725" ht="15.75" customHeight="1">
      <c r="C725" s="65"/>
      <c r="D725" s="65"/>
      <c r="E725" s="65"/>
      <c r="F725" s="65"/>
      <c r="H725" s="65"/>
      <c r="J725" s="65"/>
      <c r="K725" s="65"/>
      <c r="L725" s="65"/>
    </row>
    <row r="726" ht="15.75" customHeight="1">
      <c r="C726" s="65"/>
      <c r="D726" s="65"/>
      <c r="E726" s="65"/>
      <c r="F726" s="65"/>
      <c r="H726" s="65"/>
      <c r="J726" s="65"/>
      <c r="K726" s="65"/>
      <c r="L726" s="65"/>
    </row>
    <row r="727" ht="15.75" customHeight="1">
      <c r="C727" s="65"/>
      <c r="D727" s="65"/>
      <c r="E727" s="65"/>
      <c r="F727" s="65"/>
      <c r="H727" s="65"/>
      <c r="J727" s="65"/>
      <c r="K727" s="65"/>
      <c r="L727" s="65"/>
    </row>
    <row r="728" ht="15.75" customHeight="1">
      <c r="C728" s="65"/>
      <c r="D728" s="65"/>
      <c r="E728" s="65"/>
      <c r="F728" s="65"/>
      <c r="H728" s="65"/>
      <c r="J728" s="65"/>
      <c r="K728" s="65"/>
      <c r="L728" s="65"/>
    </row>
    <row r="729" ht="15.75" customHeight="1">
      <c r="C729" s="65"/>
      <c r="D729" s="65"/>
      <c r="E729" s="65"/>
      <c r="F729" s="65"/>
      <c r="H729" s="65"/>
      <c r="J729" s="65"/>
      <c r="K729" s="65"/>
      <c r="L729" s="65"/>
    </row>
    <row r="730" ht="15.75" customHeight="1">
      <c r="C730" s="65"/>
      <c r="D730" s="65"/>
      <c r="E730" s="65"/>
      <c r="F730" s="65"/>
      <c r="H730" s="65"/>
      <c r="J730" s="65"/>
      <c r="K730" s="65"/>
      <c r="L730" s="65"/>
    </row>
    <row r="731" ht="15.75" customHeight="1">
      <c r="C731" s="65"/>
      <c r="D731" s="65"/>
      <c r="E731" s="65"/>
      <c r="F731" s="65"/>
      <c r="H731" s="65"/>
      <c r="J731" s="65"/>
      <c r="K731" s="65"/>
      <c r="L731" s="65"/>
    </row>
    <row r="732" ht="15.75" customHeight="1">
      <c r="C732" s="65"/>
      <c r="D732" s="65"/>
      <c r="E732" s="65"/>
      <c r="F732" s="65"/>
      <c r="H732" s="65"/>
      <c r="J732" s="65"/>
      <c r="K732" s="65"/>
      <c r="L732" s="65"/>
    </row>
    <row r="733" ht="15.75" customHeight="1">
      <c r="C733" s="65"/>
      <c r="D733" s="65"/>
      <c r="E733" s="65"/>
      <c r="F733" s="65"/>
      <c r="H733" s="65"/>
      <c r="J733" s="65"/>
      <c r="K733" s="65"/>
      <c r="L733" s="65"/>
    </row>
    <row r="734" ht="15.75" customHeight="1">
      <c r="C734" s="65"/>
      <c r="D734" s="65"/>
      <c r="E734" s="65"/>
      <c r="F734" s="65"/>
      <c r="H734" s="65"/>
      <c r="J734" s="65"/>
      <c r="K734" s="65"/>
      <c r="L734" s="65"/>
    </row>
    <row r="735" ht="15.75" customHeight="1">
      <c r="C735" s="65"/>
      <c r="D735" s="65"/>
      <c r="E735" s="65"/>
      <c r="F735" s="65"/>
      <c r="H735" s="65"/>
      <c r="J735" s="65"/>
      <c r="K735" s="65"/>
      <c r="L735" s="65"/>
    </row>
    <row r="736" ht="15.75" customHeight="1">
      <c r="C736" s="65"/>
      <c r="D736" s="65"/>
      <c r="E736" s="65"/>
      <c r="F736" s="65"/>
      <c r="H736" s="65"/>
      <c r="J736" s="65"/>
      <c r="K736" s="65"/>
      <c r="L736" s="65"/>
    </row>
    <row r="737" ht="15.75" customHeight="1">
      <c r="C737" s="65"/>
      <c r="D737" s="65"/>
      <c r="E737" s="65"/>
      <c r="F737" s="65"/>
      <c r="H737" s="65"/>
      <c r="J737" s="65"/>
      <c r="K737" s="65"/>
      <c r="L737" s="65"/>
    </row>
    <row r="738" ht="15.75" customHeight="1">
      <c r="C738" s="65"/>
      <c r="D738" s="65"/>
      <c r="E738" s="65"/>
      <c r="F738" s="65"/>
      <c r="H738" s="65"/>
      <c r="J738" s="65"/>
      <c r="K738" s="65"/>
      <c r="L738" s="65"/>
    </row>
    <row r="739" ht="15.75" customHeight="1">
      <c r="C739" s="65"/>
      <c r="D739" s="65"/>
      <c r="E739" s="65"/>
      <c r="F739" s="65"/>
      <c r="H739" s="65"/>
      <c r="J739" s="65"/>
      <c r="K739" s="65"/>
      <c r="L739" s="65"/>
    </row>
    <row r="740" ht="15.75" customHeight="1">
      <c r="C740" s="65"/>
      <c r="D740" s="65"/>
      <c r="E740" s="65"/>
      <c r="F740" s="65"/>
      <c r="H740" s="65"/>
      <c r="J740" s="65"/>
      <c r="K740" s="65"/>
      <c r="L740" s="65"/>
    </row>
    <row r="741" ht="15.75" customHeight="1">
      <c r="C741" s="65"/>
      <c r="D741" s="65"/>
      <c r="E741" s="65"/>
      <c r="F741" s="65"/>
      <c r="H741" s="65"/>
      <c r="J741" s="65"/>
      <c r="K741" s="65"/>
      <c r="L741" s="65"/>
    </row>
    <row r="742" ht="15.75" customHeight="1">
      <c r="C742" s="65"/>
      <c r="D742" s="65"/>
      <c r="E742" s="65"/>
      <c r="F742" s="65"/>
      <c r="H742" s="65"/>
      <c r="J742" s="65"/>
      <c r="K742" s="65"/>
      <c r="L742" s="65"/>
    </row>
    <row r="743" ht="15.75" customHeight="1">
      <c r="C743" s="65"/>
      <c r="D743" s="65"/>
      <c r="E743" s="65"/>
      <c r="F743" s="65"/>
      <c r="H743" s="65"/>
      <c r="J743" s="65"/>
      <c r="K743" s="65"/>
      <c r="L743" s="65"/>
    </row>
    <row r="744" ht="15.75" customHeight="1">
      <c r="C744" s="65"/>
      <c r="D744" s="65"/>
      <c r="E744" s="65"/>
      <c r="F744" s="65"/>
      <c r="H744" s="65"/>
      <c r="J744" s="65"/>
      <c r="K744" s="65"/>
      <c r="L744" s="65"/>
    </row>
    <row r="745" ht="15.75" customHeight="1">
      <c r="C745" s="65"/>
      <c r="D745" s="65"/>
      <c r="E745" s="65"/>
      <c r="F745" s="65"/>
      <c r="H745" s="65"/>
      <c r="J745" s="65"/>
      <c r="K745" s="65"/>
      <c r="L745" s="65"/>
    </row>
    <row r="746" ht="15.75" customHeight="1">
      <c r="C746" s="65"/>
      <c r="D746" s="65"/>
      <c r="E746" s="65"/>
      <c r="F746" s="65"/>
      <c r="H746" s="65"/>
      <c r="J746" s="65"/>
      <c r="K746" s="65"/>
      <c r="L746" s="65"/>
    </row>
    <row r="747" ht="15.75" customHeight="1">
      <c r="C747" s="65"/>
      <c r="D747" s="65"/>
      <c r="E747" s="65"/>
      <c r="F747" s="65"/>
      <c r="H747" s="65"/>
      <c r="J747" s="65"/>
      <c r="K747" s="65"/>
      <c r="L747" s="65"/>
    </row>
    <row r="748" ht="15.75" customHeight="1">
      <c r="C748" s="65"/>
      <c r="D748" s="65"/>
      <c r="E748" s="65"/>
      <c r="F748" s="65"/>
      <c r="H748" s="65"/>
      <c r="J748" s="65"/>
      <c r="K748" s="65"/>
      <c r="L748" s="65"/>
    </row>
    <row r="749" ht="15.75" customHeight="1">
      <c r="C749" s="65"/>
      <c r="D749" s="65"/>
      <c r="E749" s="65"/>
      <c r="F749" s="65"/>
      <c r="H749" s="65"/>
      <c r="J749" s="65"/>
      <c r="K749" s="65"/>
      <c r="L749" s="65"/>
    </row>
    <row r="750" ht="15.75" customHeight="1">
      <c r="C750" s="65"/>
      <c r="D750" s="65"/>
      <c r="E750" s="65"/>
      <c r="F750" s="65"/>
      <c r="H750" s="65"/>
      <c r="J750" s="65"/>
      <c r="K750" s="65"/>
      <c r="L750" s="65"/>
    </row>
    <row r="751" ht="15.75" customHeight="1">
      <c r="C751" s="65"/>
      <c r="D751" s="65"/>
      <c r="E751" s="65"/>
      <c r="F751" s="65"/>
      <c r="H751" s="65"/>
      <c r="J751" s="65"/>
      <c r="K751" s="65"/>
      <c r="L751" s="65"/>
    </row>
    <row r="752" ht="15.75" customHeight="1">
      <c r="C752" s="65"/>
      <c r="D752" s="65"/>
      <c r="E752" s="65"/>
      <c r="F752" s="65"/>
      <c r="H752" s="65"/>
      <c r="J752" s="65"/>
      <c r="K752" s="65"/>
      <c r="L752" s="65"/>
    </row>
    <row r="753" ht="15.75" customHeight="1">
      <c r="C753" s="65"/>
      <c r="D753" s="65"/>
      <c r="E753" s="65"/>
      <c r="F753" s="65"/>
      <c r="H753" s="65"/>
      <c r="J753" s="65"/>
      <c r="K753" s="65"/>
      <c r="L753" s="65"/>
    </row>
    <row r="754" ht="15.75" customHeight="1">
      <c r="C754" s="65"/>
      <c r="D754" s="65"/>
      <c r="E754" s="65"/>
      <c r="F754" s="65"/>
      <c r="H754" s="65"/>
      <c r="J754" s="65"/>
      <c r="K754" s="65"/>
      <c r="L754" s="65"/>
    </row>
    <row r="755" ht="15.75" customHeight="1">
      <c r="C755" s="65"/>
      <c r="D755" s="65"/>
      <c r="E755" s="65"/>
      <c r="F755" s="65"/>
      <c r="H755" s="65"/>
      <c r="J755" s="65"/>
      <c r="K755" s="65"/>
      <c r="L755" s="65"/>
    </row>
    <row r="756" ht="15.75" customHeight="1">
      <c r="C756" s="65"/>
      <c r="D756" s="65"/>
      <c r="E756" s="65"/>
      <c r="F756" s="65"/>
      <c r="H756" s="65"/>
      <c r="J756" s="65"/>
      <c r="K756" s="65"/>
      <c r="L756" s="65"/>
    </row>
    <row r="757" ht="15.75" customHeight="1">
      <c r="C757" s="65"/>
      <c r="D757" s="65"/>
      <c r="E757" s="65"/>
      <c r="F757" s="65"/>
      <c r="H757" s="65"/>
      <c r="J757" s="65"/>
      <c r="K757" s="65"/>
      <c r="L757" s="65"/>
    </row>
    <row r="758" ht="15.75" customHeight="1">
      <c r="C758" s="65"/>
      <c r="D758" s="65"/>
      <c r="E758" s="65"/>
      <c r="F758" s="65"/>
      <c r="H758" s="65"/>
      <c r="J758" s="65"/>
      <c r="K758" s="65"/>
      <c r="L758" s="65"/>
    </row>
    <row r="759" ht="15.75" customHeight="1">
      <c r="C759" s="65"/>
      <c r="D759" s="65"/>
      <c r="E759" s="65"/>
      <c r="F759" s="65"/>
      <c r="H759" s="65"/>
      <c r="J759" s="65"/>
      <c r="K759" s="65"/>
      <c r="L759" s="65"/>
    </row>
    <row r="760" ht="15.75" customHeight="1">
      <c r="C760" s="65"/>
      <c r="D760" s="65"/>
      <c r="E760" s="65"/>
      <c r="F760" s="65"/>
      <c r="H760" s="65"/>
      <c r="J760" s="65"/>
      <c r="K760" s="65"/>
      <c r="L760" s="65"/>
    </row>
    <row r="761" ht="15.75" customHeight="1">
      <c r="C761" s="65"/>
      <c r="D761" s="65"/>
      <c r="E761" s="65"/>
      <c r="F761" s="65"/>
      <c r="H761" s="65"/>
      <c r="J761" s="65"/>
      <c r="K761" s="65"/>
      <c r="L761" s="65"/>
    </row>
    <row r="762" ht="15.75" customHeight="1">
      <c r="C762" s="65"/>
      <c r="D762" s="65"/>
      <c r="E762" s="65"/>
      <c r="F762" s="65"/>
      <c r="H762" s="65"/>
      <c r="J762" s="65"/>
      <c r="K762" s="65"/>
      <c r="L762" s="65"/>
    </row>
    <row r="763" ht="15.75" customHeight="1">
      <c r="C763" s="65"/>
      <c r="D763" s="65"/>
      <c r="E763" s="65"/>
      <c r="F763" s="65"/>
      <c r="H763" s="65"/>
      <c r="J763" s="65"/>
      <c r="K763" s="65"/>
      <c r="L763" s="65"/>
    </row>
    <row r="764" ht="15.75" customHeight="1">
      <c r="C764" s="65"/>
      <c r="D764" s="65"/>
      <c r="E764" s="65"/>
      <c r="F764" s="65"/>
      <c r="H764" s="65"/>
      <c r="J764" s="65"/>
      <c r="K764" s="65"/>
      <c r="L764" s="65"/>
    </row>
    <row r="765" ht="15.75" customHeight="1">
      <c r="C765" s="65"/>
      <c r="D765" s="65"/>
      <c r="E765" s="65"/>
      <c r="F765" s="65"/>
      <c r="H765" s="65"/>
      <c r="J765" s="65"/>
      <c r="K765" s="65"/>
      <c r="L765" s="65"/>
    </row>
    <row r="766" ht="15.75" customHeight="1">
      <c r="C766" s="65"/>
      <c r="D766" s="65"/>
      <c r="E766" s="65"/>
      <c r="F766" s="65"/>
      <c r="H766" s="65"/>
      <c r="J766" s="65"/>
      <c r="K766" s="65"/>
      <c r="L766" s="65"/>
    </row>
    <row r="767" ht="15.75" customHeight="1">
      <c r="C767" s="65"/>
      <c r="D767" s="65"/>
      <c r="E767" s="65"/>
      <c r="F767" s="65"/>
      <c r="H767" s="65"/>
      <c r="J767" s="65"/>
      <c r="K767" s="65"/>
      <c r="L767" s="65"/>
    </row>
    <row r="768" ht="15.75" customHeight="1">
      <c r="C768" s="65"/>
      <c r="D768" s="65"/>
      <c r="E768" s="65"/>
      <c r="F768" s="65"/>
      <c r="H768" s="65"/>
      <c r="J768" s="65"/>
      <c r="K768" s="65"/>
      <c r="L768" s="65"/>
    </row>
    <row r="769" ht="15.75" customHeight="1">
      <c r="C769" s="65"/>
      <c r="D769" s="65"/>
      <c r="E769" s="65"/>
      <c r="F769" s="65"/>
      <c r="H769" s="65"/>
      <c r="J769" s="65"/>
      <c r="K769" s="65"/>
      <c r="L769" s="65"/>
    </row>
    <row r="770" ht="15.75" customHeight="1">
      <c r="C770" s="65"/>
      <c r="D770" s="65"/>
      <c r="E770" s="65"/>
      <c r="F770" s="65"/>
      <c r="H770" s="65"/>
      <c r="J770" s="65"/>
      <c r="K770" s="65"/>
      <c r="L770" s="65"/>
    </row>
    <row r="771" ht="15.75" customHeight="1">
      <c r="C771" s="65"/>
      <c r="D771" s="65"/>
      <c r="E771" s="65"/>
      <c r="F771" s="65"/>
      <c r="H771" s="65"/>
      <c r="J771" s="65"/>
      <c r="K771" s="65"/>
      <c r="L771" s="65"/>
    </row>
    <row r="772" ht="15.75" customHeight="1">
      <c r="C772" s="65"/>
      <c r="D772" s="65"/>
      <c r="E772" s="65"/>
      <c r="F772" s="65"/>
      <c r="H772" s="65"/>
      <c r="J772" s="65"/>
      <c r="K772" s="65"/>
      <c r="L772" s="65"/>
    </row>
    <row r="773" ht="15.75" customHeight="1">
      <c r="C773" s="65"/>
      <c r="D773" s="65"/>
      <c r="E773" s="65"/>
      <c r="F773" s="65"/>
      <c r="H773" s="65"/>
      <c r="J773" s="65"/>
      <c r="K773" s="65"/>
      <c r="L773" s="65"/>
    </row>
    <row r="774" ht="15.75" customHeight="1">
      <c r="C774" s="65"/>
      <c r="D774" s="65"/>
      <c r="E774" s="65"/>
      <c r="F774" s="65"/>
      <c r="H774" s="65"/>
      <c r="J774" s="65"/>
      <c r="K774" s="65"/>
      <c r="L774" s="65"/>
    </row>
    <row r="775" ht="15.75" customHeight="1">
      <c r="C775" s="65"/>
      <c r="D775" s="65"/>
      <c r="E775" s="65"/>
      <c r="F775" s="65"/>
      <c r="H775" s="65"/>
      <c r="J775" s="65"/>
      <c r="K775" s="65"/>
      <c r="L775" s="65"/>
    </row>
    <row r="776" ht="15.75" customHeight="1">
      <c r="C776" s="65"/>
      <c r="D776" s="65"/>
      <c r="E776" s="65"/>
      <c r="F776" s="65"/>
      <c r="H776" s="65"/>
      <c r="J776" s="65"/>
      <c r="K776" s="65"/>
      <c r="L776" s="65"/>
    </row>
    <row r="777" ht="15.75" customHeight="1">
      <c r="C777" s="65"/>
      <c r="D777" s="65"/>
      <c r="E777" s="65"/>
      <c r="F777" s="65"/>
      <c r="H777" s="65"/>
      <c r="J777" s="65"/>
      <c r="K777" s="65"/>
      <c r="L777" s="65"/>
    </row>
    <row r="778" ht="15.75" customHeight="1">
      <c r="C778" s="65"/>
      <c r="D778" s="65"/>
      <c r="E778" s="65"/>
      <c r="F778" s="65"/>
      <c r="H778" s="65"/>
      <c r="J778" s="65"/>
      <c r="K778" s="65"/>
      <c r="L778" s="65"/>
    </row>
    <row r="779" ht="15.75" customHeight="1">
      <c r="C779" s="65"/>
      <c r="D779" s="65"/>
      <c r="E779" s="65"/>
      <c r="F779" s="65"/>
      <c r="H779" s="65"/>
      <c r="J779" s="65"/>
      <c r="K779" s="65"/>
      <c r="L779" s="65"/>
    </row>
    <row r="780" ht="15.75" customHeight="1">
      <c r="C780" s="65"/>
      <c r="D780" s="65"/>
      <c r="E780" s="65"/>
      <c r="F780" s="65"/>
      <c r="H780" s="65"/>
      <c r="J780" s="65"/>
      <c r="K780" s="65"/>
      <c r="L780" s="65"/>
    </row>
    <row r="781" ht="15.75" customHeight="1">
      <c r="C781" s="65"/>
      <c r="D781" s="65"/>
      <c r="E781" s="65"/>
      <c r="F781" s="65"/>
      <c r="H781" s="65"/>
      <c r="J781" s="65"/>
      <c r="K781" s="65"/>
      <c r="L781" s="65"/>
    </row>
    <row r="782" ht="15.75" customHeight="1">
      <c r="C782" s="65"/>
      <c r="D782" s="65"/>
      <c r="E782" s="65"/>
      <c r="F782" s="65"/>
      <c r="H782" s="65"/>
      <c r="J782" s="65"/>
      <c r="K782" s="65"/>
      <c r="L782" s="65"/>
    </row>
    <row r="783" ht="15.75" customHeight="1">
      <c r="C783" s="65"/>
      <c r="D783" s="65"/>
      <c r="E783" s="65"/>
      <c r="F783" s="65"/>
      <c r="H783" s="65"/>
      <c r="J783" s="65"/>
      <c r="K783" s="65"/>
      <c r="L783" s="65"/>
    </row>
    <row r="784" ht="15.75" customHeight="1">
      <c r="C784" s="65"/>
      <c r="D784" s="65"/>
      <c r="E784" s="65"/>
      <c r="F784" s="65"/>
      <c r="H784" s="65"/>
      <c r="J784" s="65"/>
      <c r="K784" s="65"/>
      <c r="L784" s="65"/>
    </row>
    <row r="785" ht="15.75" customHeight="1">
      <c r="C785" s="65"/>
      <c r="D785" s="65"/>
      <c r="E785" s="65"/>
      <c r="F785" s="65"/>
      <c r="H785" s="65"/>
      <c r="J785" s="65"/>
      <c r="K785" s="65"/>
      <c r="L785" s="65"/>
    </row>
    <row r="786" ht="15.75" customHeight="1">
      <c r="C786" s="65"/>
      <c r="D786" s="65"/>
      <c r="E786" s="65"/>
      <c r="F786" s="65"/>
      <c r="H786" s="65"/>
      <c r="J786" s="65"/>
      <c r="K786" s="65"/>
      <c r="L786" s="65"/>
    </row>
    <row r="787" ht="15.75" customHeight="1">
      <c r="C787" s="65"/>
      <c r="D787" s="65"/>
      <c r="E787" s="65"/>
      <c r="F787" s="65"/>
      <c r="H787" s="65"/>
      <c r="J787" s="65"/>
      <c r="K787" s="65"/>
      <c r="L787" s="65"/>
    </row>
    <row r="788" ht="15.75" customHeight="1">
      <c r="C788" s="65"/>
      <c r="D788" s="65"/>
      <c r="E788" s="65"/>
      <c r="F788" s="65"/>
      <c r="H788" s="65"/>
      <c r="J788" s="65"/>
      <c r="K788" s="65"/>
      <c r="L788" s="65"/>
    </row>
    <row r="789" ht="15.75" customHeight="1">
      <c r="C789" s="65"/>
      <c r="D789" s="65"/>
      <c r="E789" s="65"/>
      <c r="F789" s="65"/>
      <c r="H789" s="65"/>
      <c r="J789" s="65"/>
      <c r="K789" s="65"/>
      <c r="L789" s="65"/>
    </row>
    <row r="790" ht="15.75" customHeight="1">
      <c r="C790" s="65"/>
      <c r="D790" s="65"/>
      <c r="E790" s="65"/>
      <c r="F790" s="65"/>
      <c r="H790" s="65"/>
      <c r="J790" s="65"/>
      <c r="K790" s="65"/>
      <c r="L790" s="65"/>
    </row>
    <row r="791" ht="15.75" customHeight="1">
      <c r="C791" s="65"/>
      <c r="D791" s="65"/>
      <c r="E791" s="65"/>
      <c r="F791" s="65"/>
      <c r="H791" s="65"/>
      <c r="J791" s="65"/>
      <c r="K791" s="65"/>
      <c r="L791" s="65"/>
    </row>
    <row r="792" ht="15.75" customHeight="1">
      <c r="C792" s="65"/>
      <c r="D792" s="65"/>
      <c r="E792" s="65"/>
      <c r="F792" s="65"/>
      <c r="H792" s="65"/>
      <c r="J792" s="65"/>
      <c r="K792" s="65"/>
      <c r="L792" s="65"/>
    </row>
    <row r="793" ht="15.75" customHeight="1">
      <c r="C793" s="65"/>
      <c r="D793" s="65"/>
      <c r="E793" s="65"/>
      <c r="F793" s="65"/>
      <c r="H793" s="65"/>
      <c r="J793" s="65"/>
      <c r="K793" s="65"/>
      <c r="L793" s="65"/>
    </row>
    <row r="794" ht="15.75" customHeight="1">
      <c r="C794" s="65"/>
      <c r="D794" s="65"/>
      <c r="E794" s="65"/>
      <c r="F794" s="65"/>
      <c r="H794" s="65"/>
      <c r="J794" s="65"/>
      <c r="K794" s="65"/>
      <c r="L794" s="65"/>
    </row>
    <row r="795" ht="15.75" customHeight="1">
      <c r="C795" s="65"/>
      <c r="D795" s="65"/>
      <c r="E795" s="65"/>
      <c r="F795" s="65"/>
      <c r="H795" s="65"/>
      <c r="J795" s="65"/>
      <c r="K795" s="65"/>
      <c r="L795" s="65"/>
    </row>
    <row r="796" ht="15.75" customHeight="1">
      <c r="C796" s="65"/>
      <c r="D796" s="65"/>
      <c r="E796" s="65"/>
      <c r="F796" s="65"/>
      <c r="H796" s="65"/>
      <c r="J796" s="65"/>
      <c r="K796" s="65"/>
      <c r="L796" s="65"/>
    </row>
    <row r="797" ht="15.75" customHeight="1">
      <c r="C797" s="65"/>
      <c r="D797" s="65"/>
      <c r="E797" s="65"/>
      <c r="F797" s="65"/>
      <c r="H797" s="65"/>
      <c r="J797" s="65"/>
      <c r="K797" s="65"/>
      <c r="L797" s="65"/>
    </row>
    <row r="798" ht="15.75" customHeight="1">
      <c r="C798" s="65"/>
      <c r="D798" s="65"/>
      <c r="E798" s="65"/>
      <c r="F798" s="65"/>
      <c r="H798" s="65"/>
      <c r="J798" s="65"/>
      <c r="K798" s="65"/>
      <c r="L798" s="65"/>
    </row>
    <row r="799" ht="15.75" customHeight="1">
      <c r="C799" s="65"/>
      <c r="D799" s="65"/>
      <c r="E799" s="65"/>
      <c r="F799" s="65"/>
      <c r="H799" s="65"/>
      <c r="J799" s="65"/>
      <c r="K799" s="65"/>
      <c r="L799" s="65"/>
    </row>
    <row r="800" ht="15.75" customHeight="1">
      <c r="C800" s="65"/>
      <c r="D800" s="65"/>
      <c r="E800" s="65"/>
      <c r="F800" s="65"/>
      <c r="H800" s="65"/>
      <c r="J800" s="65"/>
      <c r="K800" s="65"/>
      <c r="L800" s="65"/>
    </row>
    <row r="801" ht="15.75" customHeight="1">
      <c r="C801" s="65"/>
      <c r="D801" s="65"/>
      <c r="E801" s="65"/>
      <c r="F801" s="65"/>
      <c r="H801" s="65"/>
      <c r="J801" s="65"/>
      <c r="K801" s="65"/>
      <c r="L801" s="65"/>
    </row>
    <row r="802" ht="15.75" customHeight="1">
      <c r="C802" s="65"/>
      <c r="D802" s="65"/>
      <c r="E802" s="65"/>
      <c r="F802" s="65"/>
      <c r="H802" s="65"/>
      <c r="J802" s="65"/>
      <c r="K802" s="65"/>
      <c r="L802" s="65"/>
    </row>
    <row r="803" ht="15.75" customHeight="1">
      <c r="C803" s="65"/>
      <c r="D803" s="65"/>
      <c r="E803" s="65"/>
      <c r="F803" s="65"/>
      <c r="H803" s="65"/>
      <c r="J803" s="65"/>
      <c r="K803" s="65"/>
      <c r="L803" s="65"/>
    </row>
    <row r="804" ht="15.75" customHeight="1">
      <c r="C804" s="65"/>
      <c r="D804" s="65"/>
      <c r="E804" s="65"/>
      <c r="F804" s="65"/>
      <c r="H804" s="65"/>
      <c r="J804" s="65"/>
      <c r="K804" s="65"/>
      <c r="L804" s="65"/>
    </row>
    <row r="805" ht="15.75" customHeight="1">
      <c r="C805" s="65"/>
      <c r="D805" s="65"/>
      <c r="E805" s="65"/>
      <c r="F805" s="65"/>
      <c r="H805" s="65"/>
      <c r="J805" s="65"/>
      <c r="K805" s="65"/>
      <c r="L805" s="65"/>
    </row>
    <row r="806" ht="15.75" customHeight="1">
      <c r="C806" s="65"/>
      <c r="D806" s="65"/>
      <c r="E806" s="65"/>
      <c r="F806" s="65"/>
      <c r="H806" s="65"/>
      <c r="J806" s="65"/>
      <c r="K806" s="65"/>
      <c r="L806" s="65"/>
    </row>
    <row r="807" ht="15.75" customHeight="1">
      <c r="C807" s="65"/>
      <c r="D807" s="65"/>
      <c r="E807" s="65"/>
      <c r="F807" s="65"/>
      <c r="H807" s="65"/>
      <c r="J807" s="65"/>
      <c r="K807" s="65"/>
      <c r="L807" s="65"/>
    </row>
    <row r="808" ht="15.75" customHeight="1">
      <c r="C808" s="65"/>
      <c r="D808" s="65"/>
      <c r="E808" s="65"/>
      <c r="F808" s="65"/>
      <c r="H808" s="65"/>
      <c r="J808" s="65"/>
      <c r="K808" s="65"/>
      <c r="L808" s="65"/>
    </row>
    <row r="809" ht="15.75" customHeight="1">
      <c r="C809" s="65"/>
      <c r="D809" s="65"/>
      <c r="E809" s="65"/>
      <c r="F809" s="65"/>
      <c r="H809" s="65"/>
      <c r="J809" s="65"/>
      <c r="K809" s="65"/>
      <c r="L809" s="65"/>
    </row>
    <row r="810" ht="15.75" customHeight="1">
      <c r="C810" s="65"/>
      <c r="D810" s="65"/>
      <c r="E810" s="65"/>
      <c r="F810" s="65"/>
      <c r="H810" s="65"/>
      <c r="J810" s="65"/>
      <c r="K810" s="65"/>
      <c r="L810" s="65"/>
    </row>
    <row r="811" ht="15.75" customHeight="1">
      <c r="C811" s="65"/>
      <c r="D811" s="65"/>
      <c r="E811" s="65"/>
      <c r="F811" s="65"/>
      <c r="H811" s="65"/>
      <c r="J811" s="65"/>
      <c r="K811" s="65"/>
      <c r="L811" s="65"/>
    </row>
    <row r="812" ht="15.75" customHeight="1">
      <c r="C812" s="65"/>
      <c r="D812" s="65"/>
      <c r="E812" s="65"/>
      <c r="F812" s="65"/>
      <c r="H812" s="65"/>
      <c r="J812" s="65"/>
      <c r="K812" s="65"/>
      <c r="L812" s="65"/>
    </row>
    <row r="813" ht="15.75" customHeight="1">
      <c r="C813" s="65"/>
      <c r="D813" s="65"/>
      <c r="E813" s="65"/>
      <c r="F813" s="65"/>
      <c r="H813" s="65"/>
      <c r="J813" s="65"/>
      <c r="K813" s="65"/>
      <c r="L813" s="65"/>
    </row>
    <row r="814" ht="15.75" customHeight="1">
      <c r="C814" s="65"/>
      <c r="D814" s="65"/>
      <c r="E814" s="65"/>
      <c r="F814" s="65"/>
      <c r="H814" s="65"/>
      <c r="J814" s="65"/>
      <c r="K814" s="65"/>
      <c r="L814" s="65"/>
    </row>
    <row r="815" ht="15.75" customHeight="1">
      <c r="C815" s="65"/>
      <c r="D815" s="65"/>
      <c r="E815" s="65"/>
      <c r="F815" s="65"/>
      <c r="H815" s="65"/>
      <c r="J815" s="65"/>
      <c r="K815" s="65"/>
      <c r="L815" s="65"/>
    </row>
    <row r="816" ht="15.75" customHeight="1">
      <c r="C816" s="65"/>
      <c r="D816" s="65"/>
      <c r="E816" s="65"/>
      <c r="F816" s="65"/>
      <c r="H816" s="65"/>
      <c r="J816" s="65"/>
      <c r="K816" s="65"/>
      <c r="L816" s="65"/>
    </row>
    <row r="817" ht="15.75" customHeight="1">
      <c r="C817" s="65"/>
      <c r="D817" s="65"/>
      <c r="E817" s="65"/>
      <c r="F817" s="65"/>
      <c r="H817" s="65"/>
      <c r="J817" s="65"/>
      <c r="K817" s="65"/>
      <c r="L817" s="65"/>
    </row>
    <row r="818" ht="15.75" customHeight="1">
      <c r="C818" s="65"/>
      <c r="D818" s="65"/>
      <c r="E818" s="65"/>
      <c r="F818" s="65"/>
      <c r="H818" s="65"/>
      <c r="J818" s="65"/>
      <c r="K818" s="65"/>
      <c r="L818" s="65"/>
    </row>
    <row r="819" ht="15.75" customHeight="1">
      <c r="C819" s="65"/>
      <c r="D819" s="65"/>
      <c r="E819" s="65"/>
      <c r="F819" s="65"/>
      <c r="H819" s="65"/>
      <c r="J819" s="65"/>
      <c r="K819" s="65"/>
      <c r="L819" s="65"/>
    </row>
    <row r="820" ht="15.75" customHeight="1">
      <c r="C820" s="65"/>
      <c r="D820" s="65"/>
      <c r="E820" s="65"/>
      <c r="F820" s="65"/>
      <c r="H820" s="65"/>
      <c r="J820" s="65"/>
      <c r="K820" s="65"/>
      <c r="L820" s="65"/>
    </row>
    <row r="821" ht="15.75" customHeight="1">
      <c r="C821" s="65"/>
      <c r="D821" s="65"/>
      <c r="E821" s="65"/>
      <c r="F821" s="65"/>
      <c r="H821" s="65"/>
      <c r="J821" s="65"/>
      <c r="K821" s="65"/>
      <c r="L821" s="65"/>
    </row>
    <row r="822" ht="15.75" customHeight="1">
      <c r="C822" s="65"/>
      <c r="D822" s="65"/>
      <c r="E822" s="65"/>
      <c r="F822" s="65"/>
      <c r="H822" s="65"/>
      <c r="J822" s="65"/>
      <c r="K822" s="65"/>
      <c r="L822" s="65"/>
    </row>
    <row r="823" ht="15.75" customHeight="1">
      <c r="C823" s="65"/>
      <c r="D823" s="65"/>
      <c r="E823" s="65"/>
      <c r="F823" s="65"/>
      <c r="H823" s="65"/>
      <c r="J823" s="65"/>
      <c r="K823" s="65"/>
      <c r="L823" s="65"/>
    </row>
    <row r="824" ht="15.75" customHeight="1">
      <c r="C824" s="65"/>
      <c r="D824" s="65"/>
      <c r="E824" s="65"/>
      <c r="F824" s="65"/>
      <c r="H824" s="65"/>
      <c r="J824" s="65"/>
      <c r="K824" s="65"/>
      <c r="L824" s="65"/>
    </row>
    <row r="825" ht="15.75" customHeight="1">
      <c r="C825" s="65"/>
      <c r="D825" s="65"/>
      <c r="E825" s="65"/>
      <c r="F825" s="65"/>
      <c r="H825" s="65"/>
      <c r="J825" s="65"/>
      <c r="K825" s="65"/>
      <c r="L825" s="65"/>
    </row>
    <row r="826" ht="15.75" customHeight="1">
      <c r="C826" s="65"/>
      <c r="D826" s="65"/>
      <c r="E826" s="65"/>
      <c r="F826" s="65"/>
      <c r="H826" s="65"/>
      <c r="J826" s="65"/>
      <c r="K826" s="65"/>
      <c r="L826" s="65"/>
    </row>
    <row r="827" ht="15.75" customHeight="1">
      <c r="C827" s="65"/>
      <c r="D827" s="65"/>
      <c r="E827" s="65"/>
      <c r="F827" s="65"/>
      <c r="H827" s="65"/>
      <c r="J827" s="65"/>
      <c r="K827" s="65"/>
      <c r="L827" s="65"/>
    </row>
    <row r="828" ht="15.75" customHeight="1">
      <c r="C828" s="65"/>
      <c r="D828" s="65"/>
      <c r="E828" s="65"/>
      <c r="F828" s="65"/>
      <c r="H828" s="65"/>
      <c r="J828" s="65"/>
      <c r="K828" s="65"/>
      <c r="L828" s="65"/>
    </row>
    <row r="829" ht="15.75" customHeight="1">
      <c r="C829" s="65"/>
      <c r="D829" s="65"/>
      <c r="E829" s="65"/>
      <c r="F829" s="65"/>
      <c r="H829" s="65"/>
      <c r="J829" s="65"/>
      <c r="K829" s="65"/>
      <c r="L829" s="65"/>
    </row>
    <row r="830" ht="15.75" customHeight="1">
      <c r="C830" s="65"/>
      <c r="D830" s="65"/>
      <c r="E830" s="65"/>
      <c r="F830" s="65"/>
      <c r="H830" s="65"/>
      <c r="J830" s="65"/>
      <c r="K830" s="65"/>
      <c r="L830" s="65"/>
    </row>
    <row r="831" ht="15.75" customHeight="1">
      <c r="C831" s="65"/>
      <c r="D831" s="65"/>
      <c r="E831" s="65"/>
      <c r="F831" s="65"/>
      <c r="H831" s="65"/>
      <c r="J831" s="65"/>
      <c r="K831" s="65"/>
      <c r="L831" s="65"/>
    </row>
    <row r="832" ht="15.75" customHeight="1">
      <c r="C832" s="65"/>
      <c r="D832" s="65"/>
      <c r="E832" s="65"/>
      <c r="F832" s="65"/>
      <c r="H832" s="65"/>
      <c r="J832" s="65"/>
      <c r="K832" s="65"/>
      <c r="L832" s="65"/>
    </row>
    <row r="833" ht="15.75" customHeight="1">
      <c r="C833" s="65"/>
      <c r="D833" s="65"/>
      <c r="E833" s="65"/>
      <c r="F833" s="65"/>
      <c r="H833" s="65"/>
      <c r="J833" s="65"/>
      <c r="K833" s="65"/>
      <c r="L833" s="65"/>
    </row>
    <row r="834" ht="15.75" customHeight="1">
      <c r="C834" s="65"/>
      <c r="D834" s="65"/>
      <c r="E834" s="65"/>
      <c r="F834" s="65"/>
      <c r="H834" s="65"/>
      <c r="J834" s="65"/>
      <c r="K834" s="65"/>
      <c r="L834" s="65"/>
    </row>
    <row r="835" ht="15.75" customHeight="1">
      <c r="C835" s="65"/>
      <c r="D835" s="65"/>
      <c r="E835" s="65"/>
      <c r="F835" s="65"/>
      <c r="H835" s="65"/>
      <c r="J835" s="65"/>
      <c r="K835" s="65"/>
      <c r="L835" s="65"/>
    </row>
    <row r="836" ht="15.75" customHeight="1">
      <c r="C836" s="65"/>
      <c r="D836" s="65"/>
      <c r="E836" s="65"/>
      <c r="F836" s="65"/>
      <c r="H836" s="65"/>
      <c r="J836" s="65"/>
      <c r="K836" s="65"/>
      <c r="L836" s="65"/>
    </row>
    <row r="837" ht="15.75" customHeight="1">
      <c r="C837" s="65"/>
      <c r="D837" s="65"/>
      <c r="E837" s="65"/>
      <c r="F837" s="65"/>
      <c r="H837" s="65"/>
      <c r="J837" s="65"/>
      <c r="K837" s="65"/>
      <c r="L837" s="65"/>
    </row>
    <row r="838" ht="15.75" customHeight="1">
      <c r="C838" s="65"/>
      <c r="D838" s="65"/>
      <c r="E838" s="65"/>
      <c r="F838" s="65"/>
      <c r="H838" s="65"/>
      <c r="J838" s="65"/>
      <c r="K838" s="65"/>
      <c r="L838" s="65"/>
    </row>
    <row r="839" ht="15.75" customHeight="1">
      <c r="C839" s="65"/>
      <c r="D839" s="65"/>
      <c r="E839" s="65"/>
      <c r="F839" s="65"/>
      <c r="H839" s="65"/>
      <c r="J839" s="65"/>
      <c r="K839" s="65"/>
      <c r="L839" s="65"/>
    </row>
    <row r="840" ht="15.75" customHeight="1">
      <c r="C840" s="65"/>
      <c r="D840" s="65"/>
      <c r="E840" s="65"/>
      <c r="F840" s="65"/>
      <c r="H840" s="65"/>
      <c r="J840" s="65"/>
      <c r="K840" s="65"/>
      <c r="L840" s="65"/>
    </row>
    <row r="841" ht="15.75" customHeight="1">
      <c r="C841" s="65"/>
      <c r="D841" s="65"/>
      <c r="E841" s="65"/>
      <c r="F841" s="65"/>
      <c r="H841" s="65"/>
      <c r="J841" s="65"/>
      <c r="K841" s="65"/>
      <c r="L841" s="65"/>
    </row>
    <row r="842" ht="15.75" customHeight="1">
      <c r="C842" s="65"/>
      <c r="D842" s="65"/>
      <c r="E842" s="65"/>
      <c r="F842" s="65"/>
      <c r="H842" s="65"/>
      <c r="J842" s="65"/>
      <c r="K842" s="65"/>
      <c r="L842" s="65"/>
    </row>
    <row r="843" ht="15.75" customHeight="1">
      <c r="C843" s="65"/>
      <c r="D843" s="65"/>
      <c r="E843" s="65"/>
      <c r="F843" s="65"/>
      <c r="H843" s="65"/>
      <c r="J843" s="65"/>
      <c r="K843" s="65"/>
      <c r="L843" s="65"/>
    </row>
    <row r="844" ht="15.75" customHeight="1">
      <c r="C844" s="65"/>
      <c r="D844" s="65"/>
      <c r="E844" s="65"/>
      <c r="F844" s="65"/>
      <c r="H844" s="65"/>
      <c r="J844" s="65"/>
      <c r="K844" s="65"/>
      <c r="L844" s="65"/>
    </row>
    <row r="845" ht="15.75" customHeight="1">
      <c r="C845" s="65"/>
      <c r="D845" s="65"/>
      <c r="E845" s="65"/>
      <c r="F845" s="65"/>
      <c r="H845" s="65"/>
      <c r="J845" s="65"/>
      <c r="K845" s="65"/>
      <c r="L845" s="65"/>
    </row>
    <row r="846" ht="15.75" customHeight="1">
      <c r="C846" s="65"/>
      <c r="D846" s="65"/>
      <c r="E846" s="65"/>
      <c r="F846" s="65"/>
      <c r="H846" s="65"/>
      <c r="J846" s="65"/>
      <c r="K846" s="65"/>
      <c r="L846" s="65"/>
    </row>
    <row r="847" ht="15.75" customHeight="1">
      <c r="C847" s="65"/>
      <c r="D847" s="65"/>
      <c r="E847" s="65"/>
      <c r="F847" s="65"/>
      <c r="H847" s="65"/>
      <c r="J847" s="65"/>
      <c r="K847" s="65"/>
      <c r="L847" s="65"/>
    </row>
    <row r="848" ht="15.75" customHeight="1">
      <c r="C848" s="65"/>
      <c r="D848" s="65"/>
      <c r="E848" s="65"/>
      <c r="F848" s="65"/>
      <c r="H848" s="65"/>
      <c r="J848" s="65"/>
      <c r="K848" s="65"/>
      <c r="L848" s="65"/>
    </row>
    <row r="849" ht="15.75" customHeight="1">
      <c r="C849" s="65"/>
      <c r="D849" s="65"/>
      <c r="E849" s="65"/>
      <c r="F849" s="65"/>
      <c r="H849" s="65"/>
      <c r="J849" s="65"/>
      <c r="K849" s="65"/>
      <c r="L849" s="65"/>
    </row>
    <row r="850" ht="15.75" customHeight="1">
      <c r="C850" s="65"/>
      <c r="D850" s="65"/>
      <c r="E850" s="65"/>
      <c r="F850" s="65"/>
      <c r="H850" s="65"/>
      <c r="J850" s="65"/>
      <c r="K850" s="65"/>
      <c r="L850" s="65"/>
    </row>
    <row r="851" ht="15.75" customHeight="1">
      <c r="C851" s="65"/>
      <c r="D851" s="65"/>
      <c r="E851" s="65"/>
      <c r="F851" s="65"/>
      <c r="H851" s="65"/>
      <c r="J851" s="65"/>
      <c r="K851" s="65"/>
      <c r="L851" s="65"/>
    </row>
    <row r="852" ht="15.75" customHeight="1">
      <c r="C852" s="65"/>
      <c r="D852" s="65"/>
      <c r="E852" s="65"/>
      <c r="F852" s="65"/>
      <c r="H852" s="65"/>
      <c r="J852" s="65"/>
      <c r="K852" s="65"/>
      <c r="L852" s="65"/>
    </row>
    <row r="853" ht="15.75" customHeight="1">
      <c r="C853" s="65"/>
      <c r="D853" s="65"/>
      <c r="E853" s="65"/>
      <c r="F853" s="65"/>
      <c r="H853" s="65"/>
      <c r="J853" s="65"/>
      <c r="K853" s="65"/>
      <c r="L853" s="65"/>
    </row>
    <row r="854" ht="15.75" customHeight="1">
      <c r="C854" s="65"/>
      <c r="D854" s="65"/>
      <c r="E854" s="65"/>
      <c r="F854" s="65"/>
      <c r="H854" s="65"/>
      <c r="J854" s="65"/>
      <c r="K854" s="65"/>
      <c r="L854" s="65"/>
    </row>
    <row r="855" ht="15.75" customHeight="1">
      <c r="C855" s="65"/>
      <c r="D855" s="65"/>
      <c r="E855" s="65"/>
      <c r="F855" s="65"/>
      <c r="H855" s="65"/>
      <c r="J855" s="65"/>
      <c r="K855" s="65"/>
      <c r="L855" s="65"/>
    </row>
    <row r="856" ht="15.75" customHeight="1">
      <c r="C856" s="65"/>
      <c r="D856" s="65"/>
      <c r="E856" s="65"/>
      <c r="F856" s="65"/>
      <c r="H856" s="65"/>
      <c r="J856" s="65"/>
      <c r="K856" s="65"/>
      <c r="L856" s="65"/>
    </row>
    <row r="857" ht="15.75" customHeight="1">
      <c r="C857" s="65"/>
      <c r="D857" s="65"/>
      <c r="E857" s="65"/>
      <c r="F857" s="65"/>
      <c r="H857" s="65"/>
      <c r="J857" s="65"/>
      <c r="K857" s="65"/>
      <c r="L857" s="65"/>
    </row>
    <row r="858" ht="15.75" customHeight="1">
      <c r="C858" s="65"/>
      <c r="D858" s="65"/>
      <c r="E858" s="65"/>
      <c r="F858" s="65"/>
      <c r="H858" s="65"/>
      <c r="J858" s="65"/>
      <c r="K858" s="65"/>
      <c r="L858" s="65"/>
    </row>
    <row r="859" ht="15.75" customHeight="1">
      <c r="C859" s="65"/>
      <c r="D859" s="65"/>
      <c r="E859" s="65"/>
      <c r="F859" s="65"/>
      <c r="H859" s="65"/>
      <c r="J859" s="65"/>
      <c r="K859" s="65"/>
      <c r="L859" s="65"/>
    </row>
    <row r="860" ht="15.75" customHeight="1">
      <c r="C860" s="65"/>
      <c r="D860" s="65"/>
      <c r="E860" s="65"/>
      <c r="F860" s="65"/>
      <c r="H860" s="65"/>
      <c r="J860" s="65"/>
      <c r="K860" s="65"/>
      <c r="L860" s="65"/>
    </row>
    <row r="861" ht="15.75" customHeight="1">
      <c r="C861" s="65"/>
      <c r="D861" s="65"/>
      <c r="E861" s="65"/>
      <c r="F861" s="65"/>
      <c r="H861" s="65"/>
      <c r="J861" s="65"/>
      <c r="K861" s="65"/>
      <c r="L861" s="65"/>
    </row>
    <row r="862" ht="15.75" customHeight="1">
      <c r="C862" s="65"/>
      <c r="D862" s="65"/>
      <c r="E862" s="65"/>
      <c r="F862" s="65"/>
      <c r="H862" s="65"/>
      <c r="J862" s="65"/>
      <c r="K862" s="65"/>
      <c r="L862" s="65"/>
    </row>
    <row r="863" ht="15.75" customHeight="1">
      <c r="C863" s="65"/>
      <c r="D863" s="65"/>
      <c r="E863" s="65"/>
      <c r="F863" s="65"/>
      <c r="H863" s="65"/>
      <c r="J863" s="65"/>
      <c r="K863" s="65"/>
      <c r="L863" s="65"/>
    </row>
    <row r="864" ht="15.75" customHeight="1">
      <c r="C864" s="65"/>
      <c r="D864" s="65"/>
      <c r="E864" s="65"/>
      <c r="F864" s="65"/>
      <c r="H864" s="65"/>
      <c r="J864" s="65"/>
      <c r="K864" s="65"/>
      <c r="L864" s="65"/>
    </row>
    <row r="865" ht="15.75" customHeight="1">
      <c r="C865" s="65"/>
      <c r="D865" s="65"/>
      <c r="E865" s="65"/>
      <c r="F865" s="65"/>
      <c r="H865" s="65"/>
      <c r="J865" s="65"/>
      <c r="K865" s="65"/>
      <c r="L865" s="65"/>
    </row>
    <row r="866" ht="15.75" customHeight="1">
      <c r="C866" s="65"/>
      <c r="D866" s="65"/>
      <c r="E866" s="65"/>
      <c r="F866" s="65"/>
      <c r="H866" s="65"/>
      <c r="J866" s="65"/>
      <c r="K866" s="65"/>
      <c r="L866" s="65"/>
    </row>
    <row r="867" ht="15.75" customHeight="1">
      <c r="C867" s="65"/>
      <c r="D867" s="65"/>
      <c r="E867" s="65"/>
      <c r="F867" s="65"/>
      <c r="H867" s="65"/>
      <c r="J867" s="65"/>
      <c r="K867" s="65"/>
      <c r="L867" s="65"/>
    </row>
    <row r="868" ht="15.75" customHeight="1">
      <c r="C868" s="65"/>
      <c r="D868" s="65"/>
      <c r="E868" s="65"/>
      <c r="F868" s="65"/>
      <c r="H868" s="65"/>
      <c r="J868" s="65"/>
      <c r="K868" s="65"/>
      <c r="L868" s="65"/>
    </row>
    <row r="869" ht="15.75" customHeight="1">
      <c r="C869" s="65"/>
      <c r="D869" s="65"/>
      <c r="E869" s="65"/>
      <c r="F869" s="65"/>
      <c r="H869" s="65"/>
      <c r="J869" s="65"/>
      <c r="K869" s="65"/>
      <c r="L869" s="65"/>
    </row>
    <row r="870" ht="15.75" customHeight="1">
      <c r="C870" s="65"/>
      <c r="D870" s="65"/>
      <c r="E870" s="65"/>
      <c r="F870" s="65"/>
      <c r="H870" s="65"/>
      <c r="J870" s="65"/>
      <c r="K870" s="65"/>
      <c r="L870" s="65"/>
    </row>
    <row r="871" ht="15.75" customHeight="1">
      <c r="C871" s="65"/>
      <c r="D871" s="65"/>
      <c r="E871" s="65"/>
      <c r="F871" s="65"/>
      <c r="H871" s="65"/>
      <c r="J871" s="65"/>
      <c r="K871" s="65"/>
      <c r="L871" s="65"/>
    </row>
    <row r="872" ht="15.75" customHeight="1">
      <c r="C872" s="65"/>
      <c r="D872" s="65"/>
      <c r="E872" s="65"/>
      <c r="F872" s="65"/>
      <c r="H872" s="65"/>
      <c r="J872" s="65"/>
      <c r="K872" s="65"/>
      <c r="L872" s="65"/>
    </row>
    <row r="873" ht="15.75" customHeight="1">
      <c r="C873" s="65"/>
      <c r="D873" s="65"/>
      <c r="E873" s="65"/>
      <c r="F873" s="65"/>
      <c r="H873" s="65"/>
      <c r="J873" s="65"/>
      <c r="K873" s="65"/>
      <c r="L873" s="65"/>
    </row>
    <row r="874" ht="15.75" customHeight="1">
      <c r="C874" s="65"/>
      <c r="D874" s="65"/>
      <c r="E874" s="65"/>
      <c r="F874" s="65"/>
      <c r="H874" s="65"/>
      <c r="J874" s="65"/>
      <c r="K874" s="65"/>
      <c r="L874" s="65"/>
    </row>
    <row r="875" ht="15.75" customHeight="1">
      <c r="C875" s="65"/>
      <c r="D875" s="65"/>
      <c r="E875" s="65"/>
      <c r="F875" s="65"/>
      <c r="H875" s="65"/>
      <c r="J875" s="65"/>
      <c r="K875" s="65"/>
      <c r="L875" s="65"/>
    </row>
    <row r="876" ht="15.75" customHeight="1">
      <c r="C876" s="65"/>
      <c r="D876" s="65"/>
      <c r="E876" s="65"/>
      <c r="F876" s="65"/>
      <c r="H876" s="65"/>
      <c r="J876" s="65"/>
      <c r="K876" s="65"/>
      <c r="L876" s="65"/>
    </row>
    <row r="877" ht="15.75" customHeight="1">
      <c r="C877" s="65"/>
      <c r="D877" s="65"/>
      <c r="E877" s="65"/>
      <c r="F877" s="65"/>
      <c r="H877" s="65"/>
      <c r="J877" s="65"/>
      <c r="K877" s="65"/>
      <c r="L877" s="65"/>
    </row>
    <row r="878" ht="15.75" customHeight="1">
      <c r="C878" s="65"/>
      <c r="D878" s="65"/>
      <c r="E878" s="65"/>
      <c r="F878" s="65"/>
      <c r="H878" s="65"/>
      <c r="J878" s="65"/>
      <c r="K878" s="65"/>
      <c r="L878" s="65"/>
    </row>
    <row r="879" ht="15.75" customHeight="1">
      <c r="C879" s="65"/>
      <c r="D879" s="65"/>
      <c r="E879" s="65"/>
      <c r="F879" s="65"/>
      <c r="H879" s="65"/>
      <c r="J879" s="65"/>
      <c r="K879" s="65"/>
      <c r="L879" s="65"/>
    </row>
    <row r="880" ht="15.75" customHeight="1">
      <c r="C880" s="65"/>
      <c r="D880" s="65"/>
      <c r="E880" s="65"/>
      <c r="F880" s="65"/>
      <c r="H880" s="65"/>
      <c r="J880" s="65"/>
      <c r="K880" s="65"/>
      <c r="L880" s="65"/>
    </row>
    <row r="881" ht="15.75" customHeight="1">
      <c r="C881" s="65"/>
      <c r="D881" s="65"/>
      <c r="E881" s="65"/>
      <c r="F881" s="65"/>
      <c r="H881" s="65"/>
      <c r="J881" s="65"/>
      <c r="K881" s="65"/>
      <c r="L881" s="65"/>
    </row>
    <row r="882" ht="15.75" customHeight="1">
      <c r="C882" s="65"/>
      <c r="D882" s="65"/>
      <c r="E882" s="65"/>
      <c r="F882" s="65"/>
      <c r="H882" s="65"/>
      <c r="J882" s="65"/>
      <c r="K882" s="65"/>
      <c r="L882" s="65"/>
    </row>
    <row r="883" ht="15.75" customHeight="1">
      <c r="C883" s="65"/>
      <c r="D883" s="65"/>
      <c r="E883" s="65"/>
      <c r="F883" s="65"/>
      <c r="H883" s="65"/>
      <c r="J883" s="65"/>
      <c r="K883" s="65"/>
      <c r="L883" s="65"/>
    </row>
    <row r="884" ht="15.75" customHeight="1">
      <c r="C884" s="65"/>
      <c r="D884" s="65"/>
      <c r="E884" s="65"/>
      <c r="F884" s="65"/>
      <c r="H884" s="65"/>
      <c r="J884" s="65"/>
      <c r="K884" s="65"/>
      <c r="L884" s="65"/>
    </row>
    <row r="885" ht="15.75" customHeight="1">
      <c r="C885" s="65"/>
      <c r="D885" s="65"/>
      <c r="E885" s="65"/>
      <c r="F885" s="65"/>
      <c r="H885" s="65"/>
      <c r="J885" s="65"/>
      <c r="K885" s="65"/>
      <c r="L885" s="65"/>
    </row>
    <row r="886" ht="15.75" customHeight="1">
      <c r="C886" s="65"/>
      <c r="D886" s="65"/>
      <c r="E886" s="65"/>
      <c r="F886" s="65"/>
      <c r="H886" s="65"/>
      <c r="J886" s="65"/>
      <c r="K886" s="65"/>
      <c r="L886" s="65"/>
    </row>
    <row r="887" ht="15.75" customHeight="1">
      <c r="C887" s="65"/>
      <c r="D887" s="65"/>
      <c r="E887" s="65"/>
      <c r="F887" s="65"/>
      <c r="H887" s="65"/>
      <c r="J887" s="65"/>
      <c r="K887" s="65"/>
      <c r="L887" s="65"/>
    </row>
    <row r="888" ht="15.75" customHeight="1">
      <c r="C888" s="65"/>
      <c r="D888" s="65"/>
      <c r="E888" s="65"/>
      <c r="F888" s="65"/>
      <c r="H888" s="65"/>
      <c r="J888" s="65"/>
      <c r="K888" s="65"/>
      <c r="L888" s="65"/>
    </row>
    <row r="889" ht="15.75" customHeight="1">
      <c r="C889" s="65"/>
      <c r="D889" s="65"/>
      <c r="E889" s="65"/>
      <c r="F889" s="65"/>
      <c r="H889" s="65"/>
      <c r="J889" s="65"/>
      <c r="K889" s="65"/>
      <c r="L889" s="65"/>
    </row>
    <row r="890" ht="15.75" customHeight="1">
      <c r="C890" s="65"/>
      <c r="D890" s="65"/>
      <c r="E890" s="65"/>
      <c r="F890" s="65"/>
      <c r="H890" s="65"/>
      <c r="J890" s="65"/>
      <c r="K890" s="65"/>
      <c r="L890" s="65"/>
    </row>
    <row r="891" ht="15.75" customHeight="1">
      <c r="C891" s="65"/>
      <c r="D891" s="65"/>
      <c r="E891" s="65"/>
      <c r="F891" s="65"/>
      <c r="H891" s="65"/>
      <c r="J891" s="65"/>
      <c r="K891" s="65"/>
      <c r="L891" s="65"/>
    </row>
    <row r="892" ht="15.75" customHeight="1">
      <c r="C892" s="65"/>
      <c r="D892" s="65"/>
      <c r="E892" s="65"/>
      <c r="F892" s="65"/>
      <c r="H892" s="65"/>
      <c r="J892" s="65"/>
      <c r="K892" s="65"/>
      <c r="L892" s="65"/>
    </row>
    <row r="893" ht="15.75" customHeight="1">
      <c r="C893" s="65"/>
      <c r="D893" s="65"/>
      <c r="E893" s="65"/>
      <c r="F893" s="65"/>
      <c r="H893" s="65"/>
      <c r="J893" s="65"/>
      <c r="K893" s="65"/>
      <c r="L893" s="65"/>
    </row>
    <row r="894" ht="15.75" customHeight="1">
      <c r="C894" s="65"/>
      <c r="D894" s="65"/>
      <c r="E894" s="65"/>
      <c r="F894" s="65"/>
      <c r="H894" s="65"/>
      <c r="J894" s="65"/>
      <c r="K894" s="65"/>
      <c r="L894" s="65"/>
    </row>
    <row r="895" ht="15.75" customHeight="1">
      <c r="C895" s="65"/>
      <c r="D895" s="65"/>
      <c r="E895" s="65"/>
      <c r="F895" s="65"/>
      <c r="H895" s="65"/>
      <c r="J895" s="65"/>
      <c r="K895" s="65"/>
      <c r="L895" s="65"/>
    </row>
    <row r="896" ht="15.75" customHeight="1">
      <c r="C896" s="65"/>
      <c r="D896" s="65"/>
      <c r="E896" s="65"/>
      <c r="F896" s="65"/>
      <c r="H896" s="65"/>
      <c r="J896" s="65"/>
      <c r="K896" s="65"/>
      <c r="L896" s="65"/>
    </row>
    <row r="897" ht="15.75" customHeight="1">
      <c r="C897" s="65"/>
      <c r="D897" s="65"/>
      <c r="E897" s="65"/>
      <c r="F897" s="65"/>
      <c r="H897" s="65"/>
      <c r="J897" s="65"/>
      <c r="K897" s="65"/>
      <c r="L897" s="65"/>
    </row>
    <row r="898" ht="15.75" customHeight="1">
      <c r="C898" s="65"/>
      <c r="D898" s="65"/>
      <c r="E898" s="65"/>
      <c r="F898" s="65"/>
      <c r="H898" s="65"/>
      <c r="J898" s="65"/>
      <c r="K898" s="65"/>
      <c r="L898" s="65"/>
    </row>
    <row r="899" ht="15.75" customHeight="1">
      <c r="C899" s="65"/>
      <c r="D899" s="65"/>
      <c r="E899" s="65"/>
      <c r="F899" s="65"/>
      <c r="H899" s="65"/>
      <c r="J899" s="65"/>
      <c r="K899" s="65"/>
      <c r="L899" s="65"/>
    </row>
    <row r="900" ht="15.75" customHeight="1">
      <c r="C900" s="65"/>
      <c r="D900" s="65"/>
      <c r="E900" s="65"/>
      <c r="F900" s="65"/>
      <c r="H900" s="65"/>
      <c r="J900" s="65"/>
      <c r="K900" s="65"/>
      <c r="L900" s="65"/>
    </row>
    <row r="901" ht="15.75" customHeight="1">
      <c r="C901" s="65"/>
      <c r="D901" s="65"/>
      <c r="E901" s="65"/>
      <c r="F901" s="65"/>
      <c r="H901" s="65"/>
      <c r="J901" s="65"/>
      <c r="K901" s="65"/>
      <c r="L901" s="65"/>
    </row>
    <row r="902" ht="15.75" customHeight="1">
      <c r="C902" s="65"/>
      <c r="D902" s="65"/>
      <c r="E902" s="65"/>
      <c r="F902" s="65"/>
      <c r="H902" s="65"/>
      <c r="J902" s="65"/>
      <c r="K902" s="65"/>
      <c r="L902" s="65"/>
    </row>
    <row r="903" ht="15.75" customHeight="1">
      <c r="C903" s="65"/>
      <c r="D903" s="65"/>
      <c r="E903" s="65"/>
      <c r="F903" s="65"/>
      <c r="H903" s="65"/>
      <c r="J903" s="65"/>
      <c r="K903" s="65"/>
      <c r="L903" s="65"/>
    </row>
    <row r="904" ht="15.75" customHeight="1">
      <c r="C904" s="65"/>
      <c r="D904" s="65"/>
      <c r="E904" s="65"/>
      <c r="F904" s="65"/>
      <c r="H904" s="65"/>
      <c r="J904" s="65"/>
      <c r="K904" s="65"/>
      <c r="L904" s="65"/>
    </row>
    <row r="905" ht="15.75" customHeight="1">
      <c r="C905" s="65"/>
      <c r="D905" s="65"/>
      <c r="E905" s="65"/>
      <c r="F905" s="65"/>
      <c r="H905" s="65"/>
      <c r="J905" s="65"/>
      <c r="K905" s="65"/>
      <c r="L905" s="65"/>
    </row>
    <row r="906" ht="15.75" customHeight="1">
      <c r="C906" s="65"/>
      <c r="D906" s="65"/>
      <c r="E906" s="65"/>
      <c r="F906" s="65"/>
      <c r="H906" s="65"/>
      <c r="J906" s="65"/>
      <c r="K906" s="65"/>
      <c r="L906" s="65"/>
    </row>
    <row r="907" ht="15.75" customHeight="1">
      <c r="C907" s="65"/>
      <c r="D907" s="65"/>
      <c r="E907" s="65"/>
      <c r="F907" s="65"/>
      <c r="H907" s="65"/>
      <c r="J907" s="65"/>
      <c r="K907" s="65"/>
      <c r="L907" s="65"/>
    </row>
    <row r="908" ht="15.75" customHeight="1">
      <c r="C908" s="65"/>
      <c r="D908" s="65"/>
      <c r="E908" s="65"/>
      <c r="F908" s="65"/>
      <c r="H908" s="65"/>
      <c r="J908" s="65"/>
      <c r="K908" s="65"/>
      <c r="L908" s="65"/>
    </row>
    <row r="909" ht="15.75" customHeight="1">
      <c r="C909" s="65"/>
      <c r="D909" s="65"/>
      <c r="E909" s="65"/>
      <c r="F909" s="65"/>
      <c r="H909" s="65"/>
      <c r="J909" s="65"/>
      <c r="K909" s="65"/>
      <c r="L909" s="65"/>
    </row>
    <row r="910" ht="15.75" customHeight="1">
      <c r="C910" s="65"/>
      <c r="D910" s="65"/>
      <c r="E910" s="65"/>
      <c r="F910" s="65"/>
      <c r="H910" s="65"/>
      <c r="J910" s="65"/>
      <c r="K910" s="65"/>
      <c r="L910" s="65"/>
    </row>
    <row r="911" ht="15.75" customHeight="1">
      <c r="C911" s="65"/>
      <c r="D911" s="65"/>
      <c r="E911" s="65"/>
      <c r="F911" s="65"/>
      <c r="H911" s="65"/>
      <c r="J911" s="65"/>
      <c r="K911" s="65"/>
      <c r="L911" s="65"/>
    </row>
    <row r="912" ht="15.75" customHeight="1">
      <c r="C912" s="65"/>
      <c r="D912" s="65"/>
      <c r="E912" s="65"/>
      <c r="F912" s="65"/>
      <c r="H912" s="65"/>
      <c r="J912" s="65"/>
      <c r="K912" s="65"/>
      <c r="L912" s="65"/>
    </row>
    <row r="913" ht="15.75" customHeight="1">
      <c r="C913" s="65"/>
      <c r="D913" s="65"/>
      <c r="E913" s="65"/>
      <c r="F913" s="65"/>
      <c r="H913" s="65"/>
      <c r="J913" s="65"/>
      <c r="K913" s="65"/>
      <c r="L913" s="65"/>
    </row>
    <row r="914" ht="15.75" customHeight="1">
      <c r="C914" s="65"/>
      <c r="D914" s="65"/>
      <c r="E914" s="65"/>
      <c r="F914" s="65"/>
      <c r="H914" s="65"/>
      <c r="J914" s="65"/>
      <c r="K914" s="65"/>
      <c r="L914" s="65"/>
    </row>
    <row r="915" ht="15.75" customHeight="1">
      <c r="C915" s="65"/>
      <c r="D915" s="65"/>
      <c r="E915" s="65"/>
      <c r="F915" s="65"/>
      <c r="H915" s="65"/>
      <c r="J915" s="65"/>
      <c r="K915" s="65"/>
      <c r="L915" s="65"/>
    </row>
    <row r="916" ht="15.75" customHeight="1">
      <c r="C916" s="65"/>
      <c r="D916" s="65"/>
      <c r="E916" s="65"/>
      <c r="F916" s="65"/>
      <c r="H916" s="65"/>
      <c r="J916" s="65"/>
      <c r="K916" s="65"/>
      <c r="L916" s="65"/>
    </row>
    <row r="917" ht="15.75" customHeight="1">
      <c r="C917" s="65"/>
      <c r="D917" s="65"/>
      <c r="E917" s="65"/>
      <c r="F917" s="65"/>
      <c r="H917" s="65"/>
      <c r="J917" s="65"/>
      <c r="K917" s="65"/>
      <c r="L917" s="65"/>
    </row>
    <row r="918" ht="15.75" customHeight="1">
      <c r="C918" s="65"/>
      <c r="D918" s="65"/>
      <c r="E918" s="65"/>
      <c r="F918" s="65"/>
      <c r="H918" s="65"/>
      <c r="J918" s="65"/>
      <c r="K918" s="65"/>
      <c r="L918" s="65"/>
    </row>
    <row r="919" ht="15.75" customHeight="1">
      <c r="C919" s="65"/>
      <c r="D919" s="65"/>
      <c r="E919" s="65"/>
      <c r="F919" s="65"/>
      <c r="H919" s="65"/>
      <c r="J919" s="65"/>
      <c r="K919" s="65"/>
      <c r="L919" s="65"/>
    </row>
    <row r="920" ht="15.75" customHeight="1">
      <c r="C920" s="65"/>
      <c r="D920" s="65"/>
      <c r="E920" s="65"/>
      <c r="F920" s="65"/>
      <c r="H920" s="65"/>
      <c r="J920" s="65"/>
      <c r="K920" s="65"/>
      <c r="L920" s="65"/>
    </row>
    <row r="921" ht="15.75" customHeight="1">
      <c r="C921" s="65"/>
      <c r="D921" s="65"/>
      <c r="E921" s="65"/>
      <c r="F921" s="65"/>
      <c r="H921" s="65"/>
      <c r="J921" s="65"/>
      <c r="K921" s="65"/>
      <c r="L921" s="65"/>
    </row>
    <row r="922" ht="15.75" customHeight="1">
      <c r="C922" s="65"/>
      <c r="D922" s="65"/>
      <c r="E922" s="65"/>
      <c r="F922" s="65"/>
      <c r="H922" s="65"/>
      <c r="J922" s="65"/>
      <c r="K922" s="65"/>
      <c r="L922" s="65"/>
    </row>
    <row r="923" ht="15.75" customHeight="1">
      <c r="C923" s="65"/>
      <c r="D923" s="65"/>
      <c r="E923" s="65"/>
      <c r="F923" s="65"/>
      <c r="H923" s="65"/>
      <c r="J923" s="65"/>
      <c r="K923" s="65"/>
      <c r="L923" s="65"/>
    </row>
    <row r="924" ht="15.75" customHeight="1">
      <c r="C924" s="65"/>
      <c r="D924" s="65"/>
      <c r="E924" s="65"/>
      <c r="F924" s="65"/>
      <c r="H924" s="65"/>
      <c r="J924" s="65"/>
      <c r="K924" s="65"/>
      <c r="L924" s="65"/>
    </row>
    <row r="925" ht="15.75" customHeight="1">
      <c r="C925" s="65"/>
      <c r="D925" s="65"/>
      <c r="E925" s="65"/>
      <c r="F925" s="65"/>
      <c r="H925" s="65"/>
      <c r="J925" s="65"/>
      <c r="K925" s="65"/>
      <c r="L925" s="65"/>
    </row>
    <row r="926" ht="15.75" customHeight="1">
      <c r="C926" s="65"/>
      <c r="D926" s="65"/>
      <c r="E926" s="65"/>
      <c r="F926" s="65"/>
      <c r="H926" s="65"/>
      <c r="J926" s="65"/>
      <c r="K926" s="65"/>
      <c r="L926" s="65"/>
    </row>
    <row r="927" ht="15.75" customHeight="1">
      <c r="C927" s="65"/>
      <c r="D927" s="65"/>
      <c r="E927" s="65"/>
      <c r="F927" s="65"/>
      <c r="H927" s="65"/>
      <c r="J927" s="65"/>
      <c r="K927" s="65"/>
      <c r="L927" s="65"/>
    </row>
    <row r="928" ht="15.75" customHeight="1">
      <c r="C928" s="65"/>
      <c r="D928" s="65"/>
      <c r="E928" s="65"/>
      <c r="F928" s="65"/>
      <c r="H928" s="65"/>
      <c r="J928" s="65"/>
      <c r="K928" s="65"/>
      <c r="L928" s="65"/>
    </row>
    <row r="929" ht="15.75" customHeight="1">
      <c r="C929" s="65"/>
      <c r="D929" s="65"/>
      <c r="E929" s="65"/>
      <c r="F929" s="65"/>
      <c r="H929" s="65"/>
      <c r="J929" s="65"/>
      <c r="K929" s="65"/>
      <c r="L929" s="65"/>
    </row>
    <row r="930" ht="15.75" customHeight="1">
      <c r="C930" s="65"/>
      <c r="D930" s="65"/>
      <c r="E930" s="65"/>
      <c r="F930" s="65"/>
      <c r="H930" s="65"/>
      <c r="J930" s="65"/>
      <c r="K930" s="65"/>
      <c r="L930" s="65"/>
    </row>
    <row r="931" ht="15.75" customHeight="1">
      <c r="C931" s="65"/>
      <c r="D931" s="65"/>
      <c r="E931" s="65"/>
      <c r="F931" s="65"/>
      <c r="H931" s="65"/>
      <c r="J931" s="65"/>
      <c r="K931" s="65"/>
      <c r="L931" s="65"/>
    </row>
    <row r="932" ht="15.75" customHeight="1">
      <c r="C932" s="65"/>
      <c r="D932" s="65"/>
      <c r="E932" s="65"/>
      <c r="F932" s="65"/>
      <c r="H932" s="65"/>
      <c r="J932" s="65"/>
      <c r="K932" s="65"/>
      <c r="L932" s="65"/>
    </row>
    <row r="933" ht="15.75" customHeight="1">
      <c r="C933" s="65"/>
      <c r="D933" s="65"/>
      <c r="E933" s="65"/>
      <c r="F933" s="65"/>
      <c r="H933" s="65"/>
      <c r="J933" s="65"/>
      <c r="K933" s="65"/>
      <c r="L933" s="65"/>
    </row>
    <row r="934" ht="15.75" customHeight="1">
      <c r="C934" s="65"/>
      <c r="D934" s="65"/>
      <c r="E934" s="65"/>
      <c r="F934" s="65"/>
      <c r="H934" s="65"/>
      <c r="J934" s="65"/>
      <c r="K934" s="65"/>
      <c r="L934" s="65"/>
    </row>
    <row r="935" ht="15.75" customHeight="1">
      <c r="C935" s="65"/>
      <c r="D935" s="65"/>
      <c r="E935" s="65"/>
      <c r="F935" s="65"/>
      <c r="H935" s="65"/>
      <c r="J935" s="65"/>
      <c r="K935" s="65"/>
      <c r="L935" s="65"/>
    </row>
    <row r="936" ht="15.75" customHeight="1">
      <c r="C936" s="65"/>
      <c r="D936" s="65"/>
      <c r="E936" s="65"/>
      <c r="F936" s="65"/>
      <c r="H936" s="65"/>
      <c r="J936" s="65"/>
      <c r="K936" s="65"/>
      <c r="L936" s="65"/>
    </row>
    <row r="937" ht="15.75" customHeight="1">
      <c r="C937" s="65"/>
      <c r="D937" s="65"/>
      <c r="E937" s="65"/>
      <c r="F937" s="65"/>
      <c r="H937" s="65"/>
      <c r="J937" s="65"/>
      <c r="K937" s="65"/>
      <c r="L937" s="65"/>
    </row>
    <row r="938" ht="15.75" customHeight="1">
      <c r="C938" s="65"/>
      <c r="D938" s="65"/>
      <c r="E938" s="65"/>
      <c r="F938" s="65"/>
      <c r="H938" s="65"/>
      <c r="J938" s="65"/>
      <c r="K938" s="65"/>
      <c r="L938" s="65"/>
    </row>
    <row r="939" ht="15.75" customHeight="1">
      <c r="C939" s="65"/>
      <c r="D939" s="65"/>
      <c r="E939" s="65"/>
      <c r="F939" s="65"/>
      <c r="H939" s="65"/>
      <c r="J939" s="65"/>
      <c r="K939" s="65"/>
      <c r="L939" s="65"/>
    </row>
    <row r="940" ht="15.75" customHeight="1">
      <c r="C940" s="65"/>
      <c r="D940" s="65"/>
      <c r="E940" s="65"/>
      <c r="F940" s="65"/>
      <c r="H940" s="65"/>
      <c r="J940" s="65"/>
      <c r="K940" s="65"/>
      <c r="L940" s="65"/>
    </row>
    <row r="941" ht="15.75" customHeight="1">
      <c r="C941" s="65"/>
      <c r="D941" s="65"/>
      <c r="E941" s="65"/>
      <c r="F941" s="65"/>
      <c r="H941" s="65"/>
      <c r="J941" s="65"/>
      <c r="K941" s="65"/>
      <c r="L941" s="65"/>
    </row>
    <row r="942" ht="15.75" customHeight="1">
      <c r="C942" s="65"/>
      <c r="D942" s="65"/>
      <c r="E942" s="65"/>
      <c r="F942" s="65"/>
      <c r="H942" s="65"/>
      <c r="J942" s="65"/>
      <c r="K942" s="65"/>
      <c r="L942" s="65"/>
    </row>
    <row r="943" ht="15.75" customHeight="1">
      <c r="C943" s="65"/>
      <c r="D943" s="65"/>
      <c r="E943" s="65"/>
      <c r="F943" s="65"/>
      <c r="H943" s="65"/>
      <c r="J943" s="65"/>
      <c r="K943" s="65"/>
      <c r="L943" s="65"/>
    </row>
    <row r="944" ht="15.75" customHeight="1">
      <c r="C944" s="65"/>
      <c r="D944" s="65"/>
      <c r="E944" s="65"/>
      <c r="F944" s="65"/>
      <c r="H944" s="65"/>
      <c r="J944" s="65"/>
      <c r="K944" s="65"/>
      <c r="L944" s="65"/>
    </row>
    <row r="945" ht="15.75" customHeight="1">
      <c r="C945" s="65"/>
      <c r="D945" s="65"/>
      <c r="E945" s="65"/>
      <c r="F945" s="65"/>
      <c r="H945" s="65"/>
      <c r="J945" s="65"/>
      <c r="K945" s="65"/>
      <c r="L945" s="65"/>
    </row>
    <row r="946" ht="15.75" customHeight="1">
      <c r="C946" s="65"/>
      <c r="D946" s="65"/>
      <c r="E946" s="65"/>
      <c r="F946" s="65"/>
      <c r="H946" s="65"/>
      <c r="J946" s="65"/>
      <c r="K946" s="65"/>
      <c r="L946" s="65"/>
    </row>
    <row r="947" ht="15.75" customHeight="1">
      <c r="C947" s="65"/>
      <c r="D947" s="65"/>
      <c r="E947" s="65"/>
      <c r="F947" s="65"/>
      <c r="H947" s="65"/>
      <c r="J947" s="65"/>
      <c r="K947" s="65"/>
      <c r="L947" s="65"/>
    </row>
    <row r="948" ht="15.75" customHeight="1">
      <c r="C948" s="65"/>
      <c r="D948" s="65"/>
      <c r="E948" s="65"/>
      <c r="F948" s="65"/>
      <c r="H948" s="65"/>
      <c r="J948" s="65"/>
      <c r="K948" s="65"/>
      <c r="L948" s="65"/>
    </row>
    <row r="949" ht="15.75" customHeight="1">
      <c r="C949" s="65"/>
      <c r="D949" s="65"/>
      <c r="E949" s="65"/>
      <c r="F949" s="65"/>
      <c r="H949" s="65"/>
      <c r="J949" s="65"/>
      <c r="K949" s="65"/>
      <c r="L949" s="65"/>
    </row>
    <row r="950" ht="15.75" customHeight="1">
      <c r="C950" s="65"/>
      <c r="D950" s="65"/>
      <c r="E950" s="65"/>
      <c r="F950" s="65"/>
      <c r="H950" s="65"/>
      <c r="J950" s="65"/>
      <c r="K950" s="65"/>
      <c r="L950" s="65"/>
    </row>
    <row r="951" ht="15.75" customHeight="1">
      <c r="C951" s="65"/>
      <c r="D951" s="65"/>
      <c r="E951" s="65"/>
      <c r="F951" s="65"/>
      <c r="H951" s="65"/>
      <c r="J951" s="65"/>
      <c r="K951" s="65"/>
      <c r="L951" s="65"/>
    </row>
    <row r="952" ht="15.75" customHeight="1">
      <c r="C952" s="65"/>
      <c r="D952" s="65"/>
      <c r="E952" s="65"/>
      <c r="F952" s="65"/>
      <c r="H952" s="65"/>
      <c r="J952" s="65"/>
      <c r="K952" s="65"/>
      <c r="L952" s="65"/>
    </row>
    <row r="953" ht="15.75" customHeight="1">
      <c r="C953" s="65"/>
      <c r="D953" s="65"/>
      <c r="E953" s="65"/>
      <c r="F953" s="65"/>
      <c r="H953" s="65"/>
      <c r="J953" s="65"/>
      <c r="K953" s="65"/>
      <c r="L953" s="65"/>
    </row>
    <row r="954" ht="15.75" customHeight="1">
      <c r="C954" s="65"/>
      <c r="D954" s="65"/>
      <c r="E954" s="65"/>
      <c r="F954" s="65"/>
      <c r="H954" s="65"/>
      <c r="J954" s="65"/>
      <c r="K954" s="65"/>
      <c r="L954" s="65"/>
    </row>
    <row r="955" ht="15.75" customHeight="1">
      <c r="C955" s="65"/>
      <c r="D955" s="65"/>
      <c r="E955" s="65"/>
      <c r="F955" s="65"/>
      <c r="H955" s="65"/>
      <c r="J955" s="65"/>
      <c r="K955" s="65"/>
      <c r="L955" s="65"/>
    </row>
    <row r="956" ht="15.75" customHeight="1">
      <c r="C956" s="65"/>
      <c r="D956" s="65"/>
      <c r="E956" s="65"/>
      <c r="F956" s="65"/>
      <c r="H956" s="65"/>
      <c r="J956" s="65"/>
      <c r="K956" s="65"/>
      <c r="L956" s="65"/>
    </row>
    <row r="957" ht="15.75" customHeight="1">
      <c r="C957" s="65"/>
      <c r="D957" s="65"/>
      <c r="E957" s="65"/>
      <c r="F957" s="65"/>
      <c r="H957" s="65"/>
      <c r="J957" s="65"/>
      <c r="K957" s="65"/>
      <c r="L957" s="65"/>
    </row>
    <row r="958" ht="15.75" customHeight="1">
      <c r="C958" s="65"/>
      <c r="D958" s="65"/>
      <c r="E958" s="65"/>
      <c r="F958" s="65"/>
      <c r="H958" s="65"/>
      <c r="J958" s="65"/>
      <c r="K958" s="65"/>
      <c r="L958" s="65"/>
    </row>
    <row r="959" ht="15.75" customHeight="1">
      <c r="C959" s="65"/>
      <c r="D959" s="65"/>
      <c r="E959" s="65"/>
      <c r="F959" s="65"/>
      <c r="H959" s="65"/>
      <c r="J959" s="65"/>
      <c r="K959" s="65"/>
      <c r="L959" s="65"/>
    </row>
    <row r="960" ht="15.75" customHeight="1">
      <c r="C960" s="65"/>
      <c r="D960" s="65"/>
      <c r="E960" s="65"/>
      <c r="F960" s="65"/>
      <c r="H960" s="65"/>
      <c r="J960" s="65"/>
      <c r="K960" s="65"/>
      <c r="L960" s="65"/>
    </row>
    <row r="961" ht="15.75" customHeight="1">
      <c r="C961" s="65"/>
      <c r="D961" s="65"/>
      <c r="E961" s="65"/>
      <c r="F961" s="65"/>
      <c r="H961" s="65"/>
      <c r="J961" s="65"/>
      <c r="K961" s="65"/>
      <c r="L961" s="65"/>
    </row>
    <row r="962" ht="15.75" customHeight="1">
      <c r="C962" s="65"/>
      <c r="D962" s="65"/>
      <c r="E962" s="65"/>
      <c r="F962" s="65"/>
      <c r="H962" s="65"/>
      <c r="J962" s="65"/>
      <c r="K962" s="65"/>
      <c r="L962" s="65"/>
    </row>
    <row r="963" ht="15.75" customHeight="1">
      <c r="C963" s="65"/>
      <c r="D963" s="65"/>
      <c r="E963" s="65"/>
      <c r="F963" s="65"/>
      <c r="H963" s="65"/>
      <c r="J963" s="65"/>
      <c r="K963" s="65"/>
      <c r="L963" s="65"/>
    </row>
    <row r="964" ht="15.75" customHeight="1">
      <c r="C964" s="65"/>
      <c r="D964" s="65"/>
      <c r="E964" s="65"/>
      <c r="F964" s="65"/>
      <c r="H964" s="65"/>
      <c r="J964" s="65"/>
      <c r="K964" s="65"/>
      <c r="L964" s="65"/>
    </row>
    <row r="965" ht="15.75" customHeight="1">
      <c r="C965" s="65"/>
      <c r="D965" s="65"/>
      <c r="E965" s="65"/>
      <c r="F965" s="65"/>
      <c r="H965" s="65"/>
      <c r="J965" s="65"/>
      <c r="K965" s="65"/>
      <c r="L965" s="65"/>
    </row>
    <row r="966" ht="15.75" customHeight="1">
      <c r="C966" s="65"/>
      <c r="D966" s="65"/>
      <c r="E966" s="65"/>
      <c r="F966" s="65"/>
      <c r="H966" s="65"/>
      <c r="J966" s="65"/>
      <c r="K966" s="65"/>
      <c r="L966" s="65"/>
    </row>
    <row r="967" ht="15.75" customHeight="1">
      <c r="C967" s="65"/>
      <c r="D967" s="65"/>
      <c r="E967" s="65"/>
      <c r="F967" s="65"/>
      <c r="H967" s="65"/>
      <c r="J967" s="65"/>
      <c r="K967" s="65"/>
      <c r="L967" s="65"/>
    </row>
    <row r="968" ht="15.75" customHeight="1">
      <c r="C968" s="65"/>
      <c r="D968" s="65"/>
      <c r="E968" s="65"/>
      <c r="F968" s="65"/>
      <c r="H968" s="65"/>
      <c r="J968" s="65"/>
      <c r="K968" s="65"/>
      <c r="L968" s="65"/>
    </row>
    <row r="969" ht="15.75" customHeight="1">
      <c r="C969" s="65"/>
      <c r="D969" s="65"/>
      <c r="E969" s="65"/>
      <c r="F969" s="65"/>
      <c r="H969" s="65"/>
      <c r="J969" s="65"/>
      <c r="K969" s="65"/>
      <c r="L969" s="65"/>
    </row>
    <row r="970" ht="15.75" customHeight="1">
      <c r="C970" s="65"/>
      <c r="D970" s="65"/>
      <c r="E970" s="65"/>
      <c r="F970" s="65"/>
      <c r="H970" s="65"/>
      <c r="J970" s="65"/>
      <c r="K970" s="65"/>
      <c r="L970" s="65"/>
    </row>
    <row r="971" ht="15.75" customHeight="1">
      <c r="C971" s="65"/>
      <c r="D971" s="65"/>
      <c r="E971" s="65"/>
      <c r="F971" s="65"/>
      <c r="H971" s="65"/>
      <c r="J971" s="65"/>
      <c r="K971" s="65"/>
      <c r="L971" s="65"/>
    </row>
    <row r="972" ht="15.75" customHeight="1">
      <c r="C972" s="65"/>
      <c r="D972" s="65"/>
      <c r="E972" s="65"/>
      <c r="F972" s="65"/>
      <c r="H972" s="65"/>
      <c r="J972" s="65"/>
      <c r="K972" s="65"/>
      <c r="L972" s="65"/>
    </row>
    <row r="973" ht="15.75" customHeight="1">
      <c r="C973" s="65"/>
      <c r="D973" s="65"/>
      <c r="E973" s="65"/>
      <c r="F973" s="65"/>
      <c r="H973" s="65"/>
      <c r="J973" s="65"/>
      <c r="K973" s="65"/>
      <c r="L973" s="65"/>
    </row>
    <row r="974" ht="15.75" customHeight="1">
      <c r="C974" s="65"/>
      <c r="D974" s="65"/>
      <c r="E974" s="65"/>
      <c r="F974" s="65"/>
      <c r="H974" s="65"/>
      <c r="J974" s="65"/>
      <c r="K974" s="65"/>
      <c r="L974" s="65"/>
    </row>
    <row r="975" ht="15.75" customHeight="1">
      <c r="C975" s="65"/>
      <c r="D975" s="65"/>
      <c r="E975" s="65"/>
      <c r="F975" s="65"/>
      <c r="H975" s="65"/>
      <c r="J975" s="65"/>
      <c r="K975" s="65"/>
      <c r="L975" s="65"/>
    </row>
    <row r="976" ht="15.75" customHeight="1">
      <c r="C976" s="65"/>
      <c r="D976" s="65"/>
      <c r="E976" s="65"/>
      <c r="F976" s="65"/>
      <c r="H976" s="65"/>
      <c r="J976" s="65"/>
      <c r="K976" s="65"/>
      <c r="L976" s="65"/>
    </row>
    <row r="977" ht="15.75" customHeight="1">
      <c r="C977" s="65"/>
      <c r="D977" s="65"/>
      <c r="E977" s="65"/>
      <c r="F977" s="65"/>
      <c r="H977" s="65"/>
      <c r="J977" s="65"/>
      <c r="K977" s="65"/>
      <c r="L977" s="65"/>
    </row>
    <row r="978" ht="15.75" customHeight="1">
      <c r="C978" s="65"/>
      <c r="D978" s="65"/>
      <c r="E978" s="65"/>
      <c r="F978" s="65"/>
      <c r="H978" s="65"/>
      <c r="J978" s="65"/>
      <c r="K978" s="65"/>
      <c r="L978" s="65"/>
    </row>
    <row r="979" ht="15.75" customHeight="1">
      <c r="C979" s="65"/>
      <c r="D979" s="65"/>
      <c r="E979" s="65"/>
      <c r="F979" s="65"/>
      <c r="H979" s="65"/>
      <c r="J979" s="65"/>
      <c r="K979" s="65"/>
      <c r="L979" s="65"/>
    </row>
    <row r="980" ht="15.75" customHeight="1">
      <c r="C980" s="65"/>
      <c r="D980" s="65"/>
      <c r="E980" s="65"/>
      <c r="F980" s="65"/>
      <c r="H980" s="65"/>
      <c r="J980" s="65"/>
      <c r="K980" s="65"/>
      <c r="L980" s="65"/>
    </row>
    <row r="981" ht="15.75" customHeight="1">
      <c r="C981" s="65"/>
      <c r="D981" s="65"/>
      <c r="E981" s="65"/>
      <c r="F981" s="65"/>
      <c r="H981" s="65"/>
      <c r="J981" s="65"/>
      <c r="K981" s="65"/>
      <c r="L981" s="65"/>
    </row>
    <row r="982" ht="15.75" customHeight="1">
      <c r="C982" s="65"/>
      <c r="D982" s="65"/>
      <c r="E982" s="65"/>
      <c r="F982" s="65"/>
      <c r="H982" s="65"/>
      <c r="J982" s="65"/>
      <c r="K982" s="65"/>
      <c r="L982" s="65"/>
    </row>
    <row r="983" ht="15.75" customHeight="1">
      <c r="C983" s="65"/>
      <c r="D983" s="65"/>
      <c r="E983" s="65"/>
      <c r="F983" s="65"/>
      <c r="H983" s="65"/>
      <c r="J983" s="65"/>
      <c r="K983" s="65"/>
      <c r="L983" s="65"/>
    </row>
    <row r="984" ht="15.75" customHeight="1">
      <c r="C984" s="65"/>
      <c r="D984" s="65"/>
      <c r="E984" s="65"/>
      <c r="F984" s="65"/>
      <c r="H984" s="65"/>
      <c r="J984" s="65"/>
      <c r="K984" s="65"/>
      <c r="L984" s="65"/>
    </row>
    <row r="985" ht="15.75" customHeight="1">
      <c r="C985" s="65"/>
      <c r="D985" s="65"/>
      <c r="E985" s="65"/>
      <c r="F985" s="65"/>
      <c r="H985" s="65"/>
      <c r="J985" s="65"/>
      <c r="K985" s="65"/>
      <c r="L985" s="65"/>
    </row>
    <row r="986" ht="15.75" customHeight="1">
      <c r="C986" s="65"/>
      <c r="D986" s="65"/>
      <c r="E986" s="65"/>
      <c r="F986" s="65"/>
      <c r="H986" s="65"/>
      <c r="J986" s="65"/>
      <c r="K986" s="65"/>
      <c r="L986" s="65"/>
    </row>
    <row r="987" ht="15.75" customHeight="1">
      <c r="C987" s="65"/>
      <c r="D987" s="65"/>
      <c r="E987" s="65"/>
      <c r="F987" s="65"/>
      <c r="H987" s="65"/>
      <c r="J987" s="65"/>
      <c r="K987" s="65"/>
      <c r="L987" s="65"/>
    </row>
    <row r="988" ht="15.75" customHeight="1">
      <c r="C988" s="65"/>
      <c r="D988" s="65"/>
      <c r="E988" s="65"/>
      <c r="F988" s="65"/>
      <c r="H988" s="65"/>
      <c r="J988" s="65"/>
      <c r="K988" s="65"/>
      <c r="L988" s="65"/>
    </row>
    <row r="989" ht="15.75" customHeight="1">
      <c r="C989" s="65"/>
      <c r="D989" s="65"/>
      <c r="E989" s="65"/>
      <c r="F989" s="65"/>
      <c r="H989" s="65"/>
      <c r="J989" s="65"/>
      <c r="K989" s="65"/>
      <c r="L989" s="65"/>
    </row>
    <row r="990" ht="15.75" customHeight="1">
      <c r="C990" s="65"/>
      <c r="D990" s="65"/>
      <c r="E990" s="65"/>
      <c r="F990" s="65"/>
      <c r="H990" s="65"/>
      <c r="J990" s="65"/>
      <c r="K990" s="65"/>
      <c r="L990" s="65"/>
    </row>
    <row r="991" ht="15.75" customHeight="1">
      <c r="C991" s="65"/>
      <c r="D991" s="65"/>
      <c r="E991" s="65"/>
      <c r="F991" s="65"/>
      <c r="H991" s="65"/>
      <c r="J991" s="65"/>
      <c r="K991" s="65"/>
      <c r="L991" s="65"/>
    </row>
    <row r="992" ht="15.75" customHeight="1">
      <c r="C992" s="65"/>
      <c r="D992" s="65"/>
      <c r="E992" s="65"/>
      <c r="F992" s="65"/>
      <c r="H992" s="65"/>
      <c r="J992" s="65"/>
      <c r="K992" s="65"/>
      <c r="L992" s="65"/>
    </row>
    <row r="993" ht="15.75" customHeight="1">
      <c r="C993" s="65"/>
      <c r="D993" s="65"/>
      <c r="E993" s="65"/>
      <c r="F993" s="65"/>
      <c r="H993" s="65"/>
      <c r="J993" s="65"/>
      <c r="K993" s="65"/>
      <c r="L993" s="65"/>
    </row>
    <row r="994" ht="15.75" customHeight="1">
      <c r="C994" s="65"/>
      <c r="D994" s="65"/>
      <c r="E994" s="65"/>
      <c r="F994" s="65"/>
      <c r="H994" s="65"/>
      <c r="J994" s="65"/>
      <c r="K994" s="65"/>
      <c r="L994" s="65"/>
    </row>
    <row r="995" ht="15.75" customHeight="1">
      <c r="C995" s="65"/>
      <c r="D995" s="65"/>
      <c r="E995" s="65"/>
      <c r="F995" s="65"/>
      <c r="H995" s="65"/>
      <c r="J995" s="65"/>
      <c r="K995" s="65"/>
      <c r="L995" s="65"/>
    </row>
    <row r="996" ht="15.75" customHeight="1">
      <c r="C996" s="65"/>
      <c r="D996" s="65"/>
      <c r="E996" s="65"/>
      <c r="F996" s="65"/>
      <c r="H996" s="65"/>
      <c r="J996" s="65"/>
      <c r="K996" s="65"/>
      <c r="L996" s="65"/>
    </row>
    <row r="997" ht="15.75" customHeight="1">
      <c r="C997" s="65"/>
      <c r="D997" s="65"/>
      <c r="E997" s="65"/>
      <c r="F997" s="65"/>
      <c r="H997" s="65"/>
      <c r="J997" s="65"/>
      <c r="K997" s="65"/>
      <c r="L997" s="65"/>
    </row>
    <row r="998" ht="15.75" customHeight="1">
      <c r="C998" s="65"/>
      <c r="D998" s="65"/>
      <c r="E998" s="65"/>
      <c r="F998" s="65"/>
      <c r="H998" s="65"/>
      <c r="J998" s="65"/>
      <c r="K998" s="65"/>
      <c r="L998" s="65"/>
    </row>
    <row r="999" ht="15.75" customHeight="1">
      <c r="C999" s="65"/>
      <c r="D999" s="65"/>
      <c r="E999" s="65"/>
      <c r="F999" s="65"/>
      <c r="H999" s="65"/>
      <c r="J999" s="65"/>
      <c r="K999" s="65"/>
      <c r="L999" s="65"/>
    </row>
    <row r="1000" ht="15.75" customHeight="1">
      <c r="C1000" s="65"/>
      <c r="D1000" s="65"/>
      <c r="E1000" s="65"/>
      <c r="F1000" s="65"/>
      <c r="H1000" s="65"/>
      <c r="J1000" s="65"/>
      <c r="K1000" s="65"/>
      <c r="L1000" s="65"/>
    </row>
  </sheetData>
  <autoFilter ref="$A$1:$M$11"/>
  <dataValidations>
    <dataValidation type="list" allowBlank="1" sqref="K2:K1000">
      <formula1>"SCRUM-7,SCRUM-43,SCRUM-42,SCRUM-354,SCRUM-355,SCRUM-356,SCRUM-353,SCRUM-357,SCRUM-358,SCRUM-44"</formula1>
    </dataValidation>
    <dataValidation type="list" allowBlank="1" sqref="L2:L1000">
      <formula1>'_Lists'!$A$2:$A$43</formula1>
    </dataValidation>
    <dataValidation type="date" operator="greaterThanOrEqual" allowBlank="1" showInputMessage="1" prompt="Due Date - Enter a date (YYYY-MM-DD)" sqref="H2:H1000">
      <formula1>2020-1-1</formula1>
    </dataValidation>
    <dataValidation type="list" allowBlank="1" sqref="F2:F1000">
      <formula1>"Amy Tripp,Napadech,Nattapat Suwansipaisan,Nutgritta Prasomthongsuk,Thiraphat Panthong"</formula1>
    </dataValidation>
    <dataValidation type="list" allowBlank="1" sqref="D2:D1000">
      <formula1>"To Do,In Progress,Done,Closed,Resolved"</formula1>
    </dataValidation>
    <dataValidation type="list" allowBlank="1" sqref="E2:E1000">
      <formula1>"Highest,High,Medium,Low,Lowest"</formula1>
    </dataValidation>
    <dataValidation type="list" allowBlank="1" sqref="J2:J1000">
      <formula1>"SCRUM Sprint 1,SCRUM Sprint 2,SCRUM Sprint 3,SCRUM Sprint 4"</formula1>
    </dataValidation>
    <dataValidation type="list" allowBlank="1" sqref="C2:C1000">
      <formula1>"Epic,Task,Test,Subtask"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2.0"/>
    <col customWidth="1" min="2" max="2" width="45.0"/>
    <col customWidth="1" min="3" max="3" width="13.0"/>
    <col customWidth="1" min="4" max="4" width="9.0"/>
    <col customWidth="1" min="5" max="5" width="11.0"/>
    <col customWidth="1" min="6" max="6" width="13.86"/>
    <col customWidth="1" min="7" max="7" width="21.0"/>
    <col customWidth="1" min="8" max="9" width="13.0"/>
    <col customWidth="1" min="10" max="10" width="15.0"/>
    <col customWidth="1" min="11" max="11" width="17.0"/>
    <col customWidth="1" min="12" max="12" width="16.43"/>
    <col customWidth="1" min="13" max="13" width="17.0"/>
  </cols>
  <sheetData>
    <row r="1" ht="30.0" customHeight="1">
      <c r="A1" s="17" t="s">
        <v>52</v>
      </c>
      <c r="B1" s="17" t="s">
        <v>53</v>
      </c>
      <c r="C1" s="17" t="s">
        <v>54</v>
      </c>
      <c r="D1" s="17" t="s">
        <v>38</v>
      </c>
      <c r="E1" s="17" t="s">
        <v>55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37</v>
      </c>
      <c r="K1" s="17" t="s">
        <v>60</v>
      </c>
      <c r="L1" s="17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4" t="s">
        <v>34</v>
      </c>
      <c r="B2" s="44" t="s">
        <v>35</v>
      </c>
      <c r="C2" s="45" t="s">
        <v>62</v>
      </c>
      <c r="D2" s="27" t="s">
        <v>235</v>
      </c>
      <c r="E2" s="51" t="s">
        <v>69</v>
      </c>
      <c r="F2" s="47"/>
      <c r="G2" s="47" t="s">
        <v>64</v>
      </c>
      <c r="H2" s="48" t="s">
        <v>601</v>
      </c>
      <c r="I2" s="47"/>
      <c r="J2" s="47"/>
      <c r="K2" s="47"/>
      <c r="L2" s="4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 outlineLevel="1">
      <c r="A3" s="49" t="s">
        <v>602</v>
      </c>
      <c r="B3" s="49" t="s">
        <v>603</v>
      </c>
      <c r="C3" s="50" t="s">
        <v>68</v>
      </c>
      <c r="D3" s="27" t="s">
        <v>235</v>
      </c>
      <c r="E3" s="51" t="s">
        <v>69</v>
      </c>
      <c r="F3" s="52" t="s">
        <v>156</v>
      </c>
      <c r="G3" s="52" t="s">
        <v>64</v>
      </c>
      <c r="H3" s="53" t="s">
        <v>604</v>
      </c>
      <c r="I3" s="52"/>
      <c r="J3" s="52" t="s">
        <v>42</v>
      </c>
      <c r="K3" s="52" t="s">
        <v>34</v>
      </c>
      <c r="L3" s="52" t="s">
        <v>35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customHeight="1" outlineLevel="1">
      <c r="A4" s="49" t="s">
        <v>605</v>
      </c>
      <c r="B4" s="49" t="s">
        <v>468</v>
      </c>
      <c r="C4" s="50" t="s">
        <v>68</v>
      </c>
      <c r="D4" s="27" t="s">
        <v>235</v>
      </c>
      <c r="E4" s="51" t="s">
        <v>69</v>
      </c>
      <c r="F4" s="52" t="s">
        <v>156</v>
      </c>
      <c r="G4" s="52" t="s">
        <v>64</v>
      </c>
      <c r="H4" s="53" t="s">
        <v>606</v>
      </c>
      <c r="I4" s="52"/>
      <c r="J4" s="52" t="s">
        <v>42</v>
      </c>
      <c r="K4" s="52" t="s">
        <v>34</v>
      </c>
      <c r="L4" s="52" t="s">
        <v>35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 outlineLevel="1">
      <c r="A5" s="49" t="s">
        <v>607</v>
      </c>
      <c r="B5" s="49" t="s">
        <v>608</v>
      </c>
      <c r="C5" s="50" t="s">
        <v>68</v>
      </c>
      <c r="D5" s="27" t="s">
        <v>235</v>
      </c>
      <c r="E5" s="51" t="s">
        <v>69</v>
      </c>
      <c r="F5" s="52" t="s">
        <v>156</v>
      </c>
      <c r="G5" s="52" t="s">
        <v>64</v>
      </c>
      <c r="H5" s="53" t="s">
        <v>609</v>
      </c>
      <c r="I5" s="52"/>
      <c r="J5" s="52" t="s">
        <v>42</v>
      </c>
      <c r="K5" s="52" t="s">
        <v>34</v>
      </c>
      <c r="L5" s="52" t="s">
        <v>35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customHeight="1" outlineLevel="1">
      <c r="A6" s="49" t="s">
        <v>610</v>
      </c>
      <c r="B6" s="49" t="s">
        <v>611</v>
      </c>
      <c r="C6" s="50" t="s">
        <v>68</v>
      </c>
      <c r="D6" s="27" t="s">
        <v>235</v>
      </c>
      <c r="E6" s="51" t="s">
        <v>69</v>
      </c>
      <c r="F6" s="52" t="s">
        <v>156</v>
      </c>
      <c r="G6" s="52" t="s">
        <v>64</v>
      </c>
      <c r="H6" s="53" t="s">
        <v>601</v>
      </c>
      <c r="I6" s="52"/>
      <c r="J6" s="52" t="s">
        <v>42</v>
      </c>
      <c r="K6" s="52" t="s">
        <v>34</v>
      </c>
      <c r="L6" s="52" t="s">
        <v>35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0" customHeight="1">
      <c r="A7" s="4"/>
      <c r="B7" s="4"/>
      <c r="C7" s="64"/>
      <c r="D7" s="64"/>
      <c r="E7" s="64"/>
      <c r="F7" s="64"/>
      <c r="G7" s="64"/>
      <c r="H7" s="64"/>
      <c r="I7" s="64"/>
      <c r="J7" s="64"/>
      <c r="K7" s="64"/>
      <c r="L7" s="6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0" customHeight="1">
      <c r="A8" s="4"/>
      <c r="B8" s="4"/>
      <c r="C8" s="64"/>
      <c r="D8" s="64"/>
      <c r="E8" s="64"/>
      <c r="F8" s="64"/>
      <c r="G8" s="64"/>
      <c r="H8" s="64"/>
      <c r="I8" s="64"/>
      <c r="J8" s="64"/>
      <c r="K8" s="64"/>
      <c r="L8" s="6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0" customHeight="1">
      <c r="A9" s="4"/>
      <c r="B9" s="4"/>
      <c r="C9" s="64"/>
      <c r="D9" s="64"/>
      <c r="E9" s="64"/>
      <c r="F9" s="64"/>
      <c r="G9" s="64"/>
      <c r="H9" s="64"/>
      <c r="I9" s="64"/>
      <c r="J9" s="64"/>
      <c r="K9" s="64"/>
      <c r="L9" s="6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0" customHeight="1">
      <c r="A10" s="4"/>
      <c r="B10" s="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0" customHeight="1">
      <c r="A11" s="4"/>
      <c r="B11" s="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0" customHeight="1">
      <c r="A12" s="4"/>
      <c r="B12" s="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0" customHeight="1">
      <c r="A13" s="4"/>
      <c r="B13" s="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0" customHeight="1">
      <c r="A14" s="4"/>
      <c r="B14" s="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0" customHeight="1">
      <c r="A15" s="4"/>
      <c r="B15" s="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0" customHeight="1">
      <c r="A16" s="4"/>
      <c r="B16" s="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4"/>
      <c r="B17" s="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0" customHeight="1">
      <c r="A18" s="4"/>
      <c r="B18" s="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0" customHeight="1">
      <c r="A19" s="4"/>
      <c r="B19" s="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0" customHeight="1">
      <c r="A20" s="4"/>
      <c r="B20" s="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C221" s="65"/>
      <c r="D221" s="65"/>
      <c r="E221" s="65"/>
      <c r="F221" s="65"/>
      <c r="H221" s="65"/>
      <c r="J221" s="65"/>
      <c r="K221" s="65"/>
      <c r="L221" s="65"/>
    </row>
    <row r="222" ht="15.75" customHeight="1">
      <c r="C222" s="65"/>
      <c r="D222" s="65"/>
      <c r="E222" s="65"/>
      <c r="F222" s="65"/>
      <c r="H222" s="65"/>
      <c r="J222" s="65"/>
      <c r="K222" s="65"/>
      <c r="L222" s="65"/>
    </row>
    <row r="223" ht="15.75" customHeight="1">
      <c r="C223" s="65"/>
      <c r="D223" s="65"/>
      <c r="E223" s="65"/>
      <c r="F223" s="65"/>
      <c r="H223" s="65"/>
      <c r="J223" s="65"/>
      <c r="K223" s="65"/>
      <c r="L223" s="65"/>
    </row>
    <row r="224" ht="15.75" customHeight="1">
      <c r="C224" s="65"/>
      <c r="D224" s="65"/>
      <c r="E224" s="65"/>
      <c r="F224" s="65"/>
      <c r="H224" s="65"/>
      <c r="J224" s="65"/>
      <c r="K224" s="65"/>
      <c r="L224" s="65"/>
    </row>
    <row r="225" ht="15.75" customHeight="1">
      <c r="C225" s="65"/>
      <c r="D225" s="65"/>
      <c r="E225" s="65"/>
      <c r="F225" s="65"/>
      <c r="H225" s="65"/>
      <c r="J225" s="65"/>
      <c r="K225" s="65"/>
      <c r="L225" s="65"/>
    </row>
    <row r="226" ht="15.75" customHeight="1">
      <c r="C226" s="65"/>
      <c r="D226" s="65"/>
      <c r="E226" s="65"/>
      <c r="F226" s="65"/>
      <c r="H226" s="65"/>
      <c r="J226" s="65"/>
      <c r="K226" s="65"/>
      <c r="L226" s="65"/>
    </row>
    <row r="227" ht="15.75" customHeight="1">
      <c r="C227" s="65"/>
      <c r="D227" s="65"/>
      <c r="E227" s="65"/>
      <c r="F227" s="65"/>
      <c r="H227" s="65"/>
      <c r="J227" s="65"/>
      <c r="K227" s="65"/>
      <c r="L227" s="65"/>
    </row>
    <row r="228" ht="15.75" customHeight="1">
      <c r="C228" s="65"/>
      <c r="D228" s="65"/>
      <c r="E228" s="65"/>
      <c r="F228" s="65"/>
      <c r="H228" s="65"/>
      <c r="J228" s="65"/>
      <c r="K228" s="65"/>
      <c r="L228" s="65"/>
    </row>
    <row r="229" ht="15.75" customHeight="1">
      <c r="C229" s="65"/>
      <c r="D229" s="65"/>
      <c r="E229" s="65"/>
      <c r="F229" s="65"/>
      <c r="H229" s="65"/>
      <c r="J229" s="65"/>
      <c r="K229" s="65"/>
      <c r="L229" s="65"/>
    </row>
    <row r="230" ht="15.75" customHeight="1">
      <c r="C230" s="65"/>
      <c r="D230" s="65"/>
      <c r="E230" s="65"/>
      <c r="F230" s="65"/>
      <c r="H230" s="65"/>
      <c r="J230" s="65"/>
      <c r="K230" s="65"/>
      <c r="L230" s="65"/>
    </row>
    <row r="231" ht="15.75" customHeight="1">
      <c r="C231" s="65"/>
      <c r="D231" s="65"/>
      <c r="E231" s="65"/>
      <c r="F231" s="65"/>
      <c r="H231" s="65"/>
      <c r="J231" s="65"/>
      <c r="K231" s="65"/>
      <c r="L231" s="65"/>
    </row>
    <row r="232" ht="15.75" customHeight="1">
      <c r="C232" s="65"/>
      <c r="D232" s="65"/>
      <c r="E232" s="65"/>
      <c r="F232" s="65"/>
      <c r="H232" s="65"/>
      <c r="J232" s="65"/>
      <c r="K232" s="65"/>
      <c r="L232" s="65"/>
    </row>
    <row r="233" ht="15.75" customHeight="1">
      <c r="C233" s="65"/>
      <c r="D233" s="65"/>
      <c r="E233" s="65"/>
      <c r="F233" s="65"/>
      <c r="H233" s="65"/>
      <c r="J233" s="65"/>
      <c r="K233" s="65"/>
      <c r="L233" s="65"/>
    </row>
    <row r="234" ht="15.75" customHeight="1">
      <c r="C234" s="65"/>
      <c r="D234" s="65"/>
      <c r="E234" s="65"/>
      <c r="F234" s="65"/>
      <c r="H234" s="65"/>
      <c r="J234" s="65"/>
      <c r="K234" s="65"/>
      <c r="L234" s="65"/>
    </row>
    <row r="235" ht="15.75" customHeight="1">
      <c r="C235" s="65"/>
      <c r="D235" s="65"/>
      <c r="E235" s="65"/>
      <c r="F235" s="65"/>
      <c r="H235" s="65"/>
      <c r="J235" s="65"/>
      <c r="K235" s="65"/>
      <c r="L235" s="65"/>
    </row>
    <row r="236" ht="15.75" customHeight="1">
      <c r="C236" s="65"/>
      <c r="D236" s="65"/>
      <c r="E236" s="65"/>
      <c r="F236" s="65"/>
      <c r="H236" s="65"/>
      <c r="J236" s="65"/>
      <c r="K236" s="65"/>
      <c r="L236" s="65"/>
    </row>
    <row r="237" ht="15.75" customHeight="1">
      <c r="C237" s="65"/>
      <c r="D237" s="65"/>
      <c r="E237" s="65"/>
      <c r="F237" s="65"/>
      <c r="H237" s="65"/>
      <c r="J237" s="65"/>
      <c r="K237" s="65"/>
      <c r="L237" s="65"/>
    </row>
    <row r="238" ht="15.75" customHeight="1">
      <c r="C238" s="65"/>
      <c r="D238" s="65"/>
      <c r="E238" s="65"/>
      <c r="F238" s="65"/>
      <c r="H238" s="65"/>
      <c r="J238" s="65"/>
      <c r="K238" s="65"/>
      <c r="L238" s="65"/>
    </row>
    <row r="239" ht="15.75" customHeight="1">
      <c r="C239" s="65"/>
      <c r="D239" s="65"/>
      <c r="E239" s="65"/>
      <c r="F239" s="65"/>
      <c r="H239" s="65"/>
      <c r="J239" s="65"/>
      <c r="K239" s="65"/>
      <c r="L239" s="65"/>
    </row>
    <row r="240" ht="15.75" customHeight="1">
      <c r="C240" s="65"/>
      <c r="D240" s="65"/>
      <c r="E240" s="65"/>
      <c r="F240" s="65"/>
      <c r="H240" s="65"/>
      <c r="J240" s="65"/>
      <c r="K240" s="65"/>
      <c r="L240" s="65"/>
    </row>
    <row r="241" ht="15.75" customHeight="1">
      <c r="C241" s="65"/>
      <c r="D241" s="65"/>
      <c r="E241" s="65"/>
      <c r="F241" s="65"/>
      <c r="H241" s="65"/>
      <c r="J241" s="65"/>
      <c r="K241" s="65"/>
      <c r="L241" s="65"/>
    </row>
    <row r="242" ht="15.75" customHeight="1">
      <c r="C242" s="65"/>
      <c r="D242" s="65"/>
      <c r="E242" s="65"/>
      <c r="F242" s="65"/>
      <c r="H242" s="65"/>
      <c r="J242" s="65"/>
      <c r="K242" s="65"/>
      <c r="L242" s="65"/>
    </row>
    <row r="243" ht="15.75" customHeight="1">
      <c r="C243" s="65"/>
      <c r="D243" s="65"/>
      <c r="E243" s="65"/>
      <c r="F243" s="65"/>
      <c r="H243" s="65"/>
      <c r="J243" s="65"/>
      <c r="K243" s="65"/>
      <c r="L243" s="65"/>
    </row>
    <row r="244" ht="15.75" customHeight="1">
      <c r="C244" s="65"/>
      <c r="D244" s="65"/>
      <c r="E244" s="65"/>
      <c r="F244" s="65"/>
      <c r="H244" s="65"/>
      <c r="J244" s="65"/>
      <c r="K244" s="65"/>
      <c r="L244" s="65"/>
    </row>
    <row r="245" ht="15.75" customHeight="1">
      <c r="C245" s="65"/>
      <c r="D245" s="65"/>
      <c r="E245" s="65"/>
      <c r="F245" s="65"/>
      <c r="H245" s="65"/>
      <c r="J245" s="65"/>
      <c r="K245" s="65"/>
      <c r="L245" s="65"/>
    </row>
    <row r="246" ht="15.75" customHeight="1">
      <c r="C246" s="65"/>
      <c r="D246" s="65"/>
      <c r="E246" s="65"/>
      <c r="F246" s="65"/>
      <c r="H246" s="65"/>
      <c r="J246" s="65"/>
      <c r="K246" s="65"/>
      <c r="L246" s="65"/>
    </row>
    <row r="247" ht="15.75" customHeight="1">
      <c r="C247" s="65"/>
      <c r="D247" s="65"/>
      <c r="E247" s="65"/>
      <c r="F247" s="65"/>
      <c r="H247" s="65"/>
      <c r="J247" s="65"/>
      <c r="K247" s="65"/>
      <c r="L247" s="65"/>
    </row>
    <row r="248" ht="15.75" customHeight="1">
      <c r="C248" s="65"/>
      <c r="D248" s="65"/>
      <c r="E248" s="65"/>
      <c r="F248" s="65"/>
      <c r="H248" s="65"/>
      <c r="J248" s="65"/>
      <c r="K248" s="65"/>
      <c r="L248" s="65"/>
    </row>
    <row r="249" ht="15.75" customHeight="1">
      <c r="C249" s="65"/>
      <c r="D249" s="65"/>
      <c r="E249" s="65"/>
      <c r="F249" s="65"/>
      <c r="H249" s="65"/>
      <c r="J249" s="65"/>
      <c r="K249" s="65"/>
      <c r="L249" s="65"/>
    </row>
    <row r="250" ht="15.75" customHeight="1">
      <c r="C250" s="65"/>
      <c r="D250" s="65"/>
      <c r="E250" s="65"/>
      <c r="F250" s="65"/>
      <c r="H250" s="65"/>
      <c r="J250" s="65"/>
      <c r="K250" s="65"/>
      <c r="L250" s="65"/>
    </row>
    <row r="251" ht="15.75" customHeight="1">
      <c r="C251" s="65"/>
      <c r="D251" s="65"/>
      <c r="E251" s="65"/>
      <c r="F251" s="65"/>
      <c r="H251" s="65"/>
      <c r="J251" s="65"/>
      <c r="K251" s="65"/>
      <c r="L251" s="65"/>
    </row>
    <row r="252" ht="15.75" customHeight="1">
      <c r="C252" s="65"/>
      <c r="D252" s="65"/>
      <c r="E252" s="65"/>
      <c r="F252" s="65"/>
      <c r="H252" s="65"/>
      <c r="J252" s="65"/>
      <c r="K252" s="65"/>
      <c r="L252" s="65"/>
    </row>
    <row r="253" ht="15.75" customHeight="1">
      <c r="C253" s="65"/>
      <c r="D253" s="65"/>
      <c r="E253" s="65"/>
      <c r="F253" s="65"/>
      <c r="H253" s="65"/>
      <c r="J253" s="65"/>
      <c r="K253" s="65"/>
      <c r="L253" s="65"/>
    </row>
    <row r="254" ht="15.75" customHeight="1">
      <c r="C254" s="65"/>
      <c r="D254" s="65"/>
      <c r="E254" s="65"/>
      <c r="F254" s="65"/>
      <c r="H254" s="65"/>
      <c r="J254" s="65"/>
      <c r="K254" s="65"/>
      <c r="L254" s="65"/>
    </row>
    <row r="255" ht="15.75" customHeight="1">
      <c r="C255" s="65"/>
      <c r="D255" s="65"/>
      <c r="E255" s="65"/>
      <c r="F255" s="65"/>
      <c r="H255" s="65"/>
      <c r="J255" s="65"/>
      <c r="K255" s="65"/>
      <c r="L255" s="65"/>
    </row>
    <row r="256" ht="15.75" customHeight="1">
      <c r="C256" s="65"/>
      <c r="D256" s="65"/>
      <c r="E256" s="65"/>
      <c r="F256" s="65"/>
      <c r="H256" s="65"/>
      <c r="J256" s="65"/>
      <c r="K256" s="65"/>
      <c r="L256" s="65"/>
    </row>
    <row r="257" ht="15.75" customHeight="1">
      <c r="C257" s="65"/>
      <c r="D257" s="65"/>
      <c r="E257" s="65"/>
      <c r="F257" s="65"/>
      <c r="H257" s="65"/>
      <c r="J257" s="65"/>
      <c r="K257" s="65"/>
      <c r="L257" s="65"/>
    </row>
    <row r="258" ht="15.75" customHeight="1">
      <c r="C258" s="65"/>
      <c r="D258" s="65"/>
      <c r="E258" s="65"/>
      <c r="F258" s="65"/>
      <c r="H258" s="65"/>
      <c r="J258" s="65"/>
      <c r="K258" s="65"/>
      <c r="L258" s="65"/>
    </row>
    <row r="259" ht="15.75" customHeight="1">
      <c r="C259" s="65"/>
      <c r="D259" s="65"/>
      <c r="E259" s="65"/>
      <c r="F259" s="65"/>
      <c r="H259" s="65"/>
      <c r="J259" s="65"/>
      <c r="K259" s="65"/>
      <c r="L259" s="65"/>
    </row>
    <row r="260" ht="15.75" customHeight="1">
      <c r="C260" s="65"/>
      <c r="D260" s="65"/>
      <c r="E260" s="65"/>
      <c r="F260" s="65"/>
      <c r="H260" s="65"/>
      <c r="J260" s="65"/>
      <c r="K260" s="65"/>
      <c r="L260" s="65"/>
    </row>
    <row r="261" ht="15.75" customHeight="1">
      <c r="C261" s="65"/>
      <c r="D261" s="65"/>
      <c r="E261" s="65"/>
      <c r="F261" s="65"/>
      <c r="H261" s="65"/>
      <c r="J261" s="65"/>
      <c r="K261" s="65"/>
      <c r="L261" s="65"/>
    </row>
    <row r="262" ht="15.75" customHeight="1">
      <c r="C262" s="65"/>
      <c r="D262" s="65"/>
      <c r="E262" s="65"/>
      <c r="F262" s="65"/>
      <c r="H262" s="65"/>
      <c r="J262" s="65"/>
      <c r="K262" s="65"/>
      <c r="L262" s="65"/>
    </row>
    <row r="263" ht="15.75" customHeight="1">
      <c r="C263" s="65"/>
      <c r="D263" s="65"/>
      <c r="E263" s="65"/>
      <c r="F263" s="65"/>
      <c r="H263" s="65"/>
      <c r="J263" s="65"/>
      <c r="K263" s="65"/>
      <c r="L263" s="65"/>
    </row>
    <row r="264" ht="15.75" customHeight="1">
      <c r="C264" s="65"/>
      <c r="D264" s="65"/>
      <c r="E264" s="65"/>
      <c r="F264" s="65"/>
      <c r="H264" s="65"/>
      <c r="J264" s="65"/>
      <c r="K264" s="65"/>
      <c r="L264" s="65"/>
    </row>
    <row r="265" ht="15.75" customHeight="1">
      <c r="C265" s="65"/>
      <c r="D265" s="65"/>
      <c r="E265" s="65"/>
      <c r="F265" s="65"/>
      <c r="H265" s="65"/>
      <c r="J265" s="65"/>
      <c r="K265" s="65"/>
      <c r="L265" s="65"/>
    </row>
    <row r="266" ht="15.75" customHeight="1">
      <c r="C266" s="65"/>
      <c r="D266" s="65"/>
      <c r="E266" s="65"/>
      <c r="F266" s="65"/>
      <c r="H266" s="65"/>
      <c r="J266" s="65"/>
      <c r="K266" s="65"/>
      <c r="L266" s="65"/>
    </row>
    <row r="267" ht="15.75" customHeight="1">
      <c r="C267" s="65"/>
      <c r="D267" s="65"/>
      <c r="E267" s="65"/>
      <c r="F267" s="65"/>
      <c r="H267" s="65"/>
      <c r="J267" s="65"/>
      <c r="K267" s="65"/>
      <c r="L267" s="65"/>
    </row>
    <row r="268" ht="15.75" customHeight="1">
      <c r="C268" s="65"/>
      <c r="D268" s="65"/>
      <c r="E268" s="65"/>
      <c r="F268" s="65"/>
      <c r="H268" s="65"/>
      <c r="J268" s="65"/>
      <c r="K268" s="65"/>
      <c r="L268" s="65"/>
    </row>
    <row r="269" ht="15.75" customHeight="1">
      <c r="C269" s="65"/>
      <c r="D269" s="65"/>
      <c r="E269" s="65"/>
      <c r="F269" s="65"/>
      <c r="H269" s="65"/>
      <c r="J269" s="65"/>
      <c r="K269" s="65"/>
      <c r="L269" s="65"/>
    </row>
    <row r="270" ht="15.75" customHeight="1">
      <c r="C270" s="65"/>
      <c r="D270" s="65"/>
      <c r="E270" s="65"/>
      <c r="F270" s="65"/>
      <c r="H270" s="65"/>
      <c r="J270" s="65"/>
      <c r="K270" s="65"/>
      <c r="L270" s="65"/>
    </row>
    <row r="271" ht="15.75" customHeight="1">
      <c r="C271" s="65"/>
      <c r="D271" s="65"/>
      <c r="E271" s="65"/>
      <c r="F271" s="65"/>
      <c r="H271" s="65"/>
      <c r="J271" s="65"/>
      <c r="K271" s="65"/>
      <c r="L271" s="65"/>
    </row>
    <row r="272" ht="15.75" customHeight="1">
      <c r="C272" s="65"/>
      <c r="D272" s="65"/>
      <c r="E272" s="65"/>
      <c r="F272" s="65"/>
      <c r="H272" s="65"/>
      <c r="J272" s="65"/>
      <c r="K272" s="65"/>
      <c r="L272" s="65"/>
    </row>
    <row r="273" ht="15.75" customHeight="1">
      <c r="C273" s="65"/>
      <c r="D273" s="65"/>
      <c r="E273" s="65"/>
      <c r="F273" s="65"/>
      <c r="H273" s="65"/>
      <c r="J273" s="65"/>
      <c r="K273" s="65"/>
      <c r="L273" s="65"/>
    </row>
    <row r="274" ht="15.75" customHeight="1">
      <c r="C274" s="65"/>
      <c r="D274" s="65"/>
      <c r="E274" s="65"/>
      <c r="F274" s="65"/>
      <c r="H274" s="65"/>
      <c r="J274" s="65"/>
      <c r="K274" s="65"/>
      <c r="L274" s="65"/>
    </row>
    <row r="275" ht="15.75" customHeight="1">
      <c r="C275" s="65"/>
      <c r="D275" s="65"/>
      <c r="E275" s="65"/>
      <c r="F275" s="65"/>
      <c r="H275" s="65"/>
      <c r="J275" s="65"/>
      <c r="K275" s="65"/>
      <c r="L275" s="65"/>
    </row>
    <row r="276" ht="15.75" customHeight="1">
      <c r="C276" s="65"/>
      <c r="D276" s="65"/>
      <c r="E276" s="65"/>
      <c r="F276" s="65"/>
      <c r="H276" s="65"/>
      <c r="J276" s="65"/>
      <c r="K276" s="65"/>
      <c r="L276" s="65"/>
    </row>
    <row r="277" ht="15.75" customHeight="1">
      <c r="C277" s="65"/>
      <c r="D277" s="65"/>
      <c r="E277" s="65"/>
      <c r="F277" s="65"/>
      <c r="H277" s="65"/>
      <c r="J277" s="65"/>
      <c r="K277" s="65"/>
      <c r="L277" s="65"/>
    </row>
    <row r="278" ht="15.75" customHeight="1">
      <c r="C278" s="65"/>
      <c r="D278" s="65"/>
      <c r="E278" s="65"/>
      <c r="F278" s="65"/>
      <c r="H278" s="65"/>
      <c r="J278" s="65"/>
      <c r="K278" s="65"/>
      <c r="L278" s="65"/>
    </row>
    <row r="279" ht="15.75" customHeight="1">
      <c r="C279" s="65"/>
      <c r="D279" s="65"/>
      <c r="E279" s="65"/>
      <c r="F279" s="65"/>
      <c r="H279" s="65"/>
      <c r="J279" s="65"/>
      <c r="K279" s="65"/>
      <c r="L279" s="65"/>
    </row>
    <row r="280" ht="15.75" customHeight="1">
      <c r="C280" s="65"/>
      <c r="D280" s="65"/>
      <c r="E280" s="65"/>
      <c r="F280" s="65"/>
      <c r="H280" s="65"/>
      <c r="J280" s="65"/>
      <c r="K280" s="65"/>
      <c r="L280" s="65"/>
    </row>
    <row r="281" ht="15.75" customHeight="1">
      <c r="C281" s="65"/>
      <c r="D281" s="65"/>
      <c r="E281" s="65"/>
      <c r="F281" s="65"/>
      <c r="H281" s="65"/>
      <c r="J281" s="65"/>
      <c r="K281" s="65"/>
      <c r="L281" s="65"/>
    </row>
    <row r="282" ht="15.75" customHeight="1">
      <c r="C282" s="65"/>
      <c r="D282" s="65"/>
      <c r="E282" s="65"/>
      <c r="F282" s="65"/>
      <c r="H282" s="65"/>
      <c r="J282" s="65"/>
      <c r="K282" s="65"/>
      <c r="L282" s="65"/>
    </row>
    <row r="283" ht="15.75" customHeight="1">
      <c r="C283" s="65"/>
      <c r="D283" s="65"/>
      <c r="E283" s="65"/>
      <c r="F283" s="65"/>
      <c r="H283" s="65"/>
      <c r="J283" s="65"/>
      <c r="K283" s="65"/>
      <c r="L283" s="65"/>
    </row>
    <row r="284" ht="15.75" customHeight="1">
      <c r="C284" s="65"/>
      <c r="D284" s="65"/>
      <c r="E284" s="65"/>
      <c r="F284" s="65"/>
      <c r="H284" s="65"/>
      <c r="J284" s="65"/>
      <c r="K284" s="65"/>
      <c r="L284" s="65"/>
    </row>
    <row r="285" ht="15.75" customHeight="1">
      <c r="C285" s="65"/>
      <c r="D285" s="65"/>
      <c r="E285" s="65"/>
      <c r="F285" s="65"/>
      <c r="H285" s="65"/>
      <c r="J285" s="65"/>
      <c r="K285" s="65"/>
      <c r="L285" s="65"/>
    </row>
    <row r="286" ht="15.75" customHeight="1">
      <c r="C286" s="65"/>
      <c r="D286" s="65"/>
      <c r="E286" s="65"/>
      <c r="F286" s="65"/>
      <c r="H286" s="65"/>
      <c r="J286" s="65"/>
      <c r="K286" s="65"/>
      <c r="L286" s="65"/>
    </row>
    <row r="287" ht="15.75" customHeight="1">
      <c r="C287" s="65"/>
      <c r="D287" s="65"/>
      <c r="E287" s="65"/>
      <c r="F287" s="65"/>
      <c r="H287" s="65"/>
      <c r="J287" s="65"/>
      <c r="K287" s="65"/>
      <c r="L287" s="65"/>
    </row>
    <row r="288" ht="15.75" customHeight="1">
      <c r="C288" s="65"/>
      <c r="D288" s="65"/>
      <c r="E288" s="65"/>
      <c r="F288" s="65"/>
      <c r="H288" s="65"/>
      <c r="J288" s="65"/>
      <c r="K288" s="65"/>
      <c r="L288" s="65"/>
    </row>
    <row r="289" ht="15.75" customHeight="1">
      <c r="C289" s="65"/>
      <c r="D289" s="65"/>
      <c r="E289" s="65"/>
      <c r="F289" s="65"/>
      <c r="H289" s="65"/>
      <c r="J289" s="65"/>
      <c r="K289" s="65"/>
      <c r="L289" s="65"/>
    </row>
    <row r="290" ht="15.75" customHeight="1">
      <c r="C290" s="65"/>
      <c r="D290" s="65"/>
      <c r="E290" s="65"/>
      <c r="F290" s="65"/>
      <c r="H290" s="65"/>
      <c r="J290" s="65"/>
      <c r="K290" s="65"/>
      <c r="L290" s="65"/>
    </row>
    <row r="291" ht="15.75" customHeight="1">
      <c r="C291" s="65"/>
      <c r="D291" s="65"/>
      <c r="E291" s="65"/>
      <c r="F291" s="65"/>
      <c r="H291" s="65"/>
      <c r="J291" s="65"/>
      <c r="K291" s="65"/>
      <c r="L291" s="65"/>
    </row>
    <row r="292" ht="15.75" customHeight="1">
      <c r="C292" s="65"/>
      <c r="D292" s="65"/>
      <c r="E292" s="65"/>
      <c r="F292" s="65"/>
      <c r="H292" s="65"/>
      <c r="J292" s="65"/>
      <c r="K292" s="65"/>
      <c r="L292" s="65"/>
    </row>
    <row r="293" ht="15.75" customHeight="1">
      <c r="C293" s="65"/>
      <c r="D293" s="65"/>
      <c r="E293" s="65"/>
      <c r="F293" s="65"/>
      <c r="H293" s="65"/>
      <c r="J293" s="65"/>
      <c r="K293" s="65"/>
      <c r="L293" s="65"/>
    </row>
    <row r="294" ht="15.75" customHeight="1">
      <c r="C294" s="65"/>
      <c r="D294" s="65"/>
      <c r="E294" s="65"/>
      <c r="F294" s="65"/>
      <c r="H294" s="65"/>
      <c r="J294" s="65"/>
      <c r="K294" s="65"/>
      <c r="L294" s="65"/>
    </row>
    <row r="295" ht="15.75" customHeight="1">
      <c r="C295" s="65"/>
      <c r="D295" s="65"/>
      <c r="E295" s="65"/>
      <c r="F295" s="65"/>
      <c r="H295" s="65"/>
      <c r="J295" s="65"/>
      <c r="K295" s="65"/>
      <c r="L295" s="65"/>
    </row>
    <row r="296" ht="15.75" customHeight="1">
      <c r="C296" s="65"/>
      <c r="D296" s="65"/>
      <c r="E296" s="65"/>
      <c r="F296" s="65"/>
      <c r="H296" s="65"/>
      <c r="J296" s="65"/>
      <c r="K296" s="65"/>
      <c r="L296" s="65"/>
    </row>
    <row r="297" ht="15.75" customHeight="1">
      <c r="C297" s="65"/>
      <c r="D297" s="65"/>
      <c r="E297" s="65"/>
      <c r="F297" s="65"/>
      <c r="H297" s="65"/>
      <c r="J297" s="65"/>
      <c r="K297" s="65"/>
      <c r="L297" s="65"/>
    </row>
    <row r="298" ht="15.75" customHeight="1">
      <c r="C298" s="65"/>
      <c r="D298" s="65"/>
      <c r="E298" s="65"/>
      <c r="F298" s="65"/>
      <c r="H298" s="65"/>
      <c r="J298" s="65"/>
      <c r="K298" s="65"/>
      <c r="L298" s="65"/>
    </row>
    <row r="299" ht="15.75" customHeight="1">
      <c r="C299" s="65"/>
      <c r="D299" s="65"/>
      <c r="E299" s="65"/>
      <c r="F299" s="65"/>
      <c r="H299" s="65"/>
      <c r="J299" s="65"/>
      <c r="K299" s="65"/>
      <c r="L299" s="65"/>
    </row>
    <row r="300" ht="15.75" customHeight="1">
      <c r="C300" s="65"/>
      <c r="D300" s="65"/>
      <c r="E300" s="65"/>
      <c r="F300" s="65"/>
      <c r="H300" s="65"/>
      <c r="J300" s="65"/>
      <c r="K300" s="65"/>
      <c r="L300" s="65"/>
    </row>
    <row r="301" ht="15.75" customHeight="1">
      <c r="C301" s="65"/>
      <c r="D301" s="65"/>
      <c r="E301" s="65"/>
      <c r="F301" s="65"/>
      <c r="H301" s="65"/>
      <c r="J301" s="65"/>
      <c r="K301" s="65"/>
      <c r="L301" s="65"/>
    </row>
    <row r="302" ht="15.75" customHeight="1">
      <c r="C302" s="65"/>
      <c r="D302" s="65"/>
      <c r="E302" s="65"/>
      <c r="F302" s="65"/>
      <c r="H302" s="65"/>
      <c r="J302" s="65"/>
      <c r="K302" s="65"/>
      <c r="L302" s="65"/>
    </row>
    <row r="303" ht="15.75" customHeight="1">
      <c r="C303" s="65"/>
      <c r="D303" s="65"/>
      <c r="E303" s="65"/>
      <c r="F303" s="65"/>
      <c r="H303" s="65"/>
      <c r="J303" s="65"/>
      <c r="K303" s="65"/>
      <c r="L303" s="65"/>
    </row>
    <row r="304" ht="15.75" customHeight="1">
      <c r="C304" s="65"/>
      <c r="D304" s="65"/>
      <c r="E304" s="65"/>
      <c r="F304" s="65"/>
      <c r="H304" s="65"/>
      <c r="J304" s="65"/>
      <c r="K304" s="65"/>
      <c r="L304" s="65"/>
    </row>
    <row r="305" ht="15.75" customHeight="1">
      <c r="C305" s="65"/>
      <c r="D305" s="65"/>
      <c r="E305" s="65"/>
      <c r="F305" s="65"/>
      <c r="H305" s="65"/>
      <c r="J305" s="65"/>
      <c r="K305" s="65"/>
      <c r="L305" s="65"/>
    </row>
    <row r="306" ht="15.75" customHeight="1">
      <c r="C306" s="65"/>
      <c r="D306" s="65"/>
      <c r="E306" s="65"/>
      <c r="F306" s="65"/>
      <c r="H306" s="65"/>
      <c r="J306" s="65"/>
      <c r="K306" s="65"/>
      <c r="L306" s="65"/>
    </row>
    <row r="307" ht="15.75" customHeight="1">
      <c r="C307" s="65"/>
      <c r="D307" s="65"/>
      <c r="E307" s="65"/>
      <c r="F307" s="65"/>
      <c r="H307" s="65"/>
      <c r="J307" s="65"/>
      <c r="K307" s="65"/>
      <c r="L307" s="65"/>
    </row>
    <row r="308" ht="15.75" customHeight="1">
      <c r="C308" s="65"/>
      <c r="D308" s="65"/>
      <c r="E308" s="65"/>
      <c r="F308" s="65"/>
      <c r="H308" s="65"/>
      <c r="J308" s="65"/>
      <c r="K308" s="65"/>
      <c r="L308" s="65"/>
    </row>
    <row r="309" ht="15.75" customHeight="1">
      <c r="C309" s="65"/>
      <c r="D309" s="65"/>
      <c r="E309" s="65"/>
      <c r="F309" s="65"/>
      <c r="H309" s="65"/>
      <c r="J309" s="65"/>
      <c r="K309" s="65"/>
      <c r="L309" s="65"/>
    </row>
    <row r="310" ht="15.75" customHeight="1">
      <c r="C310" s="65"/>
      <c r="D310" s="65"/>
      <c r="E310" s="65"/>
      <c r="F310" s="65"/>
      <c r="H310" s="65"/>
      <c r="J310" s="65"/>
      <c r="K310" s="65"/>
      <c r="L310" s="65"/>
    </row>
    <row r="311" ht="15.75" customHeight="1">
      <c r="C311" s="65"/>
      <c r="D311" s="65"/>
      <c r="E311" s="65"/>
      <c r="F311" s="65"/>
      <c r="H311" s="65"/>
      <c r="J311" s="65"/>
      <c r="K311" s="65"/>
      <c r="L311" s="65"/>
    </row>
    <row r="312" ht="15.75" customHeight="1">
      <c r="C312" s="65"/>
      <c r="D312" s="65"/>
      <c r="E312" s="65"/>
      <c r="F312" s="65"/>
      <c r="H312" s="65"/>
      <c r="J312" s="65"/>
      <c r="K312" s="65"/>
      <c r="L312" s="65"/>
    </row>
    <row r="313" ht="15.75" customHeight="1">
      <c r="C313" s="65"/>
      <c r="D313" s="65"/>
      <c r="E313" s="65"/>
      <c r="F313" s="65"/>
      <c r="H313" s="65"/>
      <c r="J313" s="65"/>
      <c r="K313" s="65"/>
      <c r="L313" s="65"/>
    </row>
    <row r="314" ht="15.75" customHeight="1">
      <c r="C314" s="65"/>
      <c r="D314" s="65"/>
      <c r="E314" s="65"/>
      <c r="F314" s="65"/>
      <c r="H314" s="65"/>
      <c r="J314" s="65"/>
      <c r="K314" s="65"/>
      <c r="L314" s="65"/>
    </row>
    <row r="315" ht="15.75" customHeight="1">
      <c r="C315" s="65"/>
      <c r="D315" s="65"/>
      <c r="E315" s="65"/>
      <c r="F315" s="65"/>
      <c r="H315" s="65"/>
      <c r="J315" s="65"/>
      <c r="K315" s="65"/>
      <c r="L315" s="65"/>
    </row>
    <row r="316" ht="15.75" customHeight="1">
      <c r="C316" s="65"/>
      <c r="D316" s="65"/>
      <c r="E316" s="65"/>
      <c r="F316" s="65"/>
      <c r="H316" s="65"/>
      <c r="J316" s="65"/>
      <c r="K316" s="65"/>
      <c r="L316" s="65"/>
    </row>
    <row r="317" ht="15.75" customHeight="1">
      <c r="C317" s="65"/>
      <c r="D317" s="65"/>
      <c r="E317" s="65"/>
      <c r="F317" s="65"/>
      <c r="H317" s="65"/>
      <c r="J317" s="65"/>
      <c r="K317" s="65"/>
      <c r="L317" s="65"/>
    </row>
    <row r="318" ht="15.75" customHeight="1">
      <c r="C318" s="65"/>
      <c r="D318" s="65"/>
      <c r="E318" s="65"/>
      <c r="F318" s="65"/>
      <c r="H318" s="65"/>
      <c r="J318" s="65"/>
      <c r="K318" s="65"/>
      <c r="L318" s="65"/>
    </row>
    <row r="319" ht="15.75" customHeight="1">
      <c r="C319" s="65"/>
      <c r="D319" s="65"/>
      <c r="E319" s="65"/>
      <c r="F319" s="65"/>
      <c r="H319" s="65"/>
      <c r="J319" s="65"/>
      <c r="K319" s="65"/>
      <c r="L319" s="65"/>
    </row>
    <row r="320" ht="15.75" customHeight="1">
      <c r="C320" s="65"/>
      <c r="D320" s="65"/>
      <c r="E320" s="65"/>
      <c r="F320" s="65"/>
      <c r="H320" s="65"/>
      <c r="J320" s="65"/>
      <c r="K320" s="65"/>
      <c r="L320" s="65"/>
    </row>
    <row r="321" ht="15.75" customHeight="1">
      <c r="C321" s="65"/>
      <c r="D321" s="65"/>
      <c r="E321" s="65"/>
      <c r="F321" s="65"/>
      <c r="H321" s="65"/>
      <c r="J321" s="65"/>
      <c r="K321" s="65"/>
      <c r="L321" s="65"/>
    </row>
    <row r="322" ht="15.75" customHeight="1">
      <c r="C322" s="65"/>
      <c r="D322" s="65"/>
      <c r="E322" s="65"/>
      <c r="F322" s="65"/>
      <c r="H322" s="65"/>
      <c r="J322" s="65"/>
      <c r="K322" s="65"/>
      <c r="L322" s="65"/>
    </row>
    <row r="323" ht="15.75" customHeight="1">
      <c r="C323" s="65"/>
      <c r="D323" s="65"/>
      <c r="E323" s="65"/>
      <c r="F323" s="65"/>
      <c r="H323" s="65"/>
      <c r="J323" s="65"/>
      <c r="K323" s="65"/>
      <c r="L323" s="65"/>
    </row>
    <row r="324" ht="15.75" customHeight="1">
      <c r="C324" s="65"/>
      <c r="D324" s="65"/>
      <c r="E324" s="65"/>
      <c r="F324" s="65"/>
      <c r="H324" s="65"/>
      <c r="J324" s="65"/>
      <c r="K324" s="65"/>
      <c r="L324" s="65"/>
    </row>
    <row r="325" ht="15.75" customHeight="1">
      <c r="C325" s="65"/>
      <c r="D325" s="65"/>
      <c r="E325" s="65"/>
      <c r="F325" s="65"/>
      <c r="H325" s="65"/>
      <c r="J325" s="65"/>
      <c r="K325" s="65"/>
      <c r="L325" s="65"/>
    </row>
    <row r="326" ht="15.75" customHeight="1">
      <c r="C326" s="65"/>
      <c r="D326" s="65"/>
      <c r="E326" s="65"/>
      <c r="F326" s="65"/>
      <c r="H326" s="65"/>
      <c r="J326" s="65"/>
      <c r="K326" s="65"/>
      <c r="L326" s="65"/>
    </row>
    <row r="327" ht="15.75" customHeight="1">
      <c r="C327" s="65"/>
      <c r="D327" s="65"/>
      <c r="E327" s="65"/>
      <c r="F327" s="65"/>
      <c r="H327" s="65"/>
      <c r="J327" s="65"/>
      <c r="K327" s="65"/>
      <c r="L327" s="65"/>
    </row>
    <row r="328" ht="15.75" customHeight="1">
      <c r="C328" s="65"/>
      <c r="D328" s="65"/>
      <c r="E328" s="65"/>
      <c r="F328" s="65"/>
      <c r="H328" s="65"/>
      <c r="J328" s="65"/>
      <c r="K328" s="65"/>
      <c r="L328" s="65"/>
    </row>
    <row r="329" ht="15.75" customHeight="1">
      <c r="C329" s="65"/>
      <c r="D329" s="65"/>
      <c r="E329" s="65"/>
      <c r="F329" s="65"/>
      <c r="H329" s="65"/>
      <c r="J329" s="65"/>
      <c r="K329" s="65"/>
      <c r="L329" s="65"/>
    </row>
    <row r="330" ht="15.75" customHeight="1">
      <c r="C330" s="65"/>
      <c r="D330" s="65"/>
      <c r="E330" s="65"/>
      <c r="F330" s="65"/>
      <c r="H330" s="65"/>
      <c r="J330" s="65"/>
      <c r="K330" s="65"/>
      <c r="L330" s="65"/>
    </row>
    <row r="331" ht="15.75" customHeight="1">
      <c r="C331" s="65"/>
      <c r="D331" s="65"/>
      <c r="E331" s="65"/>
      <c r="F331" s="65"/>
      <c r="H331" s="65"/>
      <c r="J331" s="65"/>
      <c r="K331" s="65"/>
      <c r="L331" s="65"/>
    </row>
    <row r="332" ht="15.75" customHeight="1">
      <c r="C332" s="65"/>
      <c r="D332" s="65"/>
      <c r="E332" s="65"/>
      <c r="F332" s="65"/>
      <c r="H332" s="65"/>
      <c r="J332" s="65"/>
      <c r="K332" s="65"/>
      <c r="L332" s="65"/>
    </row>
    <row r="333" ht="15.75" customHeight="1">
      <c r="C333" s="65"/>
      <c r="D333" s="65"/>
      <c r="E333" s="65"/>
      <c r="F333" s="65"/>
      <c r="H333" s="65"/>
      <c r="J333" s="65"/>
      <c r="K333" s="65"/>
      <c r="L333" s="65"/>
    </row>
    <row r="334" ht="15.75" customHeight="1">
      <c r="C334" s="65"/>
      <c r="D334" s="65"/>
      <c r="E334" s="65"/>
      <c r="F334" s="65"/>
      <c r="H334" s="65"/>
      <c r="J334" s="65"/>
      <c r="K334" s="65"/>
      <c r="L334" s="65"/>
    </row>
    <row r="335" ht="15.75" customHeight="1">
      <c r="C335" s="65"/>
      <c r="D335" s="65"/>
      <c r="E335" s="65"/>
      <c r="F335" s="65"/>
      <c r="H335" s="65"/>
      <c r="J335" s="65"/>
      <c r="K335" s="65"/>
      <c r="L335" s="65"/>
    </row>
    <row r="336" ht="15.75" customHeight="1">
      <c r="C336" s="65"/>
      <c r="D336" s="65"/>
      <c r="E336" s="65"/>
      <c r="F336" s="65"/>
      <c r="H336" s="65"/>
      <c r="J336" s="65"/>
      <c r="K336" s="65"/>
      <c r="L336" s="65"/>
    </row>
    <row r="337" ht="15.75" customHeight="1">
      <c r="C337" s="65"/>
      <c r="D337" s="65"/>
      <c r="E337" s="65"/>
      <c r="F337" s="65"/>
      <c r="H337" s="65"/>
      <c r="J337" s="65"/>
      <c r="K337" s="65"/>
      <c r="L337" s="65"/>
    </row>
    <row r="338" ht="15.75" customHeight="1">
      <c r="C338" s="65"/>
      <c r="D338" s="65"/>
      <c r="E338" s="65"/>
      <c r="F338" s="65"/>
      <c r="H338" s="65"/>
      <c r="J338" s="65"/>
      <c r="K338" s="65"/>
      <c r="L338" s="65"/>
    </row>
    <row r="339" ht="15.75" customHeight="1">
      <c r="C339" s="65"/>
      <c r="D339" s="65"/>
      <c r="E339" s="65"/>
      <c r="F339" s="65"/>
      <c r="H339" s="65"/>
      <c r="J339" s="65"/>
      <c r="K339" s="65"/>
      <c r="L339" s="65"/>
    </row>
    <row r="340" ht="15.75" customHeight="1">
      <c r="C340" s="65"/>
      <c r="D340" s="65"/>
      <c r="E340" s="65"/>
      <c r="F340" s="65"/>
      <c r="H340" s="65"/>
      <c r="J340" s="65"/>
      <c r="K340" s="65"/>
      <c r="L340" s="65"/>
    </row>
    <row r="341" ht="15.75" customHeight="1">
      <c r="C341" s="65"/>
      <c r="D341" s="65"/>
      <c r="E341" s="65"/>
      <c r="F341" s="65"/>
      <c r="H341" s="65"/>
      <c r="J341" s="65"/>
      <c r="K341" s="65"/>
      <c r="L341" s="65"/>
    </row>
    <row r="342" ht="15.75" customHeight="1">
      <c r="C342" s="65"/>
      <c r="D342" s="65"/>
      <c r="E342" s="65"/>
      <c r="F342" s="65"/>
      <c r="H342" s="65"/>
      <c r="J342" s="65"/>
      <c r="K342" s="65"/>
      <c r="L342" s="65"/>
    </row>
    <row r="343" ht="15.75" customHeight="1">
      <c r="C343" s="65"/>
      <c r="D343" s="65"/>
      <c r="E343" s="65"/>
      <c r="F343" s="65"/>
      <c r="H343" s="65"/>
      <c r="J343" s="65"/>
      <c r="K343" s="65"/>
      <c r="L343" s="65"/>
    </row>
    <row r="344" ht="15.75" customHeight="1">
      <c r="C344" s="65"/>
      <c r="D344" s="65"/>
      <c r="E344" s="65"/>
      <c r="F344" s="65"/>
      <c r="H344" s="65"/>
      <c r="J344" s="65"/>
      <c r="K344" s="65"/>
      <c r="L344" s="65"/>
    </row>
    <row r="345" ht="15.75" customHeight="1">
      <c r="C345" s="65"/>
      <c r="D345" s="65"/>
      <c r="E345" s="65"/>
      <c r="F345" s="65"/>
      <c r="H345" s="65"/>
      <c r="J345" s="65"/>
      <c r="K345" s="65"/>
      <c r="L345" s="65"/>
    </row>
    <row r="346" ht="15.75" customHeight="1">
      <c r="C346" s="65"/>
      <c r="D346" s="65"/>
      <c r="E346" s="65"/>
      <c r="F346" s="65"/>
      <c r="H346" s="65"/>
      <c r="J346" s="65"/>
      <c r="K346" s="65"/>
      <c r="L346" s="65"/>
    </row>
    <row r="347" ht="15.75" customHeight="1">
      <c r="C347" s="65"/>
      <c r="D347" s="65"/>
      <c r="E347" s="65"/>
      <c r="F347" s="65"/>
      <c r="H347" s="65"/>
      <c r="J347" s="65"/>
      <c r="K347" s="65"/>
      <c r="L347" s="65"/>
    </row>
    <row r="348" ht="15.75" customHeight="1">
      <c r="C348" s="65"/>
      <c r="D348" s="65"/>
      <c r="E348" s="65"/>
      <c r="F348" s="65"/>
      <c r="H348" s="65"/>
      <c r="J348" s="65"/>
      <c r="K348" s="65"/>
      <c r="L348" s="65"/>
    </row>
    <row r="349" ht="15.75" customHeight="1">
      <c r="C349" s="65"/>
      <c r="D349" s="65"/>
      <c r="E349" s="65"/>
      <c r="F349" s="65"/>
      <c r="H349" s="65"/>
      <c r="J349" s="65"/>
      <c r="K349" s="65"/>
      <c r="L349" s="65"/>
    </row>
    <row r="350" ht="15.75" customHeight="1">
      <c r="C350" s="65"/>
      <c r="D350" s="65"/>
      <c r="E350" s="65"/>
      <c r="F350" s="65"/>
      <c r="H350" s="65"/>
      <c r="J350" s="65"/>
      <c r="K350" s="65"/>
      <c r="L350" s="65"/>
    </row>
    <row r="351" ht="15.75" customHeight="1">
      <c r="C351" s="65"/>
      <c r="D351" s="65"/>
      <c r="E351" s="65"/>
      <c r="F351" s="65"/>
      <c r="H351" s="65"/>
      <c r="J351" s="65"/>
      <c r="K351" s="65"/>
      <c r="L351" s="65"/>
    </row>
    <row r="352" ht="15.75" customHeight="1">
      <c r="C352" s="65"/>
      <c r="D352" s="65"/>
      <c r="E352" s="65"/>
      <c r="F352" s="65"/>
      <c r="H352" s="65"/>
      <c r="J352" s="65"/>
      <c r="K352" s="65"/>
      <c r="L352" s="65"/>
    </row>
    <row r="353" ht="15.75" customHeight="1">
      <c r="C353" s="65"/>
      <c r="D353" s="65"/>
      <c r="E353" s="65"/>
      <c r="F353" s="65"/>
      <c r="H353" s="65"/>
      <c r="J353" s="65"/>
      <c r="K353" s="65"/>
      <c r="L353" s="65"/>
    </row>
    <row r="354" ht="15.75" customHeight="1">
      <c r="C354" s="65"/>
      <c r="D354" s="65"/>
      <c r="E354" s="65"/>
      <c r="F354" s="65"/>
      <c r="H354" s="65"/>
      <c r="J354" s="65"/>
      <c r="K354" s="65"/>
      <c r="L354" s="65"/>
    </row>
    <row r="355" ht="15.75" customHeight="1">
      <c r="C355" s="65"/>
      <c r="D355" s="65"/>
      <c r="E355" s="65"/>
      <c r="F355" s="65"/>
      <c r="H355" s="65"/>
      <c r="J355" s="65"/>
      <c r="K355" s="65"/>
      <c r="L355" s="65"/>
    </row>
    <row r="356" ht="15.75" customHeight="1">
      <c r="C356" s="65"/>
      <c r="D356" s="65"/>
      <c r="E356" s="65"/>
      <c r="F356" s="65"/>
      <c r="H356" s="65"/>
      <c r="J356" s="65"/>
      <c r="K356" s="65"/>
      <c r="L356" s="65"/>
    </row>
    <row r="357" ht="15.75" customHeight="1">
      <c r="C357" s="65"/>
      <c r="D357" s="65"/>
      <c r="E357" s="65"/>
      <c r="F357" s="65"/>
      <c r="H357" s="65"/>
      <c r="J357" s="65"/>
      <c r="K357" s="65"/>
      <c r="L357" s="65"/>
    </row>
    <row r="358" ht="15.75" customHeight="1">
      <c r="C358" s="65"/>
      <c r="D358" s="65"/>
      <c r="E358" s="65"/>
      <c r="F358" s="65"/>
      <c r="H358" s="65"/>
      <c r="J358" s="65"/>
      <c r="K358" s="65"/>
      <c r="L358" s="65"/>
    </row>
    <row r="359" ht="15.75" customHeight="1">
      <c r="C359" s="65"/>
      <c r="D359" s="65"/>
      <c r="E359" s="65"/>
      <c r="F359" s="65"/>
      <c r="H359" s="65"/>
      <c r="J359" s="65"/>
      <c r="K359" s="65"/>
      <c r="L359" s="65"/>
    </row>
    <row r="360" ht="15.75" customHeight="1">
      <c r="C360" s="65"/>
      <c r="D360" s="65"/>
      <c r="E360" s="65"/>
      <c r="F360" s="65"/>
      <c r="H360" s="65"/>
      <c r="J360" s="65"/>
      <c r="K360" s="65"/>
      <c r="L360" s="65"/>
    </row>
    <row r="361" ht="15.75" customHeight="1">
      <c r="C361" s="65"/>
      <c r="D361" s="65"/>
      <c r="E361" s="65"/>
      <c r="F361" s="65"/>
      <c r="H361" s="65"/>
      <c r="J361" s="65"/>
      <c r="K361" s="65"/>
      <c r="L361" s="65"/>
    </row>
    <row r="362" ht="15.75" customHeight="1">
      <c r="C362" s="65"/>
      <c r="D362" s="65"/>
      <c r="E362" s="65"/>
      <c r="F362" s="65"/>
      <c r="H362" s="65"/>
      <c r="J362" s="65"/>
      <c r="K362" s="65"/>
      <c r="L362" s="65"/>
    </row>
    <row r="363" ht="15.75" customHeight="1">
      <c r="C363" s="65"/>
      <c r="D363" s="65"/>
      <c r="E363" s="65"/>
      <c r="F363" s="65"/>
      <c r="H363" s="65"/>
      <c r="J363" s="65"/>
      <c r="K363" s="65"/>
      <c r="L363" s="65"/>
    </row>
    <row r="364" ht="15.75" customHeight="1">
      <c r="C364" s="65"/>
      <c r="D364" s="65"/>
      <c r="E364" s="65"/>
      <c r="F364" s="65"/>
      <c r="H364" s="65"/>
      <c r="J364" s="65"/>
      <c r="K364" s="65"/>
      <c r="L364" s="65"/>
    </row>
    <row r="365" ht="15.75" customHeight="1">
      <c r="C365" s="65"/>
      <c r="D365" s="65"/>
      <c r="E365" s="65"/>
      <c r="F365" s="65"/>
      <c r="H365" s="65"/>
      <c r="J365" s="65"/>
      <c r="K365" s="65"/>
      <c r="L365" s="65"/>
    </row>
    <row r="366" ht="15.75" customHeight="1">
      <c r="C366" s="65"/>
      <c r="D366" s="65"/>
      <c r="E366" s="65"/>
      <c r="F366" s="65"/>
      <c r="H366" s="65"/>
      <c r="J366" s="65"/>
      <c r="K366" s="65"/>
      <c r="L366" s="65"/>
    </row>
    <row r="367" ht="15.75" customHeight="1">
      <c r="C367" s="65"/>
      <c r="D367" s="65"/>
      <c r="E367" s="65"/>
      <c r="F367" s="65"/>
      <c r="H367" s="65"/>
      <c r="J367" s="65"/>
      <c r="K367" s="65"/>
      <c r="L367" s="65"/>
    </row>
    <row r="368" ht="15.75" customHeight="1">
      <c r="C368" s="65"/>
      <c r="D368" s="65"/>
      <c r="E368" s="65"/>
      <c r="F368" s="65"/>
      <c r="H368" s="65"/>
      <c r="J368" s="65"/>
      <c r="K368" s="65"/>
      <c r="L368" s="65"/>
    </row>
    <row r="369" ht="15.75" customHeight="1">
      <c r="C369" s="65"/>
      <c r="D369" s="65"/>
      <c r="E369" s="65"/>
      <c r="F369" s="65"/>
      <c r="H369" s="65"/>
      <c r="J369" s="65"/>
      <c r="K369" s="65"/>
      <c r="L369" s="65"/>
    </row>
    <row r="370" ht="15.75" customHeight="1">
      <c r="C370" s="65"/>
      <c r="D370" s="65"/>
      <c r="E370" s="65"/>
      <c r="F370" s="65"/>
      <c r="H370" s="65"/>
      <c r="J370" s="65"/>
      <c r="K370" s="65"/>
      <c r="L370" s="65"/>
    </row>
    <row r="371" ht="15.75" customHeight="1">
      <c r="C371" s="65"/>
      <c r="D371" s="65"/>
      <c r="E371" s="65"/>
      <c r="F371" s="65"/>
      <c r="H371" s="65"/>
      <c r="J371" s="65"/>
      <c r="K371" s="65"/>
      <c r="L371" s="65"/>
    </row>
    <row r="372" ht="15.75" customHeight="1">
      <c r="C372" s="65"/>
      <c r="D372" s="65"/>
      <c r="E372" s="65"/>
      <c r="F372" s="65"/>
      <c r="H372" s="65"/>
      <c r="J372" s="65"/>
      <c r="K372" s="65"/>
      <c r="L372" s="65"/>
    </row>
    <row r="373" ht="15.75" customHeight="1">
      <c r="C373" s="65"/>
      <c r="D373" s="65"/>
      <c r="E373" s="65"/>
      <c r="F373" s="65"/>
      <c r="H373" s="65"/>
      <c r="J373" s="65"/>
      <c r="K373" s="65"/>
      <c r="L373" s="65"/>
    </row>
    <row r="374" ht="15.75" customHeight="1">
      <c r="C374" s="65"/>
      <c r="D374" s="65"/>
      <c r="E374" s="65"/>
      <c r="F374" s="65"/>
      <c r="H374" s="65"/>
      <c r="J374" s="65"/>
      <c r="K374" s="65"/>
      <c r="L374" s="65"/>
    </row>
    <row r="375" ht="15.75" customHeight="1">
      <c r="C375" s="65"/>
      <c r="D375" s="65"/>
      <c r="E375" s="65"/>
      <c r="F375" s="65"/>
      <c r="H375" s="65"/>
      <c r="J375" s="65"/>
      <c r="K375" s="65"/>
      <c r="L375" s="65"/>
    </row>
    <row r="376" ht="15.75" customHeight="1">
      <c r="C376" s="65"/>
      <c r="D376" s="65"/>
      <c r="E376" s="65"/>
      <c r="F376" s="65"/>
      <c r="H376" s="65"/>
      <c r="J376" s="65"/>
      <c r="K376" s="65"/>
      <c r="L376" s="65"/>
    </row>
    <row r="377" ht="15.75" customHeight="1">
      <c r="C377" s="65"/>
      <c r="D377" s="65"/>
      <c r="E377" s="65"/>
      <c r="F377" s="65"/>
      <c r="H377" s="65"/>
      <c r="J377" s="65"/>
      <c r="K377" s="65"/>
      <c r="L377" s="65"/>
    </row>
    <row r="378" ht="15.75" customHeight="1">
      <c r="C378" s="65"/>
      <c r="D378" s="65"/>
      <c r="E378" s="65"/>
      <c r="F378" s="65"/>
      <c r="H378" s="65"/>
      <c r="J378" s="65"/>
      <c r="K378" s="65"/>
      <c r="L378" s="65"/>
    </row>
    <row r="379" ht="15.75" customHeight="1">
      <c r="C379" s="65"/>
      <c r="D379" s="65"/>
      <c r="E379" s="65"/>
      <c r="F379" s="65"/>
      <c r="H379" s="65"/>
      <c r="J379" s="65"/>
      <c r="K379" s="65"/>
      <c r="L379" s="65"/>
    </row>
    <row r="380" ht="15.75" customHeight="1">
      <c r="C380" s="65"/>
      <c r="D380" s="65"/>
      <c r="E380" s="65"/>
      <c r="F380" s="65"/>
      <c r="H380" s="65"/>
      <c r="J380" s="65"/>
      <c r="K380" s="65"/>
      <c r="L380" s="65"/>
    </row>
    <row r="381" ht="15.75" customHeight="1">
      <c r="C381" s="65"/>
      <c r="D381" s="65"/>
      <c r="E381" s="65"/>
      <c r="F381" s="65"/>
      <c r="H381" s="65"/>
      <c r="J381" s="65"/>
      <c r="K381" s="65"/>
      <c r="L381" s="65"/>
    </row>
    <row r="382" ht="15.75" customHeight="1">
      <c r="C382" s="65"/>
      <c r="D382" s="65"/>
      <c r="E382" s="65"/>
      <c r="F382" s="65"/>
      <c r="H382" s="65"/>
      <c r="J382" s="65"/>
      <c r="K382" s="65"/>
      <c r="L382" s="65"/>
    </row>
    <row r="383" ht="15.75" customHeight="1">
      <c r="C383" s="65"/>
      <c r="D383" s="65"/>
      <c r="E383" s="65"/>
      <c r="F383" s="65"/>
      <c r="H383" s="65"/>
      <c r="J383" s="65"/>
      <c r="K383" s="65"/>
      <c r="L383" s="65"/>
    </row>
    <row r="384" ht="15.75" customHeight="1">
      <c r="C384" s="65"/>
      <c r="D384" s="65"/>
      <c r="E384" s="65"/>
      <c r="F384" s="65"/>
      <c r="H384" s="65"/>
      <c r="J384" s="65"/>
      <c r="K384" s="65"/>
      <c r="L384" s="65"/>
    </row>
    <row r="385" ht="15.75" customHeight="1">
      <c r="C385" s="65"/>
      <c r="D385" s="65"/>
      <c r="E385" s="65"/>
      <c r="F385" s="65"/>
      <c r="H385" s="65"/>
      <c r="J385" s="65"/>
      <c r="K385" s="65"/>
      <c r="L385" s="65"/>
    </row>
    <row r="386" ht="15.75" customHeight="1">
      <c r="C386" s="65"/>
      <c r="D386" s="65"/>
      <c r="E386" s="65"/>
      <c r="F386" s="65"/>
      <c r="H386" s="65"/>
      <c r="J386" s="65"/>
      <c r="K386" s="65"/>
      <c r="L386" s="65"/>
    </row>
    <row r="387" ht="15.75" customHeight="1">
      <c r="C387" s="65"/>
      <c r="D387" s="65"/>
      <c r="E387" s="65"/>
      <c r="F387" s="65"/>
      <c r="H387" s="65"/>
      <c r="J387" s="65"/>
      <c r="K387" s="65"/>
      <c r="L387" s="65"/>
    </row>
    <row r="388" ht="15.75" customHeight="1">
      <c r="C388" s="65"/>
      <c r="D388" s="65"/>
      <c r="E388" s="65"/>
      <c r="F388" s="65"/>
      <c r="H388" s="65"/>
      <c r="J388" s="65"/>
      <c r="K388" s="65"/>
      <c r="L388" s="65"/>
    </row>
    <row r="389" ht="15.75" customHeight="1">
      <c r="C389" s="65"/>
      <c r="D389" s="65"/>
      <c r="E389" s="65"/>
      <c r="F389" s="65"/>
      <c r="H389" s="65"/>
      <c r="J389" s="65"/>
      <c r="K389" s="65"/>
      <c r="L389" s="65"/>
    </row>
    <row r="390" ht="15.75" customHeight="1">
      <c r="C390" s="65"/>
      <c r="D390" s="65"/>
      <c r="E390" s="65"/>
      <c r="F390" s="65"/>
      <c r="H390" s="65"/>
      <c r="J390" s="65"/>
      <c r="K390" s="65"/>
      <c r="L390" s="65"/>
    </row>
    <row r="391" ht="15.75" customHeight="1">
      <c r="C391" s="65"/>
      <c r="D391" s="65"/>
      <c r="E391" s="65"/>
      <c r="F391" s="65"/>
      <c r="H391" s="65"/>
      <c r="J391" s="65"/>
      <c r="K391" s="65"/>
      <c r="L391" s="65"/>
    </row>
    <row r="392" ht="15.75" customHeight="1">
      <c r="C392" s="65"/>
      <c r="D392" s="65"/>
      <c r="E392" s="65"/>
      <c r="F392" s="65"/>
      <c r="H392" s="65"/>
      <c r="J392" s="65"/>
      <c r="K392" s="65"/>
      <c r="L392" s="65"/>
    </row>
    <row r="393" ht="15.75" customHeight="1">
      <c r="C393" s="65"/>
      <c r="D393" s="65"/>
      <c r="E393" s="65"/>
      <c r="F393" s="65"/>
      <c r="H393" s="65"/>
      <c r="J393" s="65"/>
      <c r="K393" s="65"/>
      <c r="L393" s="65"/>
    </row>
    <row r="394" ht="15.75" customHeight="1">
      <c r="C394" s="65"/>
      <c r="D394" s="65"/>
      <c r="E394" s="65"/>
      <c r="F394" s="65"/>
      <c r="H394" s="65"/>
      <c r="J394" s="65"/>
      <c r="K394" s="65"/>
      <c r="L394" s="65"/>
    </row>
    <row r="395" ht="15.75" customHeight="1">
      <c r="C395" s="65"/>
      <c r="D395" s="65"/>
      <c r="E395" s="65"/>
      <c r="F395" s="65"/>
      <c r="H395" s="65"/>
      <c r="J395" s="65"/>
      <c r="K395" s="65"/>
      <c r="L395" s="65"/>
    </row>
    <row r="396" ht="15.75" customHeight="1">
      <c r="C396" s="65"/>
      <c r="D396" s="65"/>
      <c r="E396" s="65"/>
      <c r="F396" s="65"/>
      <c r="H396" s="65"/>
      <c r="J396" s="65"/>
      <c r="K396" s="65"/>
      <c r="L396" s="65"/>
    </row>
    <row r="397" ht="15.75" customHeight="1">
      <c r="C397" s="65"/>
      <c r="D397" s="65"/>
      <c r="E397" s="65"/>
      <c r="F397" s="65"/>
      <c r="H397" s="65"/>
      <c r="J397" s="65"/>
      <c r="K397" s="65"/>
      <c r="L397" s="65"/>
    </row>
    <row r="398" ht="15.75" customHeight="1">
      <c r="C398" s="65"/>
      <c r="D398" s="65"/>
      <c r="E398" s="65"/>
      <c r="F398" s="65"/>
      <c r="H398" s="65"/>
      <c r="J398" s="65"/>
      <c r="K398" s="65"/>
      <c r="L398" s="65"/>
    </row>
    <row r="399" ht="15.75" customHeight="1">
      <c r="C399" s="65"/>
      <c r="D399" s="65"/>
      <c r="E399" s="65"/>
      <c r="F399" s="65"/>
      <c r="H399" s="65"/>
      <c r="J399" s="65"/>
      <c r="K399" s="65"/>
      <c r="L399" s="65"/>
    </row>
    <row r="400" ht="15.75" customHeight="1">
      <c r="C400" s="65"/>
      <c r="D400" s="65"/>
      <c r="E400" s="65"/>
      <c r="F400" s="65"/>
      <c r="H400" s="65"/>
      <c r="J400" s="65"/>
      <c r="K400" s="65"/>
      <c r="L400" s="65"/>
    </row>
    <row r="401" ht="15.75" customHeight="1">
      <c r="C401" s="65"/>
      <c r="D401" s="65"/>
      <c r="E401" s="65"/>
      <c r="F401" s="65"/>
      <c r="H401" s="65"/>
      <c r="J401" s="65"/>
      <c r="K401" s="65"/>
      <c r="L401" s="65"/>
    </row>
    <row r="402" ht="15.75" customHeight="1">
      <c r="C402" s="65"/>
      <c r="D402" s="65"/>
      <c r="E402" s="65"/>
      <c r="F402" s="65"/>
      <c r="H402" s="65"/>
      <c r="J402" s="65"/>
      <c r="K402" s="65"/>
      <c r="L402" s="65"/>
    </row>
    <row r="403" ht="15.75" customHeight="1">
      <c r="C403" s="65"/>
      <c r="D403" s="65"/>
      <c r="E403" s="65"/>
      <c r="F403" s="65"/>
      <c r="H403" s="65"/>
      <c r="J403" s="65"/>
      <c r="K403" s="65"/>
      <c r="L403" s="65"/>
    </row>
    <row r="404" ht="15.75" customHeight="1">
      <c r="C404" s="65"/>
      <c r="D404" s="65"/>
      <c r="E404" s="65"/>
      <c r="F404" s="65"/>
      <c r="H404" s="65"/>
      <c r="J404" s="65"/>
      <c r="K404" s="65"/>
      <c r="L404" s="65"/>
    </row>
    <row r="405" ht="15.75" customHeight="1">
      <c r="C405" s="65"/>
      <c r="D405" s="65"/>
      <c r="E405" s="65"/>
      <c r="F405" s="65"/>
      <c r="H405" s="65"/>
      <c r="J405" s="65"/>
      <c r="K405" s="65"/>
      <c r="L405" s="65"/>
    </row>
    <row r="406" ht="15.75" customHeight="1">
      <c r="C406" s="65"/>
      <c r="D406" s="65"/>
      <c r="E406" s="65"/>
      <c r="F406" s="65"/>
      <c r="H406" s="65"/>
      <c r="J406" s="65"/>
      <c r="K406" s="65"/>
      <c r="L406" s="65"/>
    </row>
    <row r="407" ht="15.75" customHeight="1">
      <c r="C407" s="65"/>
      <c r="D407" s="65"/>
      <c r="E407" s="65"/>
      <c r="F407" s="65"/>
      <c r="H407" s="65"/>
      <c r="J407" s="65"/>
      <c r="K407" s="65"/>
      <c r="L407" s="65"/>
    </row>
    <row r="408" ht="15.75" customHeight="1">
      <c r="C408" s="65"/>
      <c r="D408" s="65"/>
      <c r="E408" s="65"/>
      <c r="F408" s="65"/>
      <c r="H408" s="65"/>
      <c r="J408" s="65"/>
      <c r="K408" s="65"/>
      <c r="L408" s="65"/>
    </row>
    <row r="409" ht="15.75" customHeight="1">
      <c r="C409" s="65"/>
      <c r="D409" s="65"/>
      <c r="E409" s="65"/>
      <c r="F409" s="65"/>
      <c r="H409" s="65"/>
      <c r="J409" s="65"/>
      <c r="K409" s="65"/>
      <c r="L409" s="65"/>
    </row>
    <row r="410" ht="15.75" customHeight="1">
      <c r="C410" s="65"/>
      <c r="D410" s="65"/>
      <c r="E410" s="65"/>
      <c r="F410" s="65"/>
      <c r="H410" s="65"/>
      <c r="J410" s="65"/>
      <c r="K410" s="65"/>
      <c r="L410" s="65"/>
    </row>
    <row r="411" ht="15.75" customHeight="1">
      <c r="C411" s="65"/>
      <c r="D411" s="65"/>
      <c r="E411" s="65"/>
      <c r="F411" s="65"/>
      <c r="H411" s="65"/>
      <c r="J411" s="65"/>
      <c r="K411" s="65"/>
      <c r="L411" s="65"/>
    </row>
    <row r="412" ht="15.75" customHeight="1">
      <c r="C412" s="65"/>
      <c r="D412" s="65"/>
      <c r="E412" s="65"/>
      <c r="F412" s="65"/>
      <c r="H412" s="65"/>
      <c r="J412" s="65"/>
      <c r="K412" s="65"/>
      <c r="L412" s="65"/>
    </row>
    <row r="413" ht="15.75" customHeight="1">
      <c r="C413" s="65"/>
      <c r="D413" s="65"/>
      <c r="E413" s="65"/>
      <c r="F413" s="65"/>
      <c r="H413" s="65"/>
      <c r="J413" s="65"/>
      <c r="K413" s="65"/>
      <c r="L413" s="65"/>
    </row>
    <row r="414" ht="15.75" customHeight="1">
      <c r="C414" s="65"/>
      <c r="D414" s="65"/>
      <c r="E414" s="65"/>
      <c r="F414" s="65"/>
      <c r="H414" s="65"/>
      <c r="J414" s="65"/>
      <c r="K414" s="65"/>
      <c r="L414" s="65"/>
    </row>
    <row r="415" ht="15.75" customHeight="1">
      <c r="C415" s="65"/>
      <c r="D415" s="65"/>
      <c r="E415" s="65"/>
      <c r="F415" s="65"/>
      <c r="H415" s="65"/>
      <c r="J415" s="65"/>
      <c r="K415" s="65"/>
      <c r="L415" s="65"/>
    </row>
    <row r="416" ht="15.75" customHeight="1">
      <c r="C416" s="65"/>
      <c r="D416" s="65"/>
      <c r="E416" s="65"/>
      <c r="F416" s="65"/>
      <c r="H416" s="65"/>
      <c r="J416" s="65"/>
      <c r="K416" s="65"/>
      <c r="L416" s="65"/>
    </row>
    <row r="417" ht="15.75" customHeight="1">
      <c r="C417" s="65"/>
      <c r="D417" s="65"/>
      <c r="E417" s="65"/>
      <c r="F417" s="65"/>
      <c r="H417" s="65"/>
      <c r="J417" s="65"/>
      <c r="K417" s="65"/>
      <c r="L417" s="65"/>
    </row>
    <row r="418" ht="15.75" customHeight="1">
      <c r="C418" s="65"/>
      <c r="D418" s="65"/>
      <c r="E418" s="65"/>
      <c r="F418" s="65"/>
      <c r="H418" s="65"/>
      <c r="J418" s="65"/>
      <c r="K418" s="65"/>
      <c r="L418" s="65"/>
    </row>
    <row r="419" ht="15.75" customHeight="1">
      <c r="C419" s="65"/>
      <c r="D419" s="65"/>
      <c r="E419" s="65"/>
      <c r="F419" s="65"/>
      <c r="H419" s="65"/>
      <c r="J419" s="65"/>
      <c r="K419" s="65"/>
      <c r="L419" s="65"/>
    </row>
    <row r="420" ht="15.75" customHeight="1">
      <c r="C420" s="65"/>
      <c r="D420" s="65"/>
      <c r="E420" s="65"/>
      <c r="F420" s="65"/>
      <c r="H420" s="65"/>
      <c r="J420" s="65"/>
      <c r="K420" s="65"/>
      <c r="L420" s="65"/>
    </row>
    <row r="421" ht="15.75" customHeight="1">
      <c r="C421" s="65"/>
      <c r="D421" s="65"/>
      <c r="E421" s="65"/>
      <c r="F421" s="65"/>
      <c r="H421" s="65"/>
      <c r="J421" s="65"/>
      <c r="K421" s="65"/>
      <c r="L421" s="65"/>
    </row>
    <row r="422" ht="15.75" customHeight="1">
      <c r="C422" s="65"/>
      <c r="D422" s="65"/>
      <c r="E422" s="65"/>
      <c r="F422" s="65"/>
      <c r="H422" s="65"/>
      <c r="J422" s="65"/>
      <c r="K422" s="65"/>
      <c r="L422" s="65"/>
    </row>
    <row r="423" ht="15.75" customHeight="1">
      <c r="C423" s="65"/>
      <c r="D423" s="65"/>
      <c r="E423" s="65"/>
      <c r="F423" s="65"/>
      <c r="H423" s="65"/>
      <c r="J423" s="65"/>
      <c r="K423" s="65"/>
      <c r="L423" s="65"/>
    </row>
    <row r="424" ht="15.75" customHeight="1">
      <c r="C424" s="65"/>
      <c r="D424" s="65"/>
      <c r="E424" s="65"/>
      <c r="F424" s="65"/>
      <c r="H424" s="65"/>
      <c r="J424" s="65"/>
      <c r="K424" s="65"/>
      <c r="L424" s="65"/>
    </row>
    <row r="425" ht="15.75" customHeight="1">
      <c r="C425" s="65"/>
      <c r="D425" s="65"/>
      <c r="E425" s="65"/>
      <c r="F425" s="65"/>
      <c r="H425" s="65"/>
      <c r="J425" s="65"/>
      <c r="K425" s="65"/>
      <c r="L425" s="65"/>
    </row>
    <row r="426" ht="15.75" customHeight="1">
      <c r="C426" s="65"/>
      <c r="D426" s="65"/>
      <c r="E426" s="65"/>
      <c r="F426" s="65"/>
      <c r="H426" s="65"/>
      <c r="J426" s="65"/>
      <c r="K426" s="65"/>
      <c r="L426" s="65"/>
    </row>
    <row r="427" ht="15.75" customHeight="1">
      <c r="C427" s="65"/>
      <c r="D427" s="65"/>
      <c r="E427" s="65"/>
      <c r="F427" s="65"/>
      <c r="H427" s="65"/>
      <c r="J427" s="65"/>
      <c r="K427" s="65"/>
      <c r="L427" s="65"/>
    </row>
    <row r="428" ht="15.75" customHeight="1">
      <c r="C428" s="65"/>
      <c r="D428" s="65"/>
      <c r="E428" s="65"/>
      <c r="F428" s="65"/>
      <c r="H428" s="65"/>
      <c r="J428" s="65"/>
      <c r="K428" s="65"/>
      <c r="L428" s="65"/>
    </row>
    <row r="429" ht="15.75" customHeight="1">
      <c r="C429" s="65"/>
      <c r="D429" s="65"/>
      <c r="E429" s="65"/>
      <c r="F429" s="65"/>
      <c r="H429" s="65"/>
      <c r="J429" s="65"/>
      <c r="K429" s="65"/>
      <c r="L429" s="65"/>
    </row>
    <row r="430" ht="15.75" customHeight="1">
      <c r="C430" s="65"/>
      <c r="D430" s="65"/>
      <c r="E430" s="65"/>
      <c r="F430" s="65"/>
      <c r="H430" s="65"/>
      <c r="J430" s="65"/>
      <c r="K430" s="65"/>
      <c r="L430" s="65"/>
    </row>
    <row r="431" ht="15.75" customHeight="1">
      <c r="C431" s="65"/>
      <c r="D431" s="65"/>
      <c r="E431" s="65"/>
      <c r="F431" s="65"/>
      <c r="H431" s="65"/>
      <c r="J431" s="65"/>
      <c r="K431" s="65"/>
      <c r="L431" s="65"/>
    </row>
    <row r="432" ht="15.75" customHeight="1">
      <c r="C432" s="65"/>
      <c r="D432" s="65"/>
      <c r="E432" s="65"/>
      <c r="F432" s="65"/>
      <c r="H432" s="65"/>
      <c r="J432" s="65"/>
      <c r="K432" s="65"/>
      <c r="L432" s="65"/>
    </row>
    <row r="433" ht="15.75" customHeight="1">
      <c r="C433" s="65"/>
      <c r="D433" s="65"/>
      <c r="E433" s="65"/>
      <c r="F433" s="65"/>
      <c r="H433" s="65"/>
      <c r="J433" s="65"/>
      <c r="K433" s="65"/>
      <c r="L433" s="65"/>
    </row>
    <row r="434" ht="15.75" customHeight="1">
      <c r="C434" s="65"/>
      <c r="D434" s="65"/>
      <c r="E434" s="65"/>
      <c r="F434" s="65"/>
      <c r="H434" s="65"/>
      <c r="J434" s="65"/>
      <c r="K434" s="65"/>
      <c r="L434" s="65"/>
    </row>
    <row r="435" ht="15.75" customHeight="1">
      <c r="C435" s="65"/>
      <c r="D435" s="65"/>
      <c r="E435" s="65"/>
      <c r="F435" s="65"/>
      <c r="H435" s="65"/>
      <c r="J435" s="65"/>
      <c r="K435" s="65"/>
      <c r="L435" s="65"/>
    </row>
    <row r="436" ht="15.75" customHeight="1">
      <c r="C436" s="65"/>
      <c r="D436" s="65"/>
      <c r="E436" s="65"/>
      <c r="F436" s="65"/>
      <c r="H436" s="65"/>
      <c r="J436" s="65"/>
      <c r="K436" s="65"/>
      <c r="L436" s="65"/>
    </row>
    <row r="437" ht="15.75" customHeight="1">
      <c r="C437" s="65"/>
      <c r="D437" s="65"/>
      <c r="E437" s="65"/>
      <c r="F437" s="65"/>
      <c r="H437" s="65"/>
      <c r="J437" s="65"/>
      <c r="K437" s="65"/>
      <c r="L437" s="65"/>
    </row>
    <row r="438" ht="15.75" customHeight="1">
      <c r="C438" s="65"/>
      <c r="D438" s="65"/>
      <c r="E438" s="65"/>
      <c r="F438" s="65"/>
      <c r="H438" s="65"/>
      <c r="J438" s="65"/>
      <c r="K438" s="65"/>
      <c r="L438" s="65"/>
    </row>
    <row r="439" ht="15.75" customHeight="1">
      <c r="C439" s="65"/>
      <c r="D439" s="65"/>
      <c r="E439" s="65"/>
      <c r="F439" s="65"/>
      <c r="H439" s="65"/>
      <c r="J439" s="65"/>
      <c r="K439" s="65"/>
      <c r="L439" s="65"/>
    </row>
    <row r="440" ht="15.75" customHeight="1">
      <c r="C440" s="65"/>
      <c r="D440" s="65"/>
      <c r="E440" s="65"/>
      <c r="F440" s="65"/>
      <c r="H440" s="65"/>
      <c r="J440" s="65"/>
      <c r="K440" s="65"/>
      <c r="L440" s="65"/>
    </row>
    <row r="441" ht="15.75" customHeight="1">
      <c r="C441" s="65"/>
      <c r="D441" s="65"/>
      <c r="E441" s="65"/>
      <c r="F441" s="65"/>
      <c r="H441" s="65"/>
      <c r="J441" s="65"/>
      <c r="K441" s="65"/>
      <c r="L441" s="65"/>
    </row>
    <row r="442" ht="15.75" customHeight="1">
      <c r="C442" s="65"/>
      <c r="D442" s="65"/>
      <c r="E442" s="65"/>
      <c r="F442" s="65"/>
      <c r="H442" s="65"/>
      <c r="J442" s="65"/>
      <c r="K442" s="65"/>
      <c r="L442" s="65"/>
    </row>
    <row r="443" ht="15.75" customHeight="1">
      <c r="C443" s="65"/>
      <c r="D443" s="65"/>
      <c r="E443" s="65"/>
      <c r="F443" s="65"/>
      <c r="H443" s="65"/>
      <c r="J443" s="65"/>
      <c r="K443" s="65"/>
      <c r="L443" s="65"/>
    </row>
    <row r="444" ht="15.75" customHeight="1">
      <c r="C444" s="65"/>
      <c r="D444" s="65"/>
      <c r="E444" s="65"/>
      <c r="F444" s="65"/>
      <c r="H444" s="65"/>
      <c r="J444" s="65"/>
      <c r="K444" s="65"/>
      <c r="L444" s="65"/>
    </row>
    <row r="445" ht="15.75" customHeight="1">
      <c r="C445" s="65"/>
      <c r="D445" s="65"/>
      <c r="E445" s="65"/>
      <c r="F445" s="65"/>
      <c r="H445" s="65"/>
      <c r="J445" s="65"/>
      <c r="K445" s="65"/>
      <c r="L445" s="65"/>
    </row>
    <row r="446" ht="15.75" customHeight="1">
      <c r="C446" s="65"/>
      <c r="D446" s="65"/>
      <c r="E446" s="65"/>
      <c r="F446" s="65"/>
      <c r="H446" s="65"/>
      <c r="J446" s="65"/>
      <c r="K446" s="65"/>
      <c r="L446" s="65"/>
    </row>
    <row r="447" ht="15.75" customHeight="1">
      <c r="C447" s="65"/>
      <c r="D447" s="65"/>
      <c r="E447" s="65"/>
      <c r="F447" s="65"/>
      <c r="H447" s="65"/>
      <c r="J447" s="65"/>
      <c r="K447" s="65"/>
      <c r="L447" s="65"/>
    </row>
    <row r="448" ht="15.75" customHeight="1">
      <c r="C448" s="65"/>
      <c r="D448" s="65"/>
      <c r="E448" s="65"/>
      <c r="F448" s="65"/>
      <c r="H448" s="65"/>
      <c r="J448" s="65"/>
      <c r="K448" s="65"/>
      <c r="L448" s="65"/>
    </row>
    <row r="449" ht="15.75" customHeight="1">
      <c r="C449" s="65"/>
      <c r="D449" s="65"/>
      <c r="E449" s="65"/>
      <c r="F449" s="65"/>
      <c r="H449" s="65"/>
      <c r="J449" s="65"/>
      <c r="K449" s="65"/>
      <c r="L449" s="65"/>
    </row>
    <row r="450" ht="15.75" customHeight="1">
      <c r="C450" s="65"/>
      <c r="D450" s="65"/>
      <c r="E450" s="65"/>
      <c r="F450" s="65"/>
      <c r="H450" s="65"/>
      <c r="J450" s="65"/>
      <c r="K450" s="65"/>
      <c r="L450" s="65"/>
    </row>
    <row r="451" ht="15.75" customHeight="1">
      <c r="C451" s="65"/>
      <c r="D451" s="65"/>
      <c r="E451" s="65"/>
      <c r="F451" s="65"/>
      <c r="H451" s="65"/>
      <c r="J451" s="65"/>
      <c r="K451" s="65"/>
      <c r="L451" s="65"/>
    </row>
    <row r="452" ht="15.75" customHeight="1">
      <c r="C452" s="65"/>
      <c r="D452" s="65"/>
      <c r="E452" s="65"/>
      <c r="F452" s="65"/>
      <c r="H452" s="65"/>
      <c r="J452" s="65"/>
      <c r="K452" s="65"/>
      <c r="L452" s="65"/>
    </row>
    <row r="453" ht="15.75" customHeight="1">
      <c r="C453" s="65"/>
      <c r="D453" s="65"/>
      <c r="E453" s="65"/>
      <c r="F453" s="65"/>
      <c r="H453" s="65"/>
      <c r="J453" s="65"/>
      <c r="K453" s="65"/>
      <c r="L453" s="65"/>
    </row>
    <row r="454" ht="15.75" customHeight="1">
      <c r="C454" s="65"/>
      <c r="D454" s="65"/>
      <c r="E454" s="65"/>
      <c r="F454" s="65"/>
      <c r="H454" s="65"/>
      <c r="J454" s="65"/>
      <c r="K454" s="65"/>
      <c r="L454" s="65"/>
    </row>
    <row r="455" ht="15.75" customHeight="1">
      <c r="C455" s="65"/>
      <c r="D455" s="65"/>
      <c r="E455" s="65"/>
      <c r="F455" s="65"/>
      <c r="H455" s="65"/>
      <c r="J455" s="65"/>
      <c r="K455" s="65"/>
      <c r="L455" s="65"/>
    </row>
    <row r="456" ht="15.75" customHeight="1">
      <c r="C456" s="65"/>
      <c r="D456" s="65"/>
      <c r="E456" s="65"/>
      <c r="F456" s="65"/>
      <c r="H456" s="65"/>
      <c r="J456" s="65"/>
      <c r="K456" s="65"/>
      <c r="L456" s="65"/>
    </row>
    <row r="457" ht="15.75" customHeight="1">
      <c r="C457" s="65"/>
      <c r="D457" s="65"/>
      <c r="E457" s="65"/>
      <c r="F457" s="65"/>
      <c r="H457" s="65"/>
      <c r="J457" s="65"/>
      <c r="K457" s="65"/>
      <c r="L457" s="65"/>
    </row>
    <row r="458" ht="15.75" customHeight="1">
      <c r="C458" s="65"/>
      <c r="D458" s="65"/>
      <c r="E458" s="65"/>
      <c r="F458" s="65"/>
      <c r="H458" s="65"/>
      <c r="J458" s="65"/>
      <c r="K458" s="65"/>
      <c r="L458" s="65"/>
    </row>
    <row r="459" ht="15.75" customHeight="1">
      <c r="C459" s="65"/>
      <c r="D459" s="65"/>
      <c r="E459" s="65"/>
      <c r="F459" s="65"/>
      <c r="H459" s="65"/>
      <c r="J459" s="65"/>
      <c r="K459" s="65"/>
      <c r="L459" s="65"/>
    </row>
    <row r="460" ht="15.75" customHeight="1">
      <c r="C460" s="65"/>
      <c r="D460" s="65"/>
      <c r="E460" s="65"/>
      <c r="F460" s="65"/>
      <c r="H460" s="65"/>
      <c r="J460" s="65"/>
      <c r="K460" s="65"/>
      <c r="L460" s="65"/>
    </row>
    <row r="461" ht="15.75" customHeight="1">
      <c r="C461" s="65"/>
      <c r="D461" s="65"/>
      <c r="E461" s="65"/>
      <c r="F461" s="65"/>
      <c r="H461" s="65"/>
      <c r="J461" s="65"/>
      <c r="K461" s="65"/>
      <c r="L461" s="65"/>
    </row>
    <row r="462" ht="15.75" customHeight="1">
      <c r="C462" s="65"/>
      <c r="D462" s="65"/>
      <c r="E462" s="65"/>
      <c r="F462" s="65"/>
      <c r="H462" s="65"/>
      <c r="J462" s="65"/>
      <c r="K462" s="65"/>
      <c r="L462" s="65"/>
    </row>
    <row r="463" ht="15.75" customHeight="1">
      <c r="C463" s="65"/>
      <c r="D463" s="65"/>
      <c r="E463" s="65"/>
      <c r="F463" s="65"/>
      <c r="H463" s="65"/>
      <c r="J463" s="65"/>
      <c r="K463" s="65"/>
      <c r="L463" s="65"/>
    </row>
    <row r="464" ht="15.75" customHeight="1">
      <c r="C464" s="65"/>
      <c r="D464" s="65"/>
      <c r="E464" s="65"/>
      <c r="F464" s="65"/>
      <c r="H464" s="65"/>
      <c r="J464" s="65"/>
      <c r="K464" s="65"/>
      <c r="L464" s="65"/>
    </row>
    <row r="465" ht="15.75" customHeight="1">
      <c r="C465" s="65"/>
      <c r="D465" s="65"/>
      <c r="E465" s="65"/>
      <c r="F465" s="65"/>
      <c r="H465" s="65"/>
      <c r="J465" s="65"/>
      <c r="K465" s="65"/>
      <c r="L465" s="65"/>
    </row>
    <row r="466" ht="15.75" customHeight="1">
      <c r="C466" s="65"/>
      <c r="D466" s="65"/>
      <c r="E466" s="65"/>
      <c r="F466" s="65"/>
      <c r="H466" s="65"/>
      <c r="J466" s="65"/>
      <c r="K466" s="65"/>
      <c r="L466" s="65"/>
    </row>
    <row r="467" ht="15.75" customHeight="1">
      <c r="C467" s="65"/>
      <c r="D467" s="65"/>
      <c r="E467" s="65"/>
      <c r="F467" s="65"/>
      <c r="H467" s="65"/>
      <c r="J467" s="65"/>
      <c r="K467" s="65"/>
      <c r="L467" s="65"/>
    </row>
    <row r="468" ht="15.75" customHeight="1">
      <c r="C468" s="65"/>
      <c r="D468" s="65"/>
      <c r="E468" s="65"/>
      <c r="F468" s="65"/>
      <c r="H468" s="65"/>
      <c r="J468" s="65"/>
      <c r="K468" s="65"/>
      <c r="L468" s="65"/>
    </row>
    <row r="469" ht="15.75" customHeight="1">
      <c r="C469" s="65"/>
      <c r="D469" s="65"/>
      <c r="E469" s="65"/>
      <c r="F469" s="65"/>
      <c r="H469" s="65"/>
      <c r="J469" s="65"/>
      <c r="K469" s="65"/>
      <c r="L469" s="65"/>
    </row>
    <row r="470" ht="15.75" customHeight="1">
      <c r="C470" s="65"/>
      <c r="D470" s="65"/>
      <c r="E470" s="65"/>
      <c r="F470" s="65"/>
      <c r="H470" s="65"/>
      <c r="J470" s="65"/>
      <c r="K470" s="65"/>
      <c r="L470" s="65"/>
    </row>
    <row r="471" ht="15.75" customHeight="1">
      <c r="C471" s="65"/>
      <c r="D471" s="65"/>
      <c r="E471" s="65"/>
      <c r="F471" s="65"/>
      <c r="H471" s="65"/>
      <c r="J471" s="65"/>
      <c r="K471" s="65"/>
      <c r="L471" s="65"/>
    </row>
    <row r="472" ht="15.75" customHeight="1">
      <c r="C472" s="65"/>
      <c r="D472" s="65"/>
      <c r="E472" s="65"/>
      <c r="F472" s="65"/>
      <c r="H472" s="65"/>
      <c r="J472" s="65"/>
      <c r="K472" s="65"/>
      <c r="L472" s="65"/>
    </row>
    <row r="473" ht="15.75" customHeight="1">
      <c r="C473" s="65"/>
      <c r="D473" s="65"/>
      <c r="E473" s="65"/>
      <c r="F473" s="65"/>
      <c r="H473" s="65"/>
      <c r="J473" s="65"/>
      <c r="K473" s="65"/>
      <c r="L473" s="65"/>
    </row>
    <row r="474" ht="15.75" customHeight="1">
      <c r="C474" s="65"/>
      <c r="D474" s="65"/>
      <c r="E474" s="65"/>
      <c r="F474" s="65"/>
      <c r="H474" s="65"/>
      <c r="J474" s="65"/>
      <c r="K474" s="65"/>
      <c r="L474" s="65"/>
    </row>
    <row r="475" ht="15.75" customHeight="1">
      <c r="C475" s="65"/>
      <c r="D475" s="65"/>
      <c r="E475" s="65"/>
      <c r="F475" s="65"/>
      <c r="H475" s="65"/>
      <c r="J475" s="65"/>
      <c r="K475" s="65"/>
      <c r="L475" s="65"/>
    </row>
    <row r="476" ht="15.75" customHeight="1">
      <c r="C476" s="65"/>
      <c r="D476" s="65"/>
      <c r="E476" s="65"/>
      <c r="F476" s="65"/>
      <c r="H476" s="65"/>
      <c r="J476" s="65"/>
      <c r="K476" s="65"/>
      <c r="L476" s="65"/>
    </row>
    <row r="477" ht="15.75" customHeight="1">
      <c r="C477" s="65"/>
      <c r="D477" s="65"/>
      <c r="E477" s="65"/>
      <c r="F477" s="65"/>
      <c r="H477" s="65"/>
      <c r="J477" s="65"/>
      <c r="K477" s="65"/>
      <c r="L477" s="65"/>
    </row>
    <row r="478" ht="15.75" customHeight="1">
      <c r="C478" s="65"/>
      <c r="D478" s="65"/>
      <c r="E478" s="65"/>
      <c r="F478" s="65"/>
      <c r="H478" s="65"/>
      <c r="J478" s="65"/>
      <c r="K478" s="65"/>
      <c r="L478" s="65"/>
    </row>
    <row r="479" ht="15.75" customHeight="1">
      <c r="C479" s="65"/>
      <c r="D479" s="65"/>
      <c r="E479" s="65"/>
      <c r="F479" s="65"/>
      <c r="H479" s="65"/>
      <c r="J479" s="65"/>
      <c r="K479" s="65"/>
      <c r="L479" s="65"/>
    </row>
    <row r="480" ht="15.75" customHeight="1">
      <c r="C480" s="65"/>
      <c r="D480" s="65"/>
      <c r="E480" s="65"/>
      <c r="F480" s="65"/>
      <c r="H480" s="65"/>
      <c r="J480" s="65"/>
      <c r="K480" s="65"/>
      <c r="L480" s="65"/>
    </row>
    <row r="481" ht="15.75" customHeight="1">
      <c r="C481" s="65"/>
      <c r="D481" s="65"/>
      <c r="E481" s="65"/>
      <c r="F481" s="65"/>
      <c r="H481" s="65"/>
      <c r="J481" s="65"/>
      <c r="K481" s="65"/>
      <c r="L481" s="65"/>
    </row>
    <row r="482" ht="15.75" customHeight="1">
      <c r="C482" s="65"/>
      <c r="D482" s="65"/>
      <c r="E482" s="65"/>
      <c r="F482" s="65"/>
      <c r="H482" s="65"/>
      <c r="J482" s="65"/>
      <c r="K482" s="65"/>
      <c r="L482" s="65"/>
    </row>
    <row r="483" ht="15.75" customHeight="1">
      <c r="C483" s="65"/>
      <c r="D483" s="65"/>
      <c r="E483" s="65"/>
      <c r="F483" s="65"/>
      <c r="H483" s="65"/>
      <c r="J483" s="65"/>
      <c r="K483" s="65"/>
      <c r="L483" s="65"/>
    </row>
    <row r="484" ht="15.75" customHeight="1">
      <c r="C484" s="65"/>
      <c r="D484" s="65"/>
      <c r="E484" s="65"/>
      <c r="F484" s="65"/>
      <c r="H484" s="65"/>
      <c r="J484" s="65"/>
      <c r="K484" s="65"/>
      <c r="L484" s="65"/>
    </row>
    <row r="485" ht="15.75" customHeight="1">
      <c r="C485" s="65"/>
      <c r="D485" s="65"/>
      <c r="E485" s="65"/>
      <c r="F485" s="65"/>
      <c r="H485" s="65"/>
      <c r="J485" s="65"/>
      <c r="K485" s="65"/>
      <c r="L485" s="65"/>
    </row>
    <row r="486" ht="15.75" customHeight="1">
      <c r="C486" s="65"/>
      <c r="D486" s="65"/>
      <c r="E486" s="65"/>
      <c r="F486" s="65"/>
      <c r="H486" s="65"/>
      <c r="J486" s="65"/>
      <c r="K486" s="65"/>
      <c r="L486" s="65"/>
    </row>
    <row r="487" ht="15.75" customHeight="1">
      <c r="C487" s="65"/>
      <c r="D487" s="65"/>
      <c r="E487" s="65"/>
      <c r="F487" s="65"/>
      <c r="H487" s="65"/>
      <c r="J487" s="65"/>
      <c r="K487" s="65"/>
      <c r="L487" s="65"/>
    </row>
    <row r="488" ht="15.75" customHeight="1">
      <c r="C488" s="65"/>
      <c r="D488" s="65"/>
      <c r="E488" s="65"/>
      <c r="F488" s="65"/>
      <c r="H488" s="65"/>
      <c r="J488" s="65"/>
      <c r="K488" s="65"/>
      <c r="L488" s="65"/>
    </row>
    <row r="489" ht="15.75" customHeight="1">
      <c r="C489" s="65"/>
      <c r="D489" s="65"/>
      <c r="E489" s="65"/>
      <c r="F489" s="65"/>
      <c r="H489" s="65"/>
      <c r="J489" s="65"/>
      <c r="K489" s="65"/>
      <c r="L489" s="65"/>
    </row>
    <row r="490" ht="15.75" customHeight="1">
      <c r="C490" s="65"/>
      <c r="D490" s="65"/>
      <c r="E490" s="65"/>
      <c r="F490" s="65"/>
      <c r="H490" s="65"/>
      <c r="J490" s="65"/>
      <c r="K490" s="65"/>
      <c r="L490" s="65"/>
    </row>
    <row r="491" ht="15.75" customHeight="1">
      <c r="C491" s="65"/>
      <c r="D491" s="65"/>
      <c r="E491" s="65"/>
      <c r="F491" s="65"/>
      <c r="H491" s="65"/>
      <c r="J491" s="65"/>
      <c r="K491" s="65"/>
      <c r="L491" s="65"/>
    </row>
    <row r="492" ht="15.75" customHeight="1">
      <c r="C492" s="65"/>
      <c r="D492" s="65"/>
      <c r="E492" s="65"/>
      <c r="F492" s="65"/>
      <c r="H492" s="65"/>
      <c r="J492" s="65"/>
      <c r="K492" s="65"/>
      <c r="L492" s="65"/>
    </row>
    <row r="493" ht="15.75" customHeight="1">
      <c r="C493" s="65"/>
      <c r="D493" s="65"/>
      <c r="E493" s="65"/>
      <c r="F493" s="65"/>
      <c r="H493" s="65"/>
      <c r="J493" s="65"/>
      <c r="K493" s="65"/>
      <c r="L493" s="65"/>
    </row>
    <row r="494" ht="15.75" customHeight="1">
      <c r="C494" s="65"/>
      <c r="D494" s="65"/>
      <c r="E494" s="65"/>
      <c r="F494" s="65"/>
      <c r="H494" s="65"/>
      <c r="J494" s="65"/>
      <c r="K494" s="65"/>
      <c r="L494" s="65"/>
    </row>
    <row r="495" ht="15.75" customHeight="1">
      <c r="C495" s="65"/>
      <c r="D495" s="65"/>
      <c r="E495" s="65"/>
      <c r="F495" s="65"/>
      <c r="H495" s="65"/>
      <c r="J495" s="65"/>
      <c r="K495" s="65"/>
      <c r="L495" s="65"/>
    </row>
    <row r="496" ht="15.75" customHeight="1">
      <c r="C496" s="65"/>
      <c r="D496" s="65"/>
      <c r="E496" s="65"/>
      <c r="F496" s="65"/>
      <c r="H496" s="65"/>
      <c r="J496" s="65"/>
      <c r="K496" s="65"/>
      <c r="L496" s="65"/>
    </row>
    <row r="497" ht="15.75" customHeight="1">
      <c r="C497" s="65"/>
      <c r="D497" s="65"/>
      <c r="E497" s="65"/>
      <c r="F497" s="65"/>
      <c r="H497" s="65"/>
      <c r="J497" s="65"/>
      <c r="K497" s="65"/>
      <c r="L497" s="65"/>
    </row>
    <row r="498" ht="15.75" customHeight="1">
      <c r="C498" s="65"/>
      <c r="D498" s="65"/>
      <c r="E498" s="65"/>
      <c r="F498" s="65"/>
      <c r="H498" s="65"/>
      <c r="J498" s="65"/>
      <c r="K498" s="65"/>
      <c r="L498" s="65"/>
    </row>
    <row r="499" ht="15.75" customHeight="1">
      <c r="C499" s="65"/>
      <c r="D499" s="65"/>
      <c r="E499" s="65"/>
      <c r="F499" s="65"/>
      <c r="H499" s="65"/>
      <c r="J499" s="65"/>
      <c r="K499" s="65"/>
      <c r="L499" s="65"/>
    </row>
    <row r="500" ht="15.75" customHeight="1">
      <c r="C500" s="65"/>
      <c r="D500" s="65"/>
      <c r="E500" s="65"/>
      <c r="F500" s="65"/>
      <c r="H500" s="65"/>
      <c r="J500" s="65"/>
      <c r="K500" s="65"/>
      <c r="L500" s="65"/>
    </row>
    <row r="501" ht="15.75" customHeight="1">
      <c r="C501" s="65"/>
      <c r="D501" s="65"/>
      <c r="E501" s="65"/>
      <c r="F501" s="65"/>
      <c r="H501" s="65"/>
      <c r="J501" s="65"/>
      <c r="K501" s="65"/>
      <c r="L501" s="65"/>
    </row>
    <row r="502" ht="15.75" customHeight="1">
      <c r="C502" s="65"/>
      <c r="D502" s="65"/>
      <c r="E502" s="65"/>
      <c r="F502" s="65"/>
      <c r="H502" s="65"/>
      <c r="J502" s="65"/>
      <c r="K502" s="65"/>
      <c r="L502" s="65"/>
    </row>
    <row r="503" ht="15.75" customHeight="1">
      <c r="C503" s="65"/>
      <c r="D503" s="65"/>
      <c r="E503" s="65"/>
      <c r="F503" s="65"/>
      <c r="H503" s="65"/>
      <c r="J503" s="65"/>
      <c r="K503" s="65"/>
      <c r="L503" s="65"/>
    </row>
    <row r="504" ht="15.75" customHeight="1">
      <c r="C504" s="65"/>
      <c r="D504" s="65"/>
      <c r="E504" s="65"/>
      <c r="F504" s="65"/>
      <c r="H504" s="65"/>
      <c r="J504" s="65"/>
      <c r="K504" s="65"/>
      <c r="L504" s="65"/>
    </row>
    <row r="505" ht="15.75" customHeight="1">
      <c r="C505" s="65"/>
      <c r="D505" s="65"/>
      <c r="E505" s="65"/>
      <c r="F505" s="65"/>
      <c r="H505" s="65"/>
      <c r="J505" s="65"/>
      <c r="K505" s="65"/>
      <c r="L505" s="65"/>
    </row>
    <row r="506" ht="15.75" customHeight="1">
      <c r="C506" s="65"/>
      <c r="D506" s="65"/>
      <c r="E506" s="65"/>
      <c r="F506" s="65"/>
      <c r="H506" s="65"/>
      <c r="J506" s="65"/>
      <c r="K506" s="65"/>
      <c r="L506" s="65"/>
    </row>
    <row r="507" ht="15.75" customHeight="1">
      <c r="C507" s="65"/>
      <c r="D507" s="65"/>
      <c r="E507" s="65"/>
      <c r="F507" s="65"/>
      <c r="H507" s="65"/>
      <c r="J507" s="65"/>
      <c r="K507" s="65"/>
      <c r="L507" s="65"/>
    </row>
    <row r="508" ht="15.75" customHeight="1">
      <c r="C508" s="65"/>
      <c r="D508" s="65"/>
      <c r="E508" s="65"/>
      <c r="F508" s="65"/>
      <c r="H508" s="65"/>
      <c r="J508" s="65"/>
      <c r="K508" s="65"/>
      <c r="L508" s="65"/>
    </row>
    <row r="509" ht="15.75" customHeight="1">
      <c r="C509" s="65"/>
      <c r="D509" s="65"/>
      <c r="E509" s="65"/>
      <c r="F509" s="65"/>
      <c r="H509" s="65"/>
      <c r="J509" s="65"/>
      <c r="K509" s="65"/>
      <c r="L509" s="65"/>
    </row>
    <row r="510" ht="15.75" customHeight="1">
      <c r="C510" s="65"/>
      <c r="D510" s="65"/>
      <c r="E510" s="65"/>
      <c r="F510" s="65"/>
      <c r="H510" s="65"/>
      <c r="J510" s="65"/>
      <c r="K510" s="65"/>
      <c r="L510" s="65"/>
    </row>
    <row r="511" ht="15.75" customHeight="1">
      <c r="C511" s="65"/>
      <c r="D511" s="65"/>
      <c r="E511" s="65"/>
      <c r="F511" s="65"/>
      <c r="H511" s="65"/>
      <c r="J511" s="65"/>
      <c r="K511" s="65"/>
      <c r="L511" s="65"/>
    </row>
    <row r="512" ht="15.75" customHeight="1">
      <c r="C512" s="65"/>
      <c r="D512" s="65"/>
      <c r="E512" s="65"/>
      <c r="F512" s="65"/>
      <c r="H512" s="65"/>
      <c r="J512" s="65"/>
      <c r="K512" s="65"/>
      <c r="L512" s="65"/>
    </row>
    <row r="513" ht="15.75" customHeight="1">
      <c r="C513" s="65"/>
      <c r="D513" s="65"/>
      <c r="E513" s="65"/>
      <c r="F513" s="65"/>
      <c r="H513" s="65"/>
      <c r="J513" s="65"/>
      <c r="K513" s="65"/>
      <c r="L513" s="65"/>
    </row>
    <row r="514" ht="15.75" customHeight="1">
      <c r="C514" s="65"/>
      <c r="D514" s="65"/>
      <c r="E514" s="65"/>
      <c r="F514" s="65"/>
      <c r="H514" s="65"/>
      <c r="J514" s="65"/>
      <c r="K514" s="65"/>
      <c r="L514" s="65"/>
    </row>
    <row r="515" ht="15.75" customHeight="1">
      <c r="C515" s="65"/>
      <c r="D515" s="65"/>
      <c r="E515" s="65"/>
      <c r="F515" s="65"/>
      <c r="H515" s="65"/>
      <c r="J515" s="65"/>
      <c r="K515" s="65"/>
      <c r="L515" s="65"/>
    </row>
    <row r="516" ht="15.75" customHeight="1">
      <c r="C516" s="65"/>
      <c r="D516" s="65"/>
      <c r="E516" s="65"/>
      <c r="F516" s="65"/>
      <c r="H516" s="65"/>
      <c r="J516" s="65"/>
      <c r="K516" s="65"/>
      <c r="L516" s="65"/>
    </row>
    <row r="517" ht="15.75" customHeight="1">
      <c r="C517" s="65"/>
      <c r="D517" s="65"/>
      <c r="E517" s="65"/>
      <c r="F517" s="65"/>
      <c r="H517" s="65"/>
      <c r="J517" s="65"/>
      <c r="K517" s="65"/>
      <c r="L517" s="65"/>
    </row>
    <row r="518" ht="15.75" customHeight="1">
      <c r="C518" s="65"/>
      <c r="D518" s="65"/>
      <c r="E518" s="65"/>
      <c r="F518" s="65"/>
      <c r="H518" s="65"/>
      <c r="J518" s="65"/>
      <c r="K518" s="65"/>
      <c r="L518" s="65"/>
    </row>
    <row r="519" ht="15.75" customHeight="1">
      <c r="C519" s="65"/>
      <c r="D519" s="65"/>
      <c r="E519" s="65"/>
      <c r="F519" s="65"/>
      <c r="H519" s="65"/>
      <c r="J519" s="65"/>
      <c r="K519" s="65"/>
      <c r="L519" s="65"/>
    </row>
    <row r="520" ht="15.75" customHeight="1">
      <c r="C520" s="65"/>
      <c r="D520" s="65"/>
      <c r="E520" s="65"/>
      <c r="F520" s="65"/>
      <c r="H520" s="65"/>
      <c r="J520" s="65"/>
      <c r="K520" s="65"/>
      <c r="L520" s="65"/>
    </row>
    <row r="521" ht="15.75" customHeight="1">
      <c r="C521" s="65"/>
      <c r="D521" s="65"/>
      <c r="E521" s="65"/>
      <c r="F521" s="65"/>
      <c r="H521" s="65"/>
      <c r="J521" s="65"/>
      <c r="K521" s="65"/>
      <c r="L521" s="65"/>
    </row>
    <row r="522" ht="15.75" customHeight="1">
      <c r="C522" s="65"/>
      <c r="D522" s="65"/>
      <c r="E522" s="65"/>
      <c r="F522" s="65"/>
      <c r="H522" s="65"/>
      <c r="J522" s="65"/>
      <c r="K522" s="65"/>
      <c r="L522" s="65"/>
    </row>
    <row r="523" ht="15.75" customHeight="1">
      <c r="C523" s="65"/>
      <c r="D523" s="65"/>
      <c r="E523" s="65"/>
      <c r="F523" s="65"/>
      <c r="H523" s="65"/>
      <c r="J523" s="65"/>
      <c r="K523" s="65"/>
      <c r="L523" s="65"/>
    </row>
    <row r="524" ht="15.75" customHeight="1">
      <c r="C524" s="65"/>
      <c r="D524" s="65"/>
      <c r="E524" s="65"/>
      <c r="F524" s="65"/>
      <c r="H524" s="65"/>
      <c r="J524" s="65"/>
      <c r="K524" s="65"/>
      <c r="L524" s="65"/>
    </row>
    <row r="525" ht="15.75" customHeight="1">
      <c r="C525" s="65"/>
      <c r="D525" s="65"/>
      <c r="E525" s="65"/>
      <c r="F525" s="65"/>
      <c r="H525" s="65"/>
      <c r="J525" s="65"/>
      <c r="K525" s="65"/>
      <c r="L525" s="65"/>
    </row>
    <row r="526" ht="15.75" customHeight="1">
      <c r="C526" s="65"/>
      <c r="D526" s="65"/>
      <c r="E526" s="65"/>
      <c r="F526" s="65"/>
      <c r="H526" s="65"/>
      <c r="J526" s="65"/>
      <c r="K526" s="65"/>
      <c r="L526" s="65"/>
    </row>
    <row r="527" ht="15.75" customHeight="1">
      <c r="C527" s="65"/>
      <c r="D527" s="65"/>
      <c r="E527" s="65"/>
      <c r="F527" s="65"/>
      <c r="H527" s="65"/>
      <c r="J527" s="65"/>
      <c r="K527" s="65"/>
      <c r="L527" s="65"/>
    </row>
    <row r="528" ht="15.75" customHeight="1">
      <c r="C528" s="65"/>
      <c r="D528" s="65"/>
      <c r="E528" s="65"/>
      <c r="F528" s="65"/>
      <c r="H528" s="65"/>
      <c r="J528" s="65"/>
      <c r="K528" s="65"/>
      <c r="L528" s="65"/>
    </row>
    <row r="529" ht="15.75" customHeight="1">
      <c r="C529" s="65"/>
      <c r="D529" s="65"/>
      <c r="E529" s="65"/>
      <c r="F529" s="65"/>
      <c r="H529" s="65"/>
      <c r="J529" s="65"/>
      <c r="K529" s="65"/>
      <c r="L529" s="65"/>
    </row>
    <row r="530" ht="15.75" customHeight="1">
      <c r="C530" s="65"/>
      <c r="D530" s="65"/>
      <c r="E530" s="65"/>
      <c r="F530" s="65"/>
      <c r="H530" s="65"/>
      <c r="J530" s="65"/>
      <c r="K530" s="65"/>
      <c r="L530" s="65"/>
    </row>
    <row r="531" ht="15.75" customHeight="1">
      <c r="C531" s="65"/>
      <c r="D531" s="65"/>
      <c r="E531" s="65"/>
      <c r="F531" s="65"/>
      <c r="H531" s="65"/>
      <c r="J531" s="65"/>
      <c r="K531" s="65"/>
      <c r="L531" s="65"/>
    </row>
    <row r="532" ht="15.75" customHeight="1">
      <c r="C532" s="65"/>
      <c r="D532" s="65"/>
      <c r="E532" s="65"/>
      <c r="F532" s="65"/>
      <c r="H532" s="65"/>
      <c r="J532" s="65"/>
      <c r="K532" s="65"/>
      <c r="L532" s="65"/>
    </row>
    <row r="533" ht="15.75" customHeight="1">
      <c r="C533" s="65"/>
      <c r="D533" s="65"/>
      <c r="E533" s="65"/>
      <c r="F533" s="65"/>
      <c r="H533" s="65"/>
      <c r="J533" s="65"/>
      <c r="K533" s="65"/>
      <c r="L533" s="65"/>
    </row>
    <row r="534" ht="15.75" customHeight="1">
      <c r="C534" s="65"/>
      <c r="D534" s="65"/>
      <c r="E534" s="65"/>
      <c r="F534" s="65"/>
      <c r="H534" s="65"/>
      <c r="J534" s="65"/>
      <c r="K534" s="65"/>
      <c r="L534" s="65"/>
    </row>
    <row r="535" ht="15.75" customHeight="1">
      <c r="C535" s="65"/>
      <c r="D535" s="65"/>
      <c r="E535" s="65"/>
      <c r="F535" s="65"/>
      <c r="H535" s="65"/>
      <c r="J535" s="65"/>
      <c r="K535" s="65"/>
      <c r="L535" s="65"/>
    </row>
    <row r="536" ht="15.75" customHeight="1">
      <c r="C536" s="65"/>
      <c r="D536" s="65"/>
      <c r="E536" s="65"/>
      <c r="F536" s="65"/>
      <c r="H536" s="65"/>
      <c r="J536" s="65"/>
      <c r="K536" s="65"/>
      <c r="L536" s="65"/>
    </row>
    <row r="537" ht="15.75" customHeight="1">
      <c r="C537" s="65"/>
      <c r="D537" s="65"/>
      <c r="E537" s="65"/>
      <c r="F537" s="65"/>
      <c r="H537" s="65"/>
      <c r="J537" s="65"/>
      <c r="K537" s="65"/>
      <c r="L537" s="65"/>
    </row>
    <row r="538" ht="15.75" customHeight="1">
      <c r="C538" s="65"/>
      <c r="D538" s="65"/>
      <c r="E538" s="65"/>
      <c r="F538" s="65"/>
      <c r="H538" s="65"/>
      <c r="J538" s="65"/>
      <c r="K538" s="65"/>
      <c r="L538" s="65"/>
    </row>
    <row r="539" ht="15.75" customHeight="1">
      <c r="C539" s="65"/>
      <c r="D539" s="65"/>
      <c r="E539" s="65"/>
      <c r="F539" s="65"/>
      <c r="H539" s="65"/>
      <c r="J539" s="65"/>
      <c r="K539" s="65"/>
      <c r="L539" s="65"/>
    </row>
    <row r="540" ht="15.75" customHeight="1">
      <c r="C540" s="65"/>
      <c r="D540" s="65"/>
      <c r="E540" s="65"/>
      <c r="F540" s="65"/>
      <c r="H540" s="65"/>
      <c r="J540" s="65"/>
      <c r="K540" s="65"/>
      <c r="L540" s="65"/>
    </row>
    <row r="541" ht="15.75" customHeight="1">
      <c r="C541" s="65"/>
      <c r="D541" s="65"/>
      <c r="E541" s="65"/>
      <c r="F541" s="65"/>
      <c r="H541" s="65"/>
      <c r="J541" s="65"/>
      <c r="K541" s="65"/>
      <c r="L541" s="65"/>
    </row>
    <row r="542" ht="15.75" customHeight="1">
      <c r="C542" s="65"/>
      <c r="D542" s="65"/>
      <c r="E542" s="65"/>
      <c r="F542" s="65"/>
      <c r="H542" s="65"/>
      <c r="J542" s="65"/>
      <c r="K542" s="65"/>
      <c r="L542" s="65"/>
    </row>
    <row r="543" ht="15.75" customHeight="1">
      <c r="C543" s="65"/>
      <c r="D543" s="65"/>
      <c r="E543" s="65"/>
      <c r="F543" s="65"/>
      <c r="H543" s="65"/>
      <c r="J543" s="65"/>
      <c r="K543" s="65"/>
      <c r="L543" s="65"/>
    </row>
    <row r="544" ht="15.75" customHeight="1">
      <c r="C544" s="65"/>
      <c r="D544" s="65"/>
      <c r="E544" s="65"/>
      <c r="F544" s="65"/>
      <c r="H544" s="65"/>
      <c r="J544" s="65"/>
      <c r="K544" s="65"/>
      <c r="L544" s="65"/>
    </row>
    <row r="545" ht="15.75" customHeight="1">
      <c r="C545" s="65"/>
      <c r="D545" s="65"/>
      <c r="E545" s="65"/>
      <c r="F545" s="65"/>
      <c r="H545" s="65"/>
      <c r="J545" s="65"/>
      <c r="K545" s="65"/>
      <c r="L545" s="65"/>
    </row>
    <row r="546" ht="15.75" customHeight="1">
      <c r="C546" s="65"/>
      <c r="D546" s="65"/>
      <c r="E546" s="65"/>
      <c r="F546" s="65"/>
      <c r="H546" s="65"/>
      <c r="J546" s="65"/>
      <c r="K546" s="65"/>
      <c r="L546" s="65"/>
    </row>
    <row r="547" ht="15.75" customHeight="1">
      <c r="C547" s="65"/>
      <c r="D547" s="65"/>
      <c r="E547" s="65"/>
      <c r="F547" s="65"/>
      <c r="H547" s="65"/>
      <c r="J547" s="65"/>
      <c r="K547" s="65"/>
      <c r="L547" s="65"/>
    </row>
    <row r="548" ht="15.75" customHeight="1">
      <c r="C548" s="65"/>
      <c r="D548" s="65"/>
      <c r="E548" s="65"/>
      <c r="F548" s="65"/>
      <c r="H548" s="65"/>
      <c r="J548" s="65"/>
      <c r="K548" s="65"/>
      <c r="L548" s="65"/>
    </row>
    <row r="549" ht="15.75" customHeight="1">
      <c r="C549" s="65"/>
      <c r="D549" s="65"/>
      <c r="E549" s="65"/>
      <c r="F549" s="65"/>
      <c r="H549" s="65"/>
      <c r="J549" s="65"/>
      <c r="K549" s="65"/>
      <c r="L549" s="65"/>
    </row>
    <row r="550" ht="15.75" customHeight="1">
      <c r="C550" s="65"/>
      <c r="D550" s="65"/>
      <c r="E550" s="65"/>
      <c r="F550" s="65"/>
      <c r="H550" s="65"/>
      <c r="J550" s="65"/>
      <c r="K550" s="65"/>
      <c r="L550" s="65"/>
    </row>
    <row r="551" ht="15.75" customHeight="1">
      <c r="C551" s="65"/>
      <c r="D551" s="65"/>
      <c r="E551" s="65"/>
      <c r="F551" s="65"/>
      <c r="H551" s="65"/>
      <c r="J551" s="65"/>
      <c r="K551" s="65"/>
      <c r="L551" s="65"/>
    </row>
    <row r="552" ht="15.75" customHeight="1">
      <c r="C552" s="65"/>
      <c r="D552" s="65"/>
      <c r="E552" s="65"/>
      <c r="F552" s="65"/>
      <c r="H552" s="65"/>
      <c r="J552" s="65"/>
      <c r="K552" s="65"/>
      <c r="L552" s="65"/>
    </row>
    <row r="553" ht="15.75" customHeight="1">
      <c r="C553" s="65"/>
      <c r="D553" s="65"/>
      <c r="E553" s="65"/>
      <c r="F553" s="65"/>
      <c r="H553" s="65"/>
      <c r="J553" s="65"/>
      <c r="K553" s="65"/>
      <c r="L553" s="65"/>
    </row>
    <row r="554" ht="15.75" customHeight="1">
      <c r="C554" s="65"/>
      <c r="D554" s="65"/>
      <c r="E554" s="65"/>
      <c r="F554" s="65"/>
      <c r="H554" s="65"/>
      <c r="J554" s="65"/>
      <c r="K554" s="65"/>
      <c r="L554" s="65"/>
    </row>
    <row r="555" ht="15.75" customHeight="1">
      <c r="C555" s="65"/>
      <c r="D555" s="65"/>
      <c r="E555" s="65"/>
      <c r="F555" s="65"/>
      <c r="H555" s="65"/>
      <c r="J555" s="65"/>
      <c r="K555" s="65"/>
      <c r="L555" s="65"/>
    </row>
    <row r="556" ht="15.75" customHeight="1">
      <c r="C556" s="65"/>
      <c r="D556" s="65"/>
      <c r="E556" s="65"/>
      <c r="F556" s="65"/>
      <c r="H556" s="65"/>
      <c r="J556" s="65"/>
      <c r="K556" s="65"/>
      <c r="L556" s="65"/>
    </row>
    <row r="557" ht="15.75" customHeight="1">
      <c r="C557" s="65"/>
      <c r="D557" s="65"/>
      <c r="E557" s="65"/>
      <c r="F557" s="65"/>
      <c r="H557" s="65"/>
      <c r="J557" s="65"/>
      <c r="K557" s="65"/>
      <c r="L557" s="65"/>
    </row>
    <row r="558" ht="15.75" customHeight="1">
      <c r="C558" s="65"/>
      <c r="D558" s="65"/>
      <c r="E558" s="65"/>
      <c r="F558" s="65"/>
      <c r="H558" s="65"/>
      <c r="J558" s="65"/>
      <c r="K558" s="65"/>
      <c r="L558" s="65"/>
    </row>
    <row r="559" ht="15.75" customHeight="1">
      <c r="C559" s="65"/>
      <c r="D559" s="65"/>
      <c r="E559" s="65"/>
      <c r="F559" s="65"/>
      <c r="H559" s="65"/>
      <c r="J559" s="65"/>
      <c r="K559" s="65"/>
      <c r="L559" s="65"/>
    </row>
    <row r="560" ht="15.75" customHeight="1">
      <c r="C560" s="65"/>
      <c r="D560" s="65"/>
      <c r="E560" s="65"/>
      <c r="F560" s="65"/>
      <c r="H560" s="65"/>
      <c r="J560" s="65"/>
      <c r="K560" s="65"/>
      <c r="L560" s="65"/>
    </row>
    <row r="561" ht="15.75" customHeight="1">
      <c r="C561" s="65"/>
      <c r="D561" s="65"/>
      <c r="E561" s="65"/>
      <c r="F561" s="65"/>
      <c r="H561" s="65"/>
      <c r="J561" s="65"/>
      <c r="K561" s="65"/>
      <c r="L561" s="65"/>
    </row>
    <row r="562" ht="15.75" customHeight="1">
      <c r="C562" s="65"/>
      <c r="D562" s="65"/>
      <c r="E562" s="65"/>
      <c r="F562" s="65"/>
      <c r="H562" s="65"/>
      <c r="J562" s="65"/>
      <c r="K562" s="65"/>
      <c r="L562" s="65"/>
    </row>
    <row r="563" ht="15.75" customHeight="1">
      <c r="C563" s="65"/>
      <c r="D563" s="65"/>
      <c r="E563" s="65"/>
      <c r="F563" s="65"/>
      <c r="H563" s="65"/>
      <c r="J563" s="65"/>
      <c r="K563" s="65"/>
      <c r="L563" s="65"/>
    </row>
    <row r="564" ht="15.75" customHeight="1">
      <c r="C564" s="65"/>
      <c r="D564" s="65"/>
      <c r="E564" s="65"/>
      <c r="F564" s="65"/>
      <c r="H564" s="65"/>
      <c r="J564" s="65"/>
      <c r="K564" s="65"/>
      <c r="L564" s="65"/>
    </row>
    <row r="565" ht="15.75" customHeight="1">
      <c r="C565" s="65"/>
      <c r="D565" s="65"/>
      <c r="E565" s="65"/>
      <c r="F565" s="65"/>
      <c r="H565" s="65"/>
      <c r="J565" s="65"/>
      <c r="K565" s="65"/>
      <c r="L565" s="65"/>
    </row>
    <row r="566" ht="15.75" customHeight="1">
      <c r="C566" s="65"/>
      <c r="D566" s="65"/>
      <c r="E566" s="65"/>
      <c r="F566" s="65"/>
      <c r="H566" s="65"/>
      <c r="J566" s="65"/>
      <c r="K566" s="65"/>
      <c r="L566" s="65"/>
    </row>
    <row r="567" ht="15.75" customHeight="1">
      <c r="C567" s="65"/>
      <c r="D567" s="65"/>
      <c r="E567" s="65"/>
      <c r="F567" s="65"/>
      <c r="H567" s="65"/>
      <c r="J567" s="65"/>
      <c r="K567" s="65"/>
      <c r="L567" s="65"/>
    </row>
    <row r="568" ht="15.75" customHeight="1">
      <c r="C568" s="65"/>
      <c r="D568" s="65"/>
      <c r="E568" s="65"/>
      <c r="F568" s="65"/>
      <c r="H568" s="65"/>
      <c r="J568" s="65"/>
      <c r="K568" s="65"/>
      <c r="L568" s="65"/>
    </row>
    <row r="569" ht="15.75" customHeight="1">
      <c r="C569" s="65"/>
      <c r="D569" s="65"/>
      <c r="E569" s="65"/>
      <c r="F569" s="65"/>
      <c r="H569" s="65"/>
      <c r="J569" s="65"/>
      <c r="K569" s="65"/>
      <c r="L569" s="65"/>
    </row>
    <row r="570" ht="15.75" customHeight="1">
      <c r="C570" s="65"/>
      <c r="D570" s="65"/>
      <c r="E570" s="65"/>
      <c r="F570" s="65"/>
      <c r="H570" s="65"/>
      <c r="J570" s="65"/>
      <c r="K570" s="65"/>
      <c r="L570" s="65"/>
    </row>
    <row r="571" ht="15.75" customHeight="1">
      <c r="C571" s="65"/>
      <c r="D571" s="65"/>
      <c r="E571" s="65"/>
      <c r="F571" s="65"/>
      <c r="H571" s="65"/>
      <c r="J571" s="65"/>
      <c r="K571" s="65"/>
      <c r="L571" s="65"/>
    </row>
    <row r="572" ht="15.75" customHeight="1">
      <c r="C572" s="65"/>
      <c r="D572" s="65"/>
      <c r="E572" s="65"/>
      <c r="F572" s="65"/>
      <c r="H572" s="65"/>
      <c r="J572" s="65"/>
      <c r="K572" s="65"/>
      <c r="L572" s="65"/>
    </row>
    <row r="573" ht="15.75" customHeight="1">
      <c r="C573" s="65"/>
      <c r="D573" s="65"/>
      <c r="E573" s="65"/>
      <c r="F573" s="65"/>
      <c r="H573" s="65"/>
      <c r="J573" s="65"/>
      <c r="K573" s="65"/>
      <c r="L573" s="65"/>
    </row>
    <row r="574" ht="15.75" customHeight="1">
      <c r="C574" s="65"/>
      <c r="D574" s="65"/>
      <c r="E574" s="65"/>
      <c r="F574" s="65"/>
      <c r="H574" s="65"/>
      <c r="J574" s="65"/>
      <c r="K574" s="65"/>
      <c r="L574" s="65"/>
    </row>
    <row r="575" ht="15.75" customHeight="1">
      <c r="C575" s="65"/>
      <c r="D575" s="65"/>
      <c r="E575" s="65"/>
      <c r="F575" s="65"/>
      <c r="H575" s="65"/>
      <c r="J575" s="65"/>
      <c r="K575" s="65"/>
      <c r="L575" s="65"/>
    </row>
    <row r="576" ht="15.75" customHeight="1">
      <c r="C576" s="65"/>
      <c r="D576" s="65"/>
      <c r="E576" s="65"/>
      <c r="F576" s="65"/>
      <c r="H576" s="65"/>
      <c r="J576" s="65"/>
      <c r="K576" s="65"/>
      <c r="L576" s="65"/>
    </row>
    <row r="577" ht="15.75" customHeight="1">
      <c r="C577" s="65"/>
      <c r="D577" s="65"/>
      <c r="E577" s="65"/>
      <c r="F577" s="65"/>
      <c r="H577" s="65"/>
      <c r="J577" s="65"/>
      <c r="K577" s="65"/>
      <c r="L577" s="65"/>
    </row>
    <row r="578" ht="15.75" customHeight="1">
      <c r="C578" s="65"/>
      <c r="D578" s="65"/>
      <c r="E578" s="65"/>
      <c r="F578" s="65"/>
      <c r="H578" s="65"/>
      <c r="J578" s="65"/>
      <c r="K578" s="65"/>
      <c r="L578" s="65"/>
    </row>
    <row r="579" ht="15.75" customHeight="1">
      <c r="C579" s="65"/>
      <c r="D579" s="65"/>
      <c r="E579" s="65"/>
      <c r="F579" s="65"/>
      <c r="H579" s="65"/>
      <c r="J579" s="65"/>
      <c r="K579" s="65"/>
      <c r="L579" s="65"/>
    </row>
    <row r="580" ht="15.75" customHeight="1">
      <c r="C580" s="65"/>
      <c r="D580" s="65"/>
      <c r="E580" s="65"/>
      <c r="F580" s="65"/>
      <c r="H580" s="65"/>
      <c r="J580" s="65"/>
      <c r="K580" s="65"/>
      <c r="L580" s="65"/>
    </row>
    <row r="581" ht="15.75" customHeight="1">
      <c r="C581" s="65"/>
      <c r="D581" s="65"/>
      <c r="E581" s="65"/>
      <c r="F581" s="65"/>
      <c r="H581" s="65"/>
      <c r="J581" s="65"/>
      <c r="K581" s="65"/>
      <c r="L581" s="65"/>
    </row>
    <row r="582" ht="15.75" customHeight="1">
      <c r="C582" s="65"/>
      <c r="D582" s="65"/>
      <c r="E582" s="65"/>
      <c r="F582" s="65"/>
      <c r="H582" s="65"/>
      <c r="J582" s="65"/>
      <c r="K582" s="65"/>
      <c r="L582" s="65"/>
    </row>
    <row r="583" ht="15.75" customHeight="1">
      <c r="C583" s="65"/>
      <c r="D583" s="65"/>
      <c r="E583" s="65"/>
      <c r="F583" s="65"/>
      <c r="H583" s="65"/>
      <c r="J583" s="65"/>
      <c r="K583" s="65"/>
      <c r="L583" s="65"/>
    </row>
    <row r="584" ht="15.75" customHeight="1">
      <c r="C584" s="65"/>
      <c r="D584" s="65"/>
      <c r="E584" s="65"/>
      <c r="F584" s="65"/>
      <c r="H584" s="65"/>
      <c r="J584" s="65"/>
      <c r="K584" s="65"/>
      <c r="L584" s="65"/>
    </row>
    <row r="585" ht="15.75" customHeight="1">
      <c r="C585" s="65"/>
      <c r="D585" s="65"/>
      <c r="E585" s="65"/>
      <c r="F585" s="65"/>
      <c r="H585" s="65"/>
      <c r="J585" s="65"/>
      <c r="K585" s="65"/>
      <c r="L585" s="65"/>
    </row>
    <row r="586" ht="15.75" customHeight="1">
      <c r="C586" s="65"/>
      <c r="D586" s="65"/>
      <c r="E586" s="65"/>
      <c r="F586" s="65"/>
      <c r="H586" s="65"/>
      <c r="J586" s="65"/>
      <c r="K586" s="65"/>
      <c r="L586" s="65"/>
    </row>
    <row r="587" ht="15.75" customHeight="1">
      <c r="C587" s="65"/>
      <c r="D587" s="65"/>
      <c r="E587" s="65"/>
      <c r="F587" s="65"/>
      <c r="H587" s="65"/>
      <c r="J587" s="65"/>
      <c r="K587" s="65"/>
      <c r="L587" s="65"/>
    </row>
    <row r="588" ht="15.75" customHeight="1">
      <c r="C588" s="65"/>
      <c r="D588" s="65"/>
      <c r="E588" s="65"/>
      <c r="F588" s="65"/>
      <c r="H588" s="65"/>
      <c r="J588" s="65"/>
      <c r="K588" s="65"/>
      <c r="L588" s="65"/>
    </row>
    <row r="589" ht="15.75" customHeight="1">
      <c r="C589" s="65"/>
      <c r="D589" s="65"/>
      <c r="E589" s="65"/>
      <c r="F589" s="65"/>
      <c r="H589" s="65"/>
      <c r="J589" s="65"/>
      <c r="K589" s="65"/>
      <c r="L589" s="65"/>
    </row>
    <row r="590" ht="15.75" customHeight="1">
      <c r="C590" s="65"/>
      <c r="D590" s="65"/>
      <c r="E590" s="65"/>
      <c r="F590" s="65"/>
      <c r="H590" s="65"/>
      <c r="J590" s="65"/>
      <c r="K590" s="65"/>
      <c r="L590" s="65"/>
    </row>
    <row r="591" ht="15.75" customHeight="1">
      <c r="C591" s="65"/>
      <c r="D591" s="65"/>
      <c r="E591" s="65"/>
      <c r="F591" s="65"/>
      <c r="H591" s="65"/>
      <c r="J591" s="65"/>
      <c r="K591" s="65"/>
      <c r="L591" s="65"/>
    </row>
    <row r="592" ht="15.75" customHeight="1">
      <c r="C592" s="65"/>
      <c r="D592" s="65"/>
      <c r="E592" s="65"/>
      <c r="F592" s="65"/>
      <c r="H592" s="65"/>
      <c r="J592" s="65"/>
      <c r="K592" s="65"/>
      <c r="L592" s="65"/>
    </row>
    <row r="593" ht="15.75" customHeight="1">
      <c r="C593" s="65"/>
      <c r="D593" s="65"/>
      <c r="E593" s="65"/>
      <c r="F593" s="65"/>
      <c r="H593" s="65"/>
      <c r="J593" s="65"/>
      <c r="K593" s="65"/>
      <c r="L593" s="65"/>
    </row>
    <row r="594" ht="15.75" customHeight="1">
      <c r="C594" s="65"/>
      <c r="D594" s="65"/>
      <c r="E594" s="65"/>
      <c r="F594" s="65"/>
      <c r="H594" s="65"/>
      <c r="J594" s="65"/>
      <c r="K594" s="65"/>
      <c r="L594" s="65"/>
    </row>
    <row r="595" ht="15.75" customHeight="1">
      <c r="C595" s="65"/>
      <c r="D595" s="65"/>
      <c r="E595" s="65"/>
      <c r="F595" s="65"/>
      <c r="H595" s="65"/>
      <c r="J595" s="65"/>
      <c r="K595" s="65"/>
      <c r="L595" s="65"/>
    </row>
    <row r="596" ht="15.75" customHeight="1">
      <c r="C596" s="65"/>
      <c r="D596" s="65"/>
      <c r="E596" s="65"/>
      <c r="F596" s="65"/>
      <c r="H596" s="65"/>
      <c r="J596" s="65"/>
      <c r="K596" s="65"/>
      <c r="L596" s="65"/>
    </row>
    <row r="597" ht="15.75" customHeight="1">
      <c r="C597" s="65"/>
      <c r="D597" s="65"/>
      <c r="E597" s="65"/>
      <c r="F597" s="65"/>
      <c r="H597" s="65"/>
      <c r="J597" s="65"/>
      <c r="K597" s="65"/>
      <c r="L597" s="65"/>
    </row>
    <row r="598" ht="15.75" customHeight="1">
      <c r="C598" s="65"/>
      <c r="D598" s="65"/>
      <c r="E598" s="65"/>
      <c r="F598" s="65"/>
      <c r="H598" s="65"/>
      <c r="J598" s="65"/>
      <c r="K598" s="65"/>
      <c r="L598" s="65"/>
    </row>
    <row r="599" ht="15.75" customHeight="1">
      <c r="C599" s="65"/>
      <c r="D599" s="65"/>
      <c r="E599" s="65"/>
      <c r="F599" s="65"/>
      <c r="H599" s="65"/>
      <c r="J599" s="65"/>
      <c r="K599" s="65"/>
      <c r="L599" s="65"/>
    </row>
    <row r="600" ht="15.75" customHeight="1">
      <c r="C600" s="65"/>
      <c r="D600" s="65"/>
      <c r="E600" s="65"/>
      <c r="F600" s="65"/>
      <c r="H600" s="65"/>
      <c r="J600" s="65"/>
      <c r="K600" s="65"/>
      <c r="L600" s="65"/>
    </row>
    <row r="601" ht="15.75" customHeight="1">
      <c r="C601" s="65"/>
      <c r="D601" s="65"/>
      <c r="E601" s="65"/>
      <c r="F601" s="65"/>
      <c r="H601" s="65"/>
      <c r="J601" s="65"/>
      <c r="K601" s="65"/>
      <c r="L601" s="65"/>
    </row>
    <row r="602" ht="15.75" customHeight="1">
      <c r="C602" s="65"/>
      <c r="D602" s="65"/>
      <c r="E602" s="65"/>
      <c r="F602" s="65"/>
      <c r="H602" s="65"/>
      <c r="J602" s="65"/>
      <c r="K602" s="65"/>
      <c r="L602" s="65"/>
    </row>
    <row r="603" ht="15.75" customHeight="1">
      <c r="C603" s="65"/>
      <c r="D603" s="65"/>
      <c r="E603" s="65"/>
      <c r="F603" s="65"/>
      <c r="H603" s="65"/>
      <c r="J603" s="65"/>
      <c r="K603" s="65"/>
      <c r="L603" s="65"/>
    </row>
    <row r="604" ht="15.75" customHeight="1">
      <c r="C604" s="65"/>
      <c r="D604" s="65"/>
      <c r="E604" s="65"/>
      <c r="F604" s="65"/>
      <c r="H604" s="65"/>
      <c r="J604" s="65"/>
      <c r="K604" s="65"/>
      <c r="L604" s="65"/>
    </row>
    <row r="605" ht="15.75" customHeight="1">
      <c r="C605" s="65"/>
      <c r="D605" s="65"/>
      <c r="E605" s="65"/>
      <c r="F605" s="65"/>
      <c r="H605" s="65"/>
      <c r="J605" s="65"/>
      <c r="K605" s="65"/>
      <c r="L605" s="65"/>
    </row>
    <row r="606" ht="15.75" customHeight="1">
      <c r="C606" s="65"/>
      <c r="D606" s="65"/>
      <c r="E606" s="65"/>
      <c r="F606" s="65"/>
      <c r="H606" s="65"/>
      <c r="J606" s="65"/>
      <c r="K606" s="65"/>
      <c r="L606" s="65"/>
    </row>
    <row r="607" ht="15.75" customHeight="1">
      <c r="C607" s="65"/>
      <c r="D607" s="65"/>
      <c r="E607" s="65"/>
      <c r="F607" s="65"/>
      <c r="H607" s="65"/>
      <c r="J607" s="65"/>
      <c r="K607" s="65"/>
      <c r="L607" s="65"/>
    </row>
    <row r="608" ht="15.75" customHeight="1">
      <c r="C608" s="65"/>
      <c r="D608" s="65"/>
      <c r="E608" s="65"/>
      <c r="F608" s="65"/>
      <c r="H608" s="65"/>
      <c r="J608" s="65"/>
      <c r="K608" s="65"/>
      <c r="L608" s="65"/>
    </row>
    <row r="609" ht="15.75" customHeight="1">
      <c r="C609" s="65"/>
      <c r="D609" s="65"/>
      <c r="E609" s="65"/>
      <c r="F609" s="65"/>
      <c r="H609" s="65"/>
      <c r="J609" s="65"/>
      <c r="K609" s="65"/>
      <c r="L609" s="65"/>
    </row>
    <row r="610" ht="15.75" customHeight="1">
      <c r="C610" s="65"/>
      <c r="D610" s="65"/>
      <c r="E610" s="65"/>
      <c r="F610" s="65"/>
      <c r="H610" s="65"/>
      <c r="J610" s="65"/>
      <c r="K610" s="65"/>
      <c r="L610" s="65"/>
    </row>
    <row r="611" ht="15.75" customHeight="1">
      <c r="C611" s="65"/>
      <c r="D611" s="65"/>
      <c r="E611" s="65"/>
      <c r="F611" s="65"/>
      <c r="H611" s="65"/>
      <c r="J611" s="65"/>
      <c r="K611" s="65"/>
      <c r="L611" s="65"/>
    </row>
    <row r="612" ht="15.75" customHeight="1">
      <c r="C612" s="65"/>
      <c r="D612" s="65"/>
      <c r="E612" s="65"/>
      <c r="F612" s="65"/>
      <c r="H612" s="65"/>
      <c r="J612" s="65"/>
      <c r="K612" s="65"/>
      <c r="L612" s="65"/>
    </row>
    <row r="613" ht="15.75" customHeight="1">
      <c r="C613" s="65"/>
      <c r="D613" s="65"/>
      <c r="E613" s="65"/>
      <c r="F613" s="65"/>
      <c r="H613" s="65"/>
      <c r="J613" s="65"/>
      <c r="K613" s="65"/>
      <c r="L613" s="65"/>
    </row>
    <row r="614" ht="15.75" customHeight="1">
      <c r="C614" s="65"/>
      <c r="D614" s="65"/>
      <c r="E614" s="65"/>
      <c r="F614" s="65"/>
      <c r="H614" s="65"/>
      <c r="J614" s="65"/>
      <c r="K614" s="65"/>
      <c r="L614" s="65"/>
    </row>
    <row r="615" ht="15.75" customHeight="1">
      <c r="C615" s="65"/>
      <c r="D615" s="65"/>
      <c r="E615" s="65"/>
      <c r="F615" s="65"/>
      <c r="H615" s="65"/>
      <c r="J615" s="65"/>
      <c r="K615" s="65"/>
      <c r="L615" s="65"/>
    </row>
    <row r="616" ht="15.75" customHeight="1">
      <c r="C616" s="65"/>
      <c r="D616" s="65"/>
      <c r="E616" s="65"/>
      <c r="F616" s="65"/>
      <c r="H616" s="65"/>
      <c r="J616" s="65"/>
      <c r="K616" s="65"/>
      <c r="L616" s="65"/>
    </row>
    <row r="617" ht="15.75" customHeight="1">
      <c r="C617" s="65"/>
      <c r="D617" s="65"/>
      <c r="E617" s="65"/>
      <c r="F617" s="65"/>
      <c r="H617" s="65"/>
      <c r="J617" s="65"/>
      <c r="K617" s="65"/>
      <c r="L617" s="65"/>
    </row>
    <row r="618" ht="15.75" customHeight="1">
      <c r="C618" s="65"/>
      <c r="D618" s="65"/>
      <c r="E618" s="65"/>
      <c r="F618" s="65"/>
      <c r="H618" s="65"/>
      <c r="J618" s="65"/>
      <c r="K618" s="65"/>
      <c r="L618" s="65"/>
    </row>
    <row r="619" ht="15.75" customHeight="1">
      <c r="C619" s="65"/>
      <c r="D619" s="65"/>
      <c r="E619" s="65"/>
      <c r="F619" s="65"/>
      <c r="H619" s="65"/>
      <c r="J619" s="65"/>
      <c r="K619" s="65"/>
      <c r="L619" s="65"/>
    </row>
    <row r="620" ht="15.75" customHeight="1">
      <c r="C620" s="65"/>
      <c r="D620" s="65"/>
      <c r="E620" s="65"/>
      <c r="F620" s="65"/>
      <c r="H620" s="65"/>
      <c r="J620" s="65"/>
      <c r="K620" s="65"/>
      <c r="L620" s="65"/>
    </row>
    <row r="621" ht="15.75" customHeight="1">
      <c r="C621" s="65"/>
      <c r="D621" s="65"/>
      <c r="E621" s="65"/>
      <c r="F621" s="65"/>
      <c r="H621" s="65"/>
      <c r="J621" s="65"/>
      <c r="K621" s="65"/>
      <c r="L621" s="65"/>
    </row>
    <row r="622" ht="15.75" customHeight="1">
      <c r="C622" s="65"/>
      <c r="D622" s="65"/>
      <c r="E622" s="65"/>
      <c r="F622" s="65"/>
      <c r="H622" s="65"/>
      <c r="J622" s="65"/>
      <c r="K622" s="65"/>
      <c r="L622" s="65"/>
    </row>
    <row r="623" ht="15.75" customHeight="1">
      <c r="C623" s="65"/>
      <c r="D623" s="65"/>
      <c r="E623" s="65"/>
      <c r="F623" s="65"/>
      <c r="H623" s="65"/>
      <c r="J623" s="65"/>
      <c r="K623" s="65"/>
      <c r="L623" s="65"/>
    </row>
    <row r="624" ht="15.75" customHeight="1">
      <c r="C624" s="65"/>
      <c r="D624" s="65"/>
      <c r="E624" s="65"/>
      <c r="F624" s="65"/>
      <c r="H624" s="65"/>
      <c r="J624" s="65"/>
      <c r="K624" s="65"/>
      <c r="L624" s="65"/>
    </row>
    <row r="625" ht="15.75" customHeight="1">
      <c r="C625" s="65"/>
      <c r="D625" s="65"/>
      <c r="E625" s="65"/>
      <c r="F625" s="65"/>
      <c r="H625" s="65"/>
      <c r="J625" s="65"/>
      <c r="K625" s="65"/>
      <c r="L625" s="65"/>
    </row>
    <row r="626" ht="15.75" customHeight="1">
      <c r="C626" s="65"/>
      <c r="D626" s="65"/>
      <c r="E626" s="65"/>
      <c r="F626" s="65"/>
      <c r="H626" s="65"/>
      <c r="J626" s="65"/>
      <c r="K626" s="65"/>
      <c r="L626" s="65"/>
    </row>
    <row r="627" ht="15.75" customHeight="1">
      <c r="C627" s="65"/>
      <c r="D627" s="65"/>
      <c r="E627" s="65"/>
      <c r="F627" s="65"/>
      <c r="H627" s="65"/>
      <c r="J627" s="65"/>
      <c r="K627" s="65"/>
      <c r="L627" s="65"/>
    </row>
    <row r="628" ht="15.75" customHeight="1">
      <c r="C628" s="65"/>
      <c r="D628" s="65"/>
      <c r="E628" s="65"/>
      <c r="F628" s="65"/>
      <c r="H628" s="65"/>
      <c r="J628" s="65"/>
      <c r="K628" s="65"/>
      <c r="L628" s="65"/>
    </row>
    <row r="629" ht="15.75" customHeight="1">
      <c r="C629" s="65"/>
      <c r="D629" s="65"/>
      <c r="E629" s="65"/>
      <c r="F629" s="65"/>
      <c r="H629" s="65"/>
      <c r="J629" s="65"/>
      <c r="K629" s="65"/>
      <c r="L629" s="65"/>
    </row>
    <row r="630" ht="15.75" customHeight="1">
      <c r="C630" s="65"/>
      <c r="D630" s="65"/>
      <c r="E630" s="65"/>
      <c r="F630" s="65"/>
      <c r="H630" s="65"/>
      <c r="J630" s="65"/>
      <c r="K630" s="65"/>
      <c r="L630" s="65"/>
    </row>
    <row r="631" ht="15.75" customHeight="1">
      <c r="C631" s="65"/>
      <c r="D631" s="65"/>
      <c r="E631" s="65"/>
      <c r="F631" s="65"/>
      <c r="H631" s="65"/>
      <c r="J631" s="65"/>
      <c r="K631" s="65"/>
      <c r="L631" s="65"/>
    </row>
    <row r="632" ht="15.75" customHeight="1">
      <c r="C632" s="65"/>
      <c r="D632" s="65"/>
      <c r="E632" s="65"/>
      <c r="F632" s="65"/>
      <c r="H632" s="65"/>
      <c r="J632" s="65"/>
      <c r="K632" s="65"/>
      <c r="L632" s="65"/>
    </row>
    <row r="633" ht="15.75" customHeight="1">
      <c r="C633" s="65"/>
      <c r="D633" s="65"/>
      <c r="E633" s="65"/>
      <c r="F633" s="65"/>
      <c r="H633" s="65"/>
      <c r="J633" s="65"/>
      <c r="K633" s="65"/>
      <c r="L633" s="65"/>
    </row>
    <row r="634" ht="15.75" customHeight="1">
      <c r="C634" s="65"/>
      <c r="D634" s="65"/>
      <c r="E634" s="65"/>
      <c r="F634" s="65"/>
      <c r="H634" s="65"/>
      <c r="J634" s="65"/>
      <c r="K634" s="65"/>
      <c r="L634" s="65"/>
    </row>
    <row r="635" ht="15.75" customHeight="1">
      <c r="C635" s="65"/>
      <c r="D635" s="65"/>
      <c r="E635" s="65"/>
      <c r="F635" s="65"/>
      <c r="H635" s="65"/>
      <c r="J635" s="65"/>
      <c r="K635" s="65"/>
      <c r="L635" s="65"/>
    </row>
    <row r="636" ht="15.75" customHeight="1">
      <c r="C636" s="65"/>
      <c r="D636" s="65"/>
      <c r="E636" s="65"/>
      <c r="F636" s="65"/>
      <c r="H636" s="65"/>
      <c r="J636" s="65"/>
      <c r="K636" s="65"/>
      <c r="L636" s="65"/>
    </row>
    <row r="637" ht="15.75" customHeight="1">
      <c r="C637" s="65"/>
      <c r="D637" s="65"/>
      <c r="E637" s="65"/>
      <c r="F637" s="65"/>
      <c r="H637" s="65"/>
      <c r="J637" s="65"/>
      <c r="K637" s="65"/>
      <c r="L637" s="65"/>
    </row>
    <row r="638" ht="15.75" customHeight="1">
      <c r="C638" s="65"/>
      <c r="D638" s="65"/>
      <c r="E638" s="65"/>
      <c r="F638" s="65"/>
      <c r="H638" s="65"/>
      <c r="J638" s="65"/>
      <c r="K638" s="65"/>
      <c r="L638" s="65"/>
    </row>
    <row r="639" ht="15.75" customHeight="1">
      <c r="C639" s="65"/>
      <c r="D639" s="65"/>
      <c r="E639" s="65"/>
      <c r="F639" s="65"/>
      <c r="H639" s="65"/>
      <c r="J639" s="65"/>
      <c r="K639" s="65"/>
      <c r="L639" s="65"/>
    </row>
    <row r="640" ht="15.75" customHeight="1">
      <c r="C640" s="65"/>
      <c r="D640" s="65"/>
      <c r="E640" s="65"/>
      <c r="F640" s="65"/>
      <c r="H640" s="65"/>
      <c r="J640" s="65"/>
      <c r="K640" s="65"/>
      <c r="L640" s="65"/>
    </row>
    <row r="641" ht="15.75" customHeight="1">
      <c r="C641" s="65"/>
      <c r="D641" s="65"/>
      <c r="E641" s="65"/>
      <c r="F641" s="65"/>
      <c r="H641" s="65"/>
      <c r="J641" s="65"/>
      <c r="K641" s="65"/>
      <c r="L641" s="65"/>
    </row>
    <row r="642" ht="15.75" customHeight="1">
      <c r="C642" s="65"/>
      <c r="D642" s="65"/>
      <c r="E642" s="65"/>
      <c r="F642" s="65"/>
      <c r="H642" s="65"/>
      <c r="J642" s="65"/>
      <c r="K642" s="65"/>
      <c r="L642" s="65"/>
    </row>
    <row r="643" ht="15.75" customHeight="1">
      <c r="C643" s="65"/>
      <c r="D643" s="65"/>
      <c r="E643" s="65"/>
      <c r="F643" s="65"/>
      <c r="H643" s="65"/>
      <c r="J643" s="65"/>
      <c r="K643" s="65"/>
      <c r="L643" s="65"/>
    </row>
    <row r="644" ht="15.75" customHeight="1">
      <c r="C644" s="65"/>
      <c r="D644" s="65"/>
      <c r="E644" s="65"/>
      <c r="F644" s="65"/>
      <c r="H644" s="65"/>
      <c r="J644" s="65"/>
      <c r="K644" s="65"/>
      <c r="L644" s="65"/>
    </row>
    <row r="645" ht="15.75" customHeight="1">
      <c r="C645" s="65"/>
      <c r="D645" s="65"/>
      <c r="E645" s="65"/>
      <c r="F645" s="65"/>
      <c r="H645" s="65"/>
      <c r="J645" s="65"/>
      <c r="K645" s="65"/>
      <c r="L645" s="65"/>
    </row>
    <row r="646" ht="15.75" customHeight="1">
      <c r="C646" s="65"/>
      <c r="D646" s="65"/>
      <c r="E646" s="65"/>
      <c r="F646" s="65"/>
      <c r="H646" s="65"/>
      <c r="J646" s="65"/>
      <c r="K646" s="65"/>
      <c r="L646" s="65"/>
    </row>
    <row r="647" ht="15.75" customHeight="1">
      <c r="C647" s="65"/>
      <c r="D647" s="65"/>
      <c r="E647" s="65"/>
      <c r="F647" s="65"/>
      <c r="H647" s="65"/>
      <c r="J647" s="65"/>
      <c r="K647" s="65"/>
      <c r="L647" s="65"/>
    </row>
    <row r="648" ht="15.75" customHeight="1">
      <c r="C648" s="65"/>
      <c r="D648" s="65"/>
      <c r="E648" s="65"/>
      <c r="F648" s="65"/>
      <c r="H648" s="65"/>
      <c r="J648" s="65"/>
      <c r="K648" s="65"/>
      <c r="L648" s="65"/>
    </row>
    <row r="649" ht="15.75" customHeight="1">
      <c r="C649" s="65"/>
      <c r="D649" s="65"/>
      <c r="E649" s="65"/>
      <c r="F649" s="65"/>
      <c r="H649" s="65"/>
      <c r="J649" s="65"/>
      <c r="K649" s="65"/>
      <c r="L649" s="65"/>
    </row>
    <row r="650" ht="15.75" customHeight="1">
      <c r="C650" s="65"/>
      <c r="D650" s="65"/>
      <c r="E650" s="65"/>
      <c r="F650" s="65"/>
      <c r="H650" s="65"/>
      <c r="J650" s="65"/>
      <c r="K650" s="65"/>
      <c r="L650" s="65"/>
    </row>
    <row r="651" ht="15.75" customHeight="1">
      <c r="C651" s="65"/>
      <c r="D651" s="65"/>
      <c r="E651" s="65"/>
      <c r="F651" s="65"/>
      <c r="H651" s="65"/>
      <c r="J651" s="65"/>
      <c r="K651" s="65"/>
      <c r="L651" s="65"/>
    </row>
    <row r="652" ht="15.75" customHeight="1">
      <c r="C652" s="65"/>
      <c r="D652" s="65"/>
      <c r="E652" s="65"/>
      <c r="F652" s="65"/>
      <c r="H652" s="65"/>
      <c r="J652" s="65"/>
      <c r="K652" s="65"/>
      <c r="L652" s="65"/>
    </row>
    <row r="653" ht="15.75" customHeight="1">
      <c r="C653" s="65"/>
      <c r="D653" s="65"/>
      <c r="E653" s="65"/>
      <c r="F653" s="65"/>
      <c r="H653" s="65"/>
      <c r="J653" s="65"/>
      <c r="K653" s="65"/>
      <c r="L653" s="65"/>
    </row>
    <row r="654" ht="15.75" customHeight="1">
      <c r="C654" s="65"/>
      <c r="D654" s="65"/>
      <c r="E654" s="65"/>
      <c r="F654" s="65"/>
      <c r="H654" s="65"/>
      <c r="J654" s="65"/>
      <c r="K654" s="65"/>
      <c r="L654" s="65"/>
    </row>
    <row r="655" ht="15.75" customHeight="1">
      <c r="C655" s="65"/>
      <c r="D655" s="65"/>
      <c r="E655" s="65"/>
      <c r="F655" s="65"/>
      <c r="H655" s="65"/>
      <c r="J655" s="65"/>
      <c r="K655" s="65"/>
      <c r="L655" s="65"/>
    </row>
    <row r="656" ht="15.75" customHeight="1">
      <c r="C656" s="65"/>
      <c r="D656" s="65"/>
      <c r="E656" s="65"/>
      <c r="F656" s="65"/>
      <c r="H656" s="65"/>
      <c r="J656" s="65"/>
      <c r="K656" s="65"/>
      <c r="L656" s="65"/>
    </row>
    <row r="657" ht="15.75" customHeight="1">
      <c r="C657" s="65"/>
      <c r="D657" s="65"/>
      <c r="E657" s="65"/>
      <c r="F657" s="65"/>
      <c r="H657" s="65"/>
      <c r="J657" s="65"/>
      <c r="K657" s="65"/>
      <c r="L657" s="65"/>
    </row>
    <row r="658" ht="15.75" customHeight="1">
      <c r="C658" s="65"/>
      <c r="D658" s="65"/>
      <c r="E658" s="65"/>
      <c r="F658" s="65"/>
      <c r="H658" s="65"/>
      <c r="J658" s="65"/>
      <c r="K658" s="65"/>
      <c r="L658" s="65"/>
    </row>
    <row r="659" ht="15.75" customHeight="1">
      <c r="C659" s="65"/>
      <c r="D659" s="65"/>
      <c r="E659" s="65"/>
      <c r="F659" s="65"/>
      <c r="H659" s="65"/>
      <c r="J659" s="65"/>
      <c r="K659" s="65"/>
      <c r="L659" s="65"/>
    </row>
    <row r="660" ht="15.75" customHeight="1">
      <c r="C660" s="65"/>
      <c r="D660" s="65"/>
      <c r="E660" s="65"/>
      <c r="F660" s="65"/>
      <c r="H660" s="65"/>
      <c r="J660" s="65"/>
      <c r="K660" s="65"/>
      <c r="L660" s="65"/>
    </row>
    <row r="661" ht="15.75" customHeight="1">
      <c r="C661" s="65"/>
      <c r="D661" s="65"/>
      <c r="E661" s="65"/>
      <c r="F661" s="65"/>
      <c r="H661" s="65"/>
      <c r="J661" s="65"/>
      <c r="K661" s="65"/>
      <c r="L661" s="65"/>
    </row>
    <row r="662" ht="15.75" customHeight="1">
      <c r="C662" s="65"/>
      <c r="D662" s="65"/>
      <c r="E662" s="65"/>
      <c r="F662" s="65"/>
      <c r="H662" s="65"/>
      <c r="J662" s="65"/>
      <c r="K662" s="65"/>
      <c r="L662" s="65"/>
    </row>
    <row r="663" ht="15.75" customHeight="1">
      <c r="C663" s="65"/>
      <c r="D663" s="65"/>
      <c r="E663" s="65"/>
      <c r="F663" s="65"/>
      <c r="H663" s="65"/>
      <c r="J663" s="65"/>
      <c r="K663" s="65"/>
      <c r="L663" s="65"/>
    </row>
    <row r="664" ht="15.75" customHeight="1">
      <c r="C664" s="65"/>
      <c r="D664" s="65"/>
      <c r="E664" s="65"/>
      <c r="F664" s="65"/>
      <c r="H664" s="65"/>
      <c r="J664" s="65"/>
      <c r="K664" s="65"/>
      <c r="L664" s="65"/>
    </row>
    <row r="665" ht="15.75" customHeight="1">
      <c r="C665" s="65"/>
      <c r="D665" s="65"/>
      <c r="E665" s="65"/>
      <c r="F665" s="65"/>
      <c r="H665" s="65"/>
      <c r="J665" s="65"/>
      <c r="K665" s="65"/>
      <c r="L665" s="65"/>
    </row>
    <row r="666" ht="15.75" customHeight="1">
      <c r="C666" s="65"/>
      <c r="D666" s="65"/>
      <c r="E666" s="65"/>
      <c r="F666" s="65"/>
      <c r="H666" s="65"/>
      <c r="J666" s="65"/>
      <c r="K666" s="65"/>
      <c r="L666" s="65"/>
    </row>
    <row r="667" ht="15.75" customHeight="1">
      <c r="C667" s="65"/>
      <c r="D667" s="65"/>
      <c r="E667" s="65"/>
      <c r="F667" s="65"/>
      <c r="H667" s="65"/>
      <c r="J667" s="65"/>
      <c r="K667" s="65"/>
      <c r="L667" s="65"/>
    </row>
    <row r="668" ht="15.75" customHeight="1">
      <c r="C668" s="65"/>
      <c r="D668" s="65"/>
      <c r="E668" s="65"/>
      <c r="F668" s="65"/>
      <c r="H668" s="65"/>
      <c r="J668" s="65"/>
      <c r="K668" s="65"/>
      <c r="L668" s="65"/>
    </row>
    <row r="669" ht="15.75" customHeight="1">
      <c r="C669" s="65"/>
      <c r="D669" s="65"/>
      <c r="E669" s="65"/>
      <c r="F669" s="65"/>
      <c r="H669" s="65"/>
      <c r="J669" s="65"/>
      <c r="K669" s="65"/>
      <c r="L669" s="65"/>
    </row>
    <row r="670" ht="15.75" customHeight="1">
      <c r="C670" s="65"/>
      <c r="D670" s="65"/>
      <c r="E670" s="65"/>
      <c r="F670" s="65"/>
      <c r="H670" s="65"/>
      <c r="J670" s="65"/>
      <c r="K670" s="65"/>
      <c r="L670" s="65"/>
    </row>
    <row r="671" ht="15.75" customHeight="1">
      <c r="C671" s="65"/>
      <c r="D671" s="65"/>
      <c r="E671" s="65"/>
      <c r="F671" s="65"/>
      <c r="H671" s="65"/>
      <c r="J671" s="65"/>
      <c r="K671" s="65"/>
      <c r="L671" s="65"/>
    </row>
    <row r="672" ht="15.75" customHeight="1">
      <c r="C672" s="65"/>
      <c r="D672" s="65"/>
      <c r="E672" s="65"/>
      <c r="F672" s="65"/>
      <c r="H672" s="65"/>
      <c r="J672" s="65"/>
      <c r="K672" s="65"/>
      <c r="L672" s="65"/>
    </row>
    <row r="673" ht="15.75" customHeight="1">
      <c r="C673" s="65"/>
      <c r="D673" s="65"/>
      <c r="E673" s="65"/>
      <c r="F673" s="65"/>
      <c r="H673" s="65"/>
      <c r="J673" s="65"/>
      <c r="K673" s="65"/>
      <c r="L673" s="65"/>
    </row>
    <row r="674" ht="15.75" customHeight="1">
      <c r="C674" s="65"/>
      <c r="D674" s="65"/>
      <c r="E674" s="65"/>
      <c r="F674" s="65"/>
      <c r="H674" s="65"/>
      <c r="J674" s="65"/>
      <c r="K674" s="65"/>
      <c r="L674" s="65"/>
    </row>
    <row r="675" ht="15.75" customHeight="1">
      <c r="C675" s="65"/>
      <c r="D675" s="65"/>
      <c r="E675" s="65"/>
      <c r="F675" s="65"/>
      <c r="H675" s="65"/>
      <c r="J675" s="65"/>
      <c r="K675" s="65"/>
      <c r="L675" s="65"/>
    </row>
    <row r="676" ht="15.75" customHeight="1">
      <c r="C676" s="65"/>
      <c r="D676" s="65"/>
      <c r="E676" s="65"/>
      <c r="F676" s="65"/>
      <c r="H676" s="65"/>
      <c r="J676" s="65"/>
      <c r="K676" s="65"/>
      <c r="L676" s="65"/>
    </row>
    <row r="677" ht="15.75" customHeight="1">
      <c r="C677" s="65"/>
      <c r="D677" s="65"/>
      <c r="E677" s="65"/>
      <c r="F677" s="65"/>
      <c r="H677" s="65"/>
      <c r="J677" s="65"/>
      <c r="K677" s="65"/>
      <c r="L677" s="65"/>
    </row>
    <row r="678" ht="15.75" customHeight="1">
      <c r="C678" s="65"/>
      <c r="D678" s="65"/>
      <c r="E678" s="65"/>
      <c r="F678" s="65"/>
      <c r="H678" s="65"/>
      <c r="J678" s="65"/>
      <c r="K678" s="65"/>
      <c r="L678" s="65"/>
    </row>
    <row r="679" ht="15.75" customHeight="1">
      <c r="C679" s="65"/>
      <c r="D679" s="65"/>
      <c r="E679" s="65"/>
      <c r="F679" s="65"/>
      <c r="H679" s="65"/>
      <c r="J679" s="65"/>
      <c r="K679" s="65"/>
      <c r="L679" s="65"/>
    </row>
    <row r="680" ht="15.75" customHeight="1">
      <c r="C680" s="65"/>
      <c r="D680" s="65"/>
      <c r="E680" s="65"/>
      <c r="F680" s="65"/>
      <c r="H680" s="65"/>
      <c r="J680" s="65"/>
      <c r="K680" s="65"/>
      <c r="L680" s="65"/>
    </row>
    <row r="681" ht="15.75" customHeight="1">
      <c r="C681" s="65"/>
      <c r="D681" s="65"/>
      <c r="E681" s="65"/>
      <c r="F681" s="65"/>
      <c r="H681" s="65"/>
      <c r="J681" s="65"/>
      <c r="K681" s="65"/>
      <c r="L681" s="65"/>
    </row>
    <row r="682" ht="15.75" customHeight="1">
      <c r="C682" s="65"/>
      <c r="D682" s="65"/>
      <c r="E682" s="65"/>
      <c r="F682" s="65"/>
      <c r="H682" s="65"/>
      <c r="J682" s="65"/>
      <c r="K682" s="65"/>
      <c r="L682" s="65"/>
    </row>
    <row r="683" ht="15.75" customHeight="1">
      <c r="C683" s="65"/>
      <c r="D683" s="65"/>
      <c r="E683" s="65"/>
      <c r="F683" s="65"/>
      <c r="H683" s="65"/>
      <c r="J683" s="65"/>
      <c r="K683" s="65"/>
      <c r="L683" s="65"/>
    </row>
    <row r="684" ht="15.75" customHeight="1">
      <c r="C684" s="65"/>
      <c r="D684" s="65"/>
      <c r="E684" s="65"/>
      <c r="F684" s="65"/>
      <c r="H684" s="65"/>
      <c r="J684" s="65"/>
      <c r="K684" s="65"/>
      <c r="L684" s="65"/>
    </row>
    <row r="685" ht="15.75" customHeight="1">
      <c r="C685" s="65"/>
      <c r="D685" s="65"/>
      <c r="E685" s="65"/>
      <c r="F685" s="65"/>
      <c r="H685" s="65"/>
      <c r="J685" s="65"/>
      <c r="K685" s="65"/>
      <c r="L685" s="65"/>
    </row>
    <row r="686" ht="15.75" customHeight="1">
      <c r="C686" s="65"/>
      <c r="D686" s="65"/>
      <c r="E686" s="65"/>
      <c r="F686" s="65"/>
      <c r="H686" s="65"/>
      <c r="J686" s="65"/>
      <c r="K686" s="65"/>
      <c r="L686" s="65"/>
    </row>
    <row r="687" ht="15.75" customHeight="1">
      <c r="C687" s="65"/>
      <c r="D687" s="65"/>
      <c r="E687" s="65"/>
      <c r="F687" s="65"/>
      <c r="H687" s="65"/>
      <c r="J687" s="65"/>
      <c r="K687" s="65"/>
      <c r="L687" s="65"/>
    </row>
    <row r="688" ht="15.75" customHeight="1">
      <c r="C688" s="65"/>
      <c r="D688" s="65"/>
      <c r="E688" s="65"/>
      <c r="F688" s="65"/>
      <c r="H688" s="65"/>
      <c r="J688" s="65"/>
      <c r="K688" s="65"/>
      <c r="L688" s="65"/>
    </row>
    <row r="689" ht="15.75" customHeight="1">
      <c r="C689" s="65"/>
      <c r="D689" s="65"/>
      <c r="E689" s="65"/>
      <c r="F689" s="65"/>
      <c r="H689" s="65"/>
      <c r="J689" s="65"/>
      <c r="K689" s="65"/>
      <c r="L689" s="65"/>
    </row>
    <row r="690" ht="15.75" customHeight="1">
      <c r="C690" s="65"/>
      <c r="D690" s="65"/>
      <c r="E690" s="65"/>
      <c r="F690" s="65"/>
      <c r="H690" s="65"/>
      <c r="J690" s="65"/>
      <c r="K690" s="65"/>
      <c r="L690" s="65"/>
    </row>
    <row r="691" ht="15.75" customHeight="1">
      <c r="C691" s="65"/>
      <c r="D691" s="65"/>
      <c r="E691" s="65"/>
      <c r="F691" s="65"/>
      <c r="H691" s="65"/>
      <c r="J691" s="65"/>
      <c r="K691" s="65"/>
      <c r="L691" s="65"/>
    </row>
    <row r="692" ht="15.75" customHeight="1">
      <c r="C692" s="65"/>
      <c r="D692" s="65"/>
      <c r="E692" s="65"/>
      <c r="F692" s="65"/>
      <c r="H692" s="65"/>
      <c r="J692" s="65"/>
      <c r="K692" s="65"/>
      <c r="L692" s="65"/>
    </row>
    <row r="693" ht="15.75" customHeight="1">
      <c r="C693" s="65"/>
      <c r="D693" s="65"/>
      <c r="E693" s="65"/>
      <c r="F693" s="65"/>
      <c r="H693" s="65"/>
      <c r="J693" s="65"/>
      <c r="K693" s="65"/>
      <c r="L693" s="65"/>
    </row>
    <row r="694" ht="15.75" customHeight="1">
      <c r="C694" s="65"/>
      <c r="D694" s="65"/>
      <c r="E694" s="65"/>
      <c r="F694" s="65"/>
      <c r="H694" s="65"/>
      <c r="J694" s="65"/>
      <c r="K694" s="65"/>
      <c r="L694" s="65"/>
    </row>
    <row r="695" ht="15.75" customHeight="1">
      <c r="C695" s="65"/>
      <c r="D695" s="65"/>
      <c r="E695" s="65"/>
      <c r="F695" s="65"/>
      <c r="H695" s="65"/>
      <c r="J695" s="65"/>
      <c r="K695" s="65"/>
      <c r="L695" s="65"/>
    </row>
    <row r="696" ht="15.75" customHeight="1">
      <c r="C696" s="65"/>
      <c r="D696" s="65"/>
      <c r="E696" s="65"/>
      <c r="F696" s="65"/>
      <c r="H696" s="65"/>
      <c r="J696" s="65"/>
      <c r="K696" s="65"/>
      <c r="L696" s="65"/>
    </row>
    <row r="697" ht="15.75" customHeight="1">
      <c r="C697" s="65"/>
      <c r="D697" s="65"/>
      <c r="E697" s="65"/>
      <c r="F697" s="65"/>
      <c r="H697" s="65"/>
      <c r="J697" s="65"/>
      <c r="K697" s="65"/>
      <c r="L697" s="65"/>
    </row>
    <row r="698" ht="15.75" customHeight="1">
      <c r="C698" s="65"/>
      <c r="D698" s="65"/>
      <c r="E698" s="65"/>
      <c r="F698" s="65"/>
      <c r="H698" s="65"/>
      <c r="J698" s="65"/>
      <c r="K698" s="65"/>
      <c r="L698" s="65"/>
    </row>
    <row r="699" ht="15.75" customHeight="1">
      <c r="C699" s="65"/>
      <c r="D699" s="65"/>
      <c r="E699" s="65"/>
      <c r="F699" s="65"/>
      <c r="H699" s="65"/>
      <c r="J699" s="65"/>
      <c r="K699" s="65"/>
      <c r="L699" s="65"/>
    </row>
    <row r="700" ht="15.75" customHeight="1">
      <c r="C700" s="65"/>
      <c r="D700" s="65"/>
      <c r="E700" s="65"/>
      <c r="F700" s="65"/>
      <c r="H700" s="65"/>
      <c r="J700" s="65"/>
      <c r="K700" s="65"/>
      <c r="L700" s="65"/>
    </row>
    <row r="701" ht="15.75" customHeight="1">
      <c r="C701" s="65"/>
      <c r="D701" s="65"/>
      <c r="E701" s="65"/>
      <c r="F701" s="65"/>
      <c r="H701" s="65"/>
      <c r="J701" s="65"/>
      <c r="K701" s="65"/>
      <c r="L701" s="65"/>
    </row>
    <row r="702" ht="15.75" customHeight="1">
      <c r="C702" s="65"/>
      <c r="D702" s="65"/>
      <c r="E702" s="65"/>
      <c r="F702" s="65"/>
      <c r="H702" s="65"/>
      <c r="J702" s="65"/>
      <c r="K702" s="65"/>
      <c r="L702" s="65"/>
    </row>
    <row r="703" ht="15.75" customHeight="1">
      <c r="C703" s="65"/>
      <c r="D703" s="65"/>
      <c r="E703" s="65"/>
      <c r="F703" s="65"/>
      <c r="H703" s="65"/>
      <c r="J703" s="65"/>
      <c r="K703" s="65"/>
      <c r="L703" s="65"/>
    </row>
    <row r="704" ht="15.75" customHeight="1">
      <c r="C704" s="65"/>
      <c r="D704" s="65"/>
      <c r="E704" s="65"/>
      <c r="F704" s="65"/>
      <c r="H704" s="65"/>
      <c r="J704" s="65"/>
      <c r="K704" s="65"/>
      <c r="L704" s="65"/>
    </row>
    <row r="705" ht="15.75" customHeight="1">
      <c r="C705" s="65"/>
      <c r="D705" s="65"/>
      <c r="E705" s="65"/>
      <c r="F705" s="65"/>
      <c r="H705" s="65"/>
      <c r="J705" s="65"/>
      <c r="K705" s="65"/>
      <c r="L705" s="65"/>
    </row>
    <row r="706" ht="15.75" customHeight="1">
      <c r="C706" s="65"/>
      <c r="D706" s="65"/>
      <c r="E706" s="65"/>
      <c r="F706" s="65"/>
      <c r="H706" s="65"/>
      <c r="J706" s="65"/>
      <c r="K706" s="65"/>
      <c r="L706" s="65"/>
    </row>
    <row r="707" ht="15.75" customHeight="1">
      <c r="C707" s="65"/>
      <c r="D707" s="65"/>
      <c r="E707" s="65"/>
      <c r="F707" s="65"/>
      <c r="H707" s="65"/>
      <c r="J707" s="65"/>
      <c r="K707" s="65"/>
      <c r="L707" s="65"/>
    </row>
    <row r="708" ht="15.75" customHeight="1">
      <c r="C708" s="65"/>
      <c r="D708" s="65"/>
      <c r="E708" s="65"/>
      <c r="F708" s="65"/>
      <c r="H708" s="65"/>
      <c r="J708" s="65"/>
      <c r="K708" s="65"/>
      <c r="L708" s="65"/>
    </row>
    <row r="709" ht="15.75" customHeight="1">
      <c r="C709" s="65"/>
      <c r="D709" s="65"/>
      <c r="E709" s="65"/>
      <c r="F709" s="65"/>
      <c r="H709" s="65"/>
      <c r="J709" s="65"/>
      <c r="K709" s="65"/>
      <c r="L709" s="65"/>
    </row>
    <row r="710" ht="15.75" customHeight="1">
      <c r="C710" s="65"/>
      <c r="D710" s="65"/>
      <c r="E710" s="65"/>
      <c r="F710" s="65"/>
      <c r="H710" s="65"/>
      <c r="J710" s="65"/>
      <c r="K710" s="65"/>
      <c r="L710" s="65"/>
    </row>
    <row r="711" ht="15.75" customHeight="1">
      <c r="C711" s="65"/>
      <c r="D711" s="65"/>
      <c r="E711" s="65"/>
      <c r="F711" s="65"/>
      <c r="H711" s="65"/>
      <c r="J711" s="65"/>
      <c r="K711" s="65"/>
      <c r="L711" s="65"/>
    </row>
    <row r="712" ht="15.75" customHeight="1">
      <c r="C712" s="65"/>
      <c r="D712" s="65"/>
      <c r="E712" s="65"/>
      <c r="F712" s="65"/>
      <c r="H712" s="65"/>
      <c r="J712" s="65"/>
      <c r="K712" s="65"/>
      <c r="L712" s="65"/>
    </row>
    <row r="713" ht="15.75" customHeight="1">
      <c r="C713" s="65"/>
      <c r="D713" s="65"/>
      <c r="E713" s="65"/>
      <c r="F713" s="65"/>
      <c r="H713" s="65"/>
      <c r="J713" s="65"/>
      <c r="K713" s="65"/>
      <c r="L713" s="65"/>
    </row>
    <row r="714" ht="15.75" customHeight="1">
      <c r="C714" s="65"/>
      <c r="D714" s="65"/>
      <c r="E714" s="65"/>
      <c r="F714" s="65"/>
      <c r="H714" s="65"/>
      <c r="J714" s="65"/>
      <c r="K714" s="65"/>
      <c r="L714" s="65"/>
    </row>
    <row r="715" ht="15.75" customHeight="1">
      <c r="C715" s="65"/>
      <c r="D715" s="65"/>
      <c r="E715" s="65"/>
      <c r="F715" s="65"/>
      <c r="H715" s="65"/>
      <c r="J715" s="65"/>
      <c r="K715" s="65"/>
      <c r="L715" s="65"/>
    </row>
    <row r="716" ht="15.75" customHeight="1">
      <c r="C716" s="65"/>
      <c r="D716" s="65"/>
      <c r="E716" s="65"/>
      <c r="F716" s="65"/>
      <c r="H716" s="65"/>
      <c r="J716" s="65"/>
      <c r="K716" s="65"/>
      <c r="L716" s="65"/>
    </row>
    <row r="717" ht="15.75" customHeight="1">
      <c r="C717" s="65"/>
      <c r="D717" s="65"/>
      <c r="E717" s="65"/>
      <c r="F717" s="65"/>
      <c r="H717" s="65"/>
      <c r="J717" s="65"/>
      <c r="K717" s="65"/>
      <c r="L717" s="65"/>
    </row>
    <row r="718" ht="15.75" customHeight="1">
      <c r="C718" s="65"/>
      <c r="D718" s="65"/>
      <c r="E718" s="65"/>
      <c r="F718" s="65"/>
      <c r="H718" s="65"/>
      <c r="J718" s="65"/>
      <c r="K718" s="65"/>
      <c r="L718" s="65"/>
    </row>
    <row r="719" ht="15.75" customHeight="1">
      <c r="C719" s="65"/>
      <c r="D719" s="65"/>
      <c r="E719" s="65"/>
      <c r="F719" s="65"/>
      <c r="H719" s="65"/>
      <c r="J719" s="65"/>
      <c r="K719" s="65"/>
      <c r="L719" s="65"/>
    </row>
    <row r="720" ht="15.75" customHeight="1">
      <c r="C720" s="65"/>
      <c r="D720" s="65"/>
      <c r="E720" s="65"/>
      <c r="F720" s="65"/>
      <c r="H720" s="65"/>
      <c r="J720" s="65"/>
      <c r="K720" s="65"/>
      <c r="L720" s="65"/>
    </row>
    <row r="721" ht="15.75" customHeight="1">
      <c r="C721" s="65"/>
      <c r="D721" s="65"/>
      <c r="E721" s="65"/>
      <c r="F721" s="65"/>
      <c r="H721" s="65"/>
      <c r="J721" s="65"/>
      <c r="K721" s="65"/>
      <c r="L721" s="65"/>
    </row>
    <row r="722" ht="15.75" customHeight="1">
      <c r="C722" s="65"/>
      <c r="D722" s="65"/>
      <c r="E722" s="65"/>
      <c r="F722" s="65"/>
      <c r="H722" s="65"/>
      <c r="J722" s="65"/>
      <c r="K722" s="65"/>
      <c r="L722" s="65"/>
    </row>
    <row r="723" ht="15.75" customHeight="1">
      <c r="C723" s="65"/>
      <c r="D723" s="65"/>
      <c r="E723" s="65"/>
      <c r="F723" s="65"/>
      <c r="H723" s="65"/>
      <c r="J723" s="65"/>
      <c r="K723" s="65"/>
      <c r="L723" s="65"/>
    </row>
    <row r="724" ht="15.75" customHeight="1">
      <c r="C724" s="65"/>
      <c r="D724" s="65"/>
      <c r="E724" s="65"/>
      <c r="F724" s="65"/>
      <c r="H724" s="65"/>
      <c r="J724" s="65"/>
      <c r="K724" s="65"/>
      <c r="L724" s="65"/>
    </row>
    <row r="725" ht="15.75" customHeight="1">
      <c r="C725" s="65"/>
      <c r="D725" s="65"/>
      <c r="E725" s="65"/>
      <c r="F725" s="65"/>
      <c r="H725" s="65"/>
      <c r="J725" s="65"/>
      <c r="K725" s="65"/>
      <c r="L725" s="65"/>
    </row>
    <row r="726" ht="15.75" customHeight="1">
      <c r="C726" s="65"/>
      <c r="D726" s="65"/>
      <c r="E726" s="65"/>
      <c r="F726" s="65"/>
      <c r="H726" s="65"/>
      <c r="J726" s="65"/>
      <c r="K726" s="65"/>
      <c r="L726" s="65"/>
    </row>
    <row r="727" ht="15.75" customHeight="1">
      <c r="C727" s="65"/>
      <c r="D727" s="65"/>
      <c r="E727" s="65"/>
      <c r="F727" s="65"/>
      <c r="H727" s="65"/>
      <c r="J727" s="65"/>
      <c r="K727" s="65"/>
      <c r="L727" s="65"/>
    </row>
    <row r="728" ht="15.75" customHeight="1">
      <c r="C728" s="65"/>
      <c r="D728" s="65"/>
      <c r="E728" s="65"/>
      <c r="F728" s="65"/>
      <c r="H728" s="65"/>
      <c r="J728" s="65"/>
      <c r="K728" s="65"/>
      <c r="L728" s="65"/>
    </row>
    <row r="729" ht="15.75" customHeight="1">
      <c r="C729" s="65"/>
      <c r="D729" s="65"/>
      <c r="E729" s="65"/>
      <c r="F729" s="65"/>
      <c r="H729" s="65"/>
      <c r="J729" s="65"/>
      <c r="K729" s="65"/>
      <c r="L729" s="65"/>
    </row>
    <row r="730" ht="15.75" customHeight="1">
      <c r="C730" s="65"/>
      <c r="D730" s="65"/>
      <c r="E730" s="65"/>
      <c r="F730" s="65"/>
      <c r="H730" s="65"/>
      <c r="J730" s="65"/>
      <c r="K730" s="65"/>
      <c r="L730" s="65"/>
    </row>
    <row r="731" ht="15.75" customHeight="1">
      <c r="C731" s="65"/>
      <c r="D731" s="65"/>
      <c r="E731" s="65"/>
      <c r="F731" s="65"/>
      <c r="H731" s="65"/>
      <c r="J731" s="65"/>
      <c r="K731" s="65"/>
      <c r="L731" s="65"/>
    </row>
    <row r="732" ht="15.75" customHeight="1">
      <c r="C732" s="65"/>
      <c r="D732" s="65"/>
      <c r="E732" s="65"/>
      <c r="F732" s="65"/>
      <c r="H732" s="65"/>
      <c r="J732" s="65"/>
      <c r="K732" s="65"/>
      <c r="L732" s="65"/>
    </row>
    <row r="733" ht="15.75" customHeight="1">
      <c r="C733" s="65"/>
      <c r="D733" s="65"/>
      <c r="E733" s="65"/>
      <c r="F733" s="65"/>
      <c r="H733" s="65"/>
      <c r="J733" s="65"/>
      <c r="K733" s="65"/>
      <c r="L733" s="65"/>
    </row>
    <row r="734" ht="15.75" customHeight="1">
      <c r="C734" s="65"/>
      <c r="D734" s="65"/>
      <c r="E734" s="65"/>
      <c r="F734" s="65"/>
      <c r="H734" s="65"/>
      <c r="J734" s="65"/>
      <c r="K734" s="65"/>
      <c r="L734" s="65"/>
    </row>
    <row r="735" ht="15.75" customHeight="1">
      <c r="C735" s="65"/>
      <c r="D735" s="65"/>
      <c r="E735" s="65"/>
      <c r="F735" s="65"/>
      <c r="H735" s="65"/>
      <c r="J735" s="65"/>
      <c r="K735" s="65"/>
      <c r="L735" s="65"/>
    </row>
    <row r="736" ht="15.75" customHeight="1">
      <c r="C736" s="65"/>
      <c r="D736" s="65"/>
      <c r="E736" s="65"/>
      <c r="F736" s="65"/>
      <c r="H736" s="65"/>
      <c r="J736" s="65"/>
      <c r="K736" s="65"/>
      <c r="L736" s="65"/>
    </row>
    <row r="737" ht="15.75" customHeight="1">
      <c r="C737" s="65"/>
      <c r="D737" s="65"/>
      <c r="E737" s="65"/>
      <c r="F737" s="65"/>
      <c r="H737" s="65"/>
      <c r="J737" s="65"/>
      <c r="K737" s="65"/>
      <c r="L737" s="65"/>
    </row>
    <row r="738" ht="15.75" customHeight="1">
      <c r="C738" s="65"/>
      <c r="D738" s="65"/>
      <c r="E738" s="65"/>
      <c r="F738" s="65"/>
      <c r="H738" s="65"/>
      <c r="J738" s="65"/>
      <c r="K738" s="65"/>
      <c r="L738" s="65"/>
    </row>
    <row r="739" ht="15.75" customHeight="1">
      <c r="C739" s="65"/>
      <c r="D739" s="65"/>
      <c r="E739" s="65"/>
      <c r="F739" s="65"/>
      <c r="H739" s="65"/>
      <c r="J739" s="65"/>
      <c r="K739" s="65"/>
      <c r="L739" s="65"/>
    </row>
    <row r="740" ht="15.75" customHeight="1">
      <c r="C740" s="65"/>
      <c r="D740" s="65"/>
      <c r="E740" s="65"/>
      <c r="F740" s="65"/>
      <c r="H740" s="65"/>
      <c r="J740" s="65"/>
      <c r="K740" s="65"/>
      <c r="L740" s="65"/>
    </row>
    <row r="741" ht="15.75" customHeight="1">
      <c r="C741" s="65"/>
      <c r="D741" s="65"/>
      <c r="E741" s="65"/>
      <c r="F741" s="65"/>
      <c r="H741" s="65"/>
      <c r="J741" s="65"/>
      <c r="K741" s="65"/>
      <c r="L741" s="65"/>
    </row>
    <row r="742" ht="15.75" customHeight="1">
      <c r="C742" s="65"/>
      <c r="D742" s="65"/>
      <c r="E742" s="65"/>
      <c r="F742" s="65"/>
      <c r="H742" s="65"/>
      <c r="J742" s="65"/>
      <c r="K742" s="65"/>
      <c r="L742" s="65"/>
    </row>
    <row r="743" ht="15.75" customHeight="1">
      <c r="C743" s="65"/>
      <c r="D743" s="65"/>
      <c r="E743" s="65"/>
      <c r="F743" s="65"/>
      <c r="H743" s="65"/>
      <c r="J743" s="65"/>
      <c r="K743" s="65"/>
      <c r="L743" s="65"/>
    </row>
    <row r="744" ht="15.75" customHeight="1">
      <c r="C744" s="65"/>
      <c r="D744" s="65"/>
      <c r="E744" s="65"/>
      <c r="F744" s="65"/>
      <c r="H744" s="65"/>
      <c r="J744" s="65"/>
      <c r="K744" s="65"/>
      <c r="L744" s="65"/>
    </row>
    <row r="745" ht="15.75" customHeight="1">
      <c r="C745" s="65"/>
      <c r="D745" s="65"/>
      <c r="E745" s="65"/>
      <c r="F745" s="65"/>
      <c r="H745" s="65"/>
      <c r="J745" s="65"/>
      <c r="K745" s="65"/>
      <c r="L745" s="65"/>
    </row>
    <row r="746" ht="15.75" customHeight="1">
      <c r="C746" s="65"/>
      <c r="D746" s="65"/>
      <c r="E746" s="65"/>
      <c r="F746" s="65"/>
      <c r="H746" s="65"/>
      <c r="J746" s="65"/>
      <c r="K746" s="65"/>
      <c r="L746" s="65"/>
    </row>
    <row r="747" ht="15.75" customHeight="1">
      <c r="C747" s="65"/>
      <c r="D747" s="65"/>
      <c r="E747" s="65"/>
      <c r="F747" s="65"/>
      <c r="H747" s="65"/>
      <c r="J747" s="65"/>
      <c r="K747" s="65"/>
      <c r="L747" s="65"/>
    </row>
    <row r="748" ht="15.75" customHeight="1">
      <c r="C748" s="65"/>
      <c r="D748" s="65"/>
      <c r="E748" s="65"/>
      <c r="F748" s="65"/>
      <c r="H748" s="65"/>
      <c r="J748" s="65"/>
      <c r="K748" s="65"/>
      <c r="L748" s="65"/>
    </row>
    <row r="749" ht="15.75" customHeight="1">
      <c r="C749" s="65"/>
      <c r="D749" s="65"/>
      <c r="E749" s="65"/>
      <c r="F749" s="65"/>
      <c r="H749" s="65"/>
      <c r="J749" s="65"/>
      <c r="K749" s="65"/>
      <c r="L749" s="65"/>
    </row>
    <row r="750" ht="15.75" customHeight="1">
      <c r="C750" s="65"/>
      <c r="D750" s="65"/>
      <c r="E750" s="65"/>
      <c r="F750" s="65"/>
      <c r="H750" s="65"/>
      <c r="J750" s="65"/>
      <c r="K750" s="65"/>
      <c r="L750" s="65"/>
    </row>
    <row r="751" ht="15.75" customHeight="1">
      <c r="C751" s="65"/>
      <c r="D751" s="65"/>
      <c r="E751" s="65"/>
      <c r="F751" s="65"/>
      <c r="H751" s="65"/>
      <c r="J751" s="65"/>
      <c r="K751" s="65"/>
      <c r="L751" s="65"/>
    </row>
    <row r="752" ht="15.75" customHeight="1">
      <c r="C752" s="65"/>
      <c r="D752" s="65"/>
      <c r="E752" s="65"/>
      <c r="F752" s="65"/>
      <c r="H752" s="65"/>
      <c r="J752" s="65"/>
      <c r="K752" s="65"/>
      <c r="L752" s="65"/>
    </row>
    <row r="753" ht="15.75" customHeight="1">
      <c r="C753" s="65"/>
      <c r="D753" s="65"/>
      <c r="E753" s="65"/>
      <c r="F753" s="65"/>
      <c r="H753" s="65"/>
      <c r="J753" s="65"/>
      <c r="K753" s="65"/>
      <c r="L753" s="65"/>
    </row>
    <row r="754" ht="15.75" customHeight="1">
      <c r="C754" s="65"/>
      <c r="D754" s="65"/>
      <c r="E754" s="65"/>
      <c r="F754" s="65"/>
      <c r="H754" s="65"/>
      <c r="J754" s="65"/>
      <c r="K754" s="65"/>
      <c r="L754" s="65"/>
    </row>
    <row r="755" ht="15.75" customHeight="1">
      <c r="C755" s="65"/>
      <c r="D755" s="65"/>
      <c r="E755" s="65"/>
      <c r="F755" s="65"/>
      <c r="H755" s="65"/>
      <c r="J755" s="65"/>
      <c r="K755" s="65"/>
      <c r="L755" s="65"/>
    </row>
    <row r="756" ht="15.75" customHeight="1">
      <c r="C756" s="65"/>
      <c r="D756" s="65"/>
      <c r="E756" s="65"/>
      <c r="F756" s="65"/>
      <c r="H756" s="65"/>
      <c r="J756" s="65"/>
      <c r="K756" s="65"/>
      <c r="L756" s="65"/>
    </row>
    <row r="757" ht="15.75" customHeight="1">
      <c r="C757" s="65"/>
      <c r="D757" s="65"/>
      <c r="E757" s="65"/>
      <c r="F757" s="65"/>
      <c r="H757" s="65"/>
      <c r="J757" s="65"/>
      <c r="K757" s="65"/>
      <c r="L757" s="65"/>
    </row>
    <row r="758" ht="15.75" customHeight="1">
      <c r="C758" s="65"/>
      <c r="D758" s="65"/>
      <c r="E758" s="65"/>
      <c r="F758" s="65"/>
      <c r="H758" s="65"/>
      <c r="J758" s="65"/>
      <c r="K758" s="65"/>
      <c r="L758" s="65"/>
    </row>
    <row r="759" ht="15.75" customHeight="1">
      <c r="C759" s="65"/>
      <c r="D759" s="65"/>
      <c r="E759" s="65"/>
      <c r="F759" s="65"/>
      <c r="H759" s="65"/>
      <c r="J759" s="65"/>
      <c r="K759" s="65"/>
      <c r="L759" s="65"/>
    </row>
    <row r="760" ht="15.75" customHeight="1">
      <c r="C760" s="65"/>
      <c r="D760" s="65"/>
      <c r="E760" s="65"/>
      <c r="F760" s="65"/>
      <c r="H760" s="65"/>
      <c r="J760" s="65"/>
      <c r="K760" s="65"/>
      <c r="L760" s="65"/>
    </row>
    <row r="761" ht="15.75" customHeight="1">
      <c r="C761" s="65"/>
      <c r="D761" s="65"/>
      <c r="E761" s="65"/>
      <c r="F761" s="65"/>
      <c r="H761" s="65"/>
      <c r="J761" s="65"/>
      <c r="K761" s="65"/>
      <c r="L761" s="65"/>
    </row>
    <row r="762" ht="15.75" customHeight="1">
      <c r="C762" s="65"/>
      <c r="D762" s="65"/>
      <c r="E762" s="65"/>
      <c r="F762" s="65"/>
      <c r="H762" s="65"/>
      <c r="J762" s="65"/>
      <c r="K762" s="65"/>
      <c r="L762" s="65"/>
    </row>
    <row r="763" ht="15.75" customHeight="1">
      <c r="C763" s="65"/>
      <c r="D763" s="65"/>
      <c r="E763" s="65"/>
      <c r="F763" s="65"/>
      <c r="H763" s="65"/>
      <c r="J763" s="65"/>
      <c r="K763" s="65"/>
      <c r="L763" s="65"/>
    </row>
    <row r="764" ht="15.75" customHeight="1">
      <c r="C764" s="65"/>
      <c r="D764" s="65"/>
      <c r="E764" s="65"/>
      <c r="F764" s="65"/>
      <c r="H764" s="65"/>
      <c r="J764" s="65"/>
      <c r="K764" s="65"/>
      <c r="L764" s="65"/>
    </row>
    <row r="765" ht="15.75" customHeight="1">
      <c r="C765" s="65"/>
      <c r="D765" s="65"/>
      <c r="E765" s="65"/>
      <c r="F765" s="65"/>
      <c r="H765" s="65"/>
      <c r="J765" s="65"/>
      <c r="K765" s="65"/>
      <c r="L765" s="65"/>
    </row>
    <row r="766" ht="15.75" customHeight="1">
      <c r="C766" s="65"/>
      <c r="D766" s="65"/>
      <c r="E766" s="65"/>
      <c r="F766" s="65"/>
      <c r="H766" s="65"/>
      <c r="J766" s="65"/>
      <c r="K766" s="65"/>
      <c r="L766" s="65"/>
    </row>
    <row r="767" ht="15.75" customHeight="1">
      <c r="C767" s="65"/>
      <c r="D767" s="65"/>
      <c r="E767" s="65"/>
      <c r="F767" s="65"/>
      <c r="H767" s="65"/>
      <c r="J767" s="65"/>
      <c r="K767" s="65"/>
      <c r="L767" s="65"/>
    </row>
    <row r="768" ht="15.75" customHeight="1">
      <c r="C768" s="65"/>
      <c r="D768" s="65"/>
      <c r="E768" s="65"/>
      <c r="F768" s="65"/>
      <c r="H768" s="65"/>
      <c r="J768" s="65"/>
      <c r="K768" s="65"/>
      <c r="L768" s="65"/>
    </row>
    <row r="769" ht="15.75" customHeight="1">
      <c r="C769" s="65"/>
      <c r="D769" s="65"/>
      <c r="E769" s="65"/>
      <c r="F769" s="65"/>
      <c r="H769" s="65"/>
      <c r="J769" s="65"/>
      <c r="K769" s="65"/>
      <c r="L769" s="65"/>
    </row>
    <row r="770" ht="15.75" customHeight="1">
      <c r="C770" s="65"/>
      <c r="D770" s="65"/>
      <c r="E770" s="65"/>
      <c r="F770" s="65"/>
      <c r="H770" s="65"/>
      <c r="J770" s="65"/>
      <c r="K770" s="65"/>
      <c r="L770" s="65"/>
    </row>
    <row r="771" ht="15.75" customHeight="1">
      <c r="C771" s="65"/>
      <c r="D771" s="65"/>
      <c r="E771" s="65"/>
      <c r="F771" s="65"/>
      <c r="H771" s="65"/>
      <c r="J771" s="65"/>
      <c r="K771" s="65"/>
      <c r="L771" s="65"/>
    </row>
    <row r="772" ht="15.75" customHeight="1">
      <c r="C772" s="65"/>
      <c r="D772" s="65"/>
      <c r="E772" s="65"/>
      <c r="F772" s="65"/>
      <c r="H772" s="65"/>
      <c r="J772" s="65"/>
      <c r="K772" s="65"/>
      <c r="L772" s="65"/>
    </row>
    <row r="773" ht="15.75" customHeight="1">
      <c r="C773" s="65"/>
      <c r="D773" s="65"/>
      <c r="E773" s="65"/>
      <c r="F773" s="65"/>
      <c r="H773" s="65"/>
      <c r="J773" s="65"/>
      <c r="K773" s="65"/>
      <c r="L773" s="65"/>
    </row>
    <row r="774" ht="15.75" customHeight="1">
      <c r="C774" s="65"/>
      <c r="D774" s="65"/>
      <c r="E774" s="65"/>
      <c r="F774" s="65"/>
      <c r="H774" s="65"/>
      <c r="J774" s="65"/>
      <c r="K774" s="65"/>
      <c r="L774" s="65"/>
    </row>
    <row r="775" ht="15.75" customHeight="1">
      <c r="C775" s="65"/>
      <c r="D775" s="65"/>
      <c r="E775" s="65"/>
      <c r="F775" s="65"/>
      <c r="H775" s="65"/>
      <c r="J775" s="65"/>
      <c r="K775" s="65"/>
      <c r="L775" s="65"/>
    </row>
    <row r="776" ht="15.75" customHeight="1">
      <c r="C776" s="65"/>
      <c r="D776" s="65"/>
      <c r="E776" s="65"/>
      <c r="F776" s="65"/>
      <c r="H776" s="65"/>
      <c r="J776" s="65"/>
      <c r="K776" s="65"/>
      <c r="L776" s="65"/>
    </row>
    <row r="777" ht="15.75" customHeight="1">
      <c r="C777" s="65"/>
      <c r="D777" s="65"/>
      <c r="E777" s="65"/>
      <c r="F777" s="65"/>
      <c r="H777" s="65"/>
      <c r="J777" s="65"/>
      <c r="K777" s="65"/>
      <c r="L777" s="65"/>
    </row>
    <row r="778" ht="15.75" customHeight="1">
      <c r="C778" s="65"/>
      <c r="D778" s="65"/>
      <c r="E778" s="65"/>
      <c r="F778" s="65"/>
      <c r="H778" s="65"/>
      <c r="J778" s="65"/>
      <c r="K778" s="65"/>
      <c r="L778" s="65"/>
    </row>
    <row r="779" ht="15.75" customHeight="1">
      <c r="C779" s="65"/>
      <c r="D779" s="65"/>
      <c r="E779" s="65"/>
      <c r="F779" s="65"/>
      <c r="H779" s="65"/>
      <c r="J779" s="65"/>
      <c r="K779" s="65"/>
      <c r="L779" s="65"/>
    </row>
    <row r="780" ht="15.75" customHeight="1">
      <c r="C780" s="65"/>
      <c r="D780" s="65"/>
      <c r="E780" s="65"/>
      <c r="F780" s="65"/>
      <c r="H780" s="65"/>
      <c r="J780" s="65"/>
      <c r="K780" s="65"/>
      <c r="L780" s="65"/>
    </row>
    <row r="781" ht="15.75" customHeight="1">
      <c r="C781" s="65"/>
      <c r="D781" s="65"/>
      <c r="E781" s="65"/>
      <c r="F781" s="65"/>
      <c r="H781" s="65"/>
      <c r="J781" s="65"/>
      <c r="K781" s="65"/>
      <c r="L781" s="65"/>
    </row>
    <row r="782" ht="15.75" customHeight="1">
      <c r="C782" s="65"/>
      <c r="D782" s="65"/>
      <c r="E782" s="65"/>
      <c r="F782" s="65"/>
      <c r="H782" s="65"/>
      <c r="J782" s="65"/>
      <c r="K782" s="65"/>
      <c r="L782" s="65"/>
    </row>
    <row r="783" ht="15.75" customHeight="1">
      <c r="C783" s="65"/>
      <c r="D783" s="65"/>
      <c r="E783" s="65"/>
      <c r="F783" s="65"/>
      <c r="H783" s="65"/>
      <c r="J783" s="65"/>
      <c r="K783" s="65"/>
      <c r="L783" s="65"/>
    </row>
    <row r="784" ht="15.75" customHeight="1">
      <c r="C784" s="65"/>
      <c r="D784" s="65"/>
      <c r="E784" s="65"/>
      <c r="F784" s="65"/>
      <c r="H784" s="65"/>
      <c r="J784" s="65"/>
      <c r="K784" s="65"/>
      <c r="L784" s="65"/>
    </row>
    <row r="785" ht="15.75" customHeight="1">
      <c r="C785" s="65"/>
      <c r="D785" s="65"/>
      <c r="E785" s="65"/>
      <c r="F785" s="65"/>
      <c r="H785" s="65"/>
      <c r="J785" s="65"/>
      <c r="K785" s="65"/>
      <c r="L785" s="65"/>
    </row>
    <row r="786" ht="15.75" customHeight="1">
      <c r="C786" s="65"/>
      <c r="D786" s="65"/>
      <c r="E786" s="65"/>
      <c r="F786" s="65"/>
      <c r="H786" s="65"/>
      <c r="J786" s="65"/>
      <c r="K786" s="65"/>
      <c r="L786" s="65"/>
    </row>
    <row r="787" ht="15.75" customHeight="1">
      <c r="C787" s="65"/>
      <c r="D787" s="65"/>
      <c r="E787" s="65"/>
      <c r="F787" s="65"/>
      <c r="H787" s="65"/>
      <c r="J787" s="65"/>
      <c r="K787" s="65"/>
      <c r="L787" s="65"/>
    </row>
    <row r="788" ht="15.75" customHeight="1">
      <c r="C788" s="65"/>
      <c r="D788" s="65"/>
      <c r="E788" s="65"/>
      <c r="F788" s="65"/>
      <c r="H788" s="65"/>
      <c r="J788" s="65"/>
      <c r="K788" s="65"/>
      <c r="L788" s="65"/>
    </row>
    <row r="789" ht="15.75" customHeight="1">
      <c r="C789" s="65"/>
      <c r="D789" s="65"/>
      <c r="E789" s="65"/>
      <c r="F789" s="65"/>
      <c r="H789" s="65"/>
      <c r="J789" s="65"/>
      <c r="K789" s="65"/>
      <c r="L789" s="65"/>
    </row>
    <row r="790" ht="15.75" customHeight="1">
      <c r="C790" s="65"/>
      <c r="D790" s="65"/>
      <c r="E790" s="65"/>
      <c r="F790" s="65"/>
      <c r="H790" s="65"/>
      <c r="J790" s="65"/>
      <c r="K790" s="65"/>
      <c r="L790" s="65"/>
    </row>
    <row r="791" ht="15.75" customHeight="1">
      <c r="C791" s="65"/>
      <c r="D791" s="65"/>
      <c r="E791" s="65"/>
      <c r="F791" s="65"/>
      <c r="H791" s="65"/>
      <c r="J791" s="65"/>
      <c r="K791" s="65"/>
      <c r="L791" s="65"/>
    </row>
    <row r="792" ht="15.75" customHeight="1">
      <c r="C792" s="65"/>
      <c r="D792" s="65"/>
      <c r="E792" s="65"/>
      <c r="F792" s="65"/>
      <c r="H792" s="65"/>
      <c r="J792" s="65"/>
      <c r="K792" s="65"/>
      <c r="L792" s="65"/>
    </row>
    <row r="793" ht="15.75" customHeight="1">
      <c r="C793" s="65"/>
      <c r="D793" s="65"/>
      <c r="E793" s="65"/>
      <c r="F793" s="65"/>
      <c r="H793" s="65"/>
      <c r="J793" s="65"/>
      <c r="K793" s="65"/>
      <c r="L793" s="65"/>
    </row>
    <row r="794" ht="15.75" customHeight="1">
      <c r="C794" s="65"/>
      <c r="D794" s="65"/>
      <c r="E794" s="65"/>
      <c r="F794" s="65"/>
      <c r="H794" s="65"/>
      <c r="J794" s="65"/>
      <c r="K794" s="65"/>
      <c r="L794" s="65"/>
    </row>
    <row r="795" ht="15.75" customHeight="1">
      <c r="C795" s="65"/>
      <c r="D795" s="65"/>
      <c r="E795" s="65"/>
      <c r="F795" s="65"/>
      <c r="H795" s="65"/>
      <c r="J795" s="65"/>
      <c r="K795" s="65"/>
      <c r="L795" s="65"/>
    </row>
    <row r="796" ht="15.75" customHeight="1">
      <c r="C796" s="65"/>
      <c r="D796" s="65"/>
      <c r="E796" s="65"/>
      <c r="F796" s="65"/>
      <c r="H796" s="65"/>
      <c r="J796" s="65"/>
      <c r="K796" s="65"/>
      <c r="L796" s="65"/>
    </row>
    <row r="797" ht="15.75" customHeight="1">
      <c r="C797" s="65"/>
      <c r="D797" s="65"/>
      <c r="E797" s="65"/>
      <c r="F797" s="65"/>
      <c r="H797" s="65"/>
      <c r="J797" s="65"/>
      <c r="K797" s="65"/>
      <c r="L797" s="65"/>
    </row>
    <row r="798" ht="15.75" customHeight="1">
      <c r="C798" s="65"/>
      <c r="D798" s="65"/>
      <c r="E798" s="65"/>
      <c r="F798" s="65"/>
      <c r="H798" s="65"/>
      <c r="J798" s="65"/>
      <c r="K798" s="65"/>
      <c r="L798" s="65"/>
    </row>
    <row r="799" ht="15.75" customHeight="1">
      <c r="C799" s="65"/>
      <c r="D799" s="65"/>
      <c r="E799" s="65"/>
      <c r="F799" s="65"/>
      <c r="H799" s="65"/>
      <c r="J799" s="65"/>
      <c r="K799" s="65"/>
      <c r="L799" s="65"/>
    </row>
    <row r="800" ht="15.75" customHeight="1">
      <c r="C800" s="65"/>
      <c r="D800" s="65"/>
      <c r="E800" s="65"/>
      <c r="F800" s="65"/>
      <c r="H800" s="65"/>
      <c r="J800" s="65"/>
      <c r="K800" s="65"/>
      <c r="L800" s="65"/>
    </row>
    <row r="801" ht="15.75" customHeight="1">
      <c r="C801" s="65"/>
      <c r="D801" s="65"/>
      <c r="E801" s="65"/>
      <c r="F801" s="65"/>
      <c r="H801" s="65"/>
      <c r="J801" s="65"/>
      <c r="K801" s="65"/>
      <c r="L801" s="65"/>
    </row>
    <row r="802" ht="15.75" customHeight="1">
      <c r="C802" s="65"/>
      <c r="D802" s="65"/>
      <c r="E802" s="65"/>
      <c r="F802" s="65"/>
      <c r="H802" s="65"/>
      <c r="J802" s="65"/>
      <c r="K802" s="65"/>
      <c r="L802" s="65"/>
    </row>
    <row r="803" ht="15.75" customHeight="1">
      <c r="C803" s="65"/>
      <c r="D803" s="65"/>
      <c r="E803" s="65"/>
      <c r="F803" s="65"/>
      <c r="H803" s="65"/>
      <c r="J803" s="65"/>
      <c r="K803" s="65"/>
      <c r="L803" s="65"/>
    </row>
    <row r="804" ht="15.75" customHeight="1">
      <c r="C804" s="65"/>
      <c r="D804" s="65"/>
      <c r="E804" s="65"/>
      <c r="F804" s="65"/>
      <c r="H804" s="65"/>
      <c r="J804" s="65"/>
      <c r="K804" s="65"/>
      <c r="L804" s="65"/>
    </row>
    <row r="805" ht="15.75" customHeight="1">
      <c r="C805" s="65"/>
      <c r="D805" s="65"/>
      <c r="E805" s="65"/>
      <c r="F805" s="65"/>
      <c r="H805" s="65"/>
      <c r="J805" s="65"/>
      <c r="K805" s="65"/>
      <c r="L805" s="65"/>
    </row>
    <row r="806" ht="15.75" customHeight="1">
      <c r="C806" s="65"/>
      <c r="D806" s="65"/>
      <c r="E806" s="65"/>
      <c r="F806" s="65"/>
      <c r="H806" s="65"/>
      <c r="J806" s="65"/>
      <c r="K806" s="65"/>
      <c r="L806" s="65"/>
    </row>
    <row r="807" ht="15.75" customHeight="1">
      <c r="C807" s="65"/>
      <c r="D807" s="65"/>
      <c r="E807" s="65"/>
      <c r="F807" s="65"/>
      <c r="H807" s="65"/>
      <c r="J807" s="65"/>
      <c r="K807" s="65"/>
      <c r="L807" s="65"/>
    </row>
    <row r="808" ht="15.75" customHeight="1">
      <c r="C808" s="65"/>
      <c r="D808" s="65"/>
      <c r="E808" s="65"/>
      <c r="F808" s="65"/>
      <c r="H808" s="65"/>
      <c r="J808" s="65"/>
      <c r="K808" s="65"/>
      <c r="L808" s="65"/>
    </row>
    <row r="809" ht="15.75" customHeight="1">
      <c r="C809" s="65"/>
      <c r="D809" s="65"/>
      <c r="E809" s="65"/>
      <c r="F809" s="65"/>
      <c r="H809" s="65"/>
      <c r="J809" s="65"/>
      <c r="K809" s="65"/>
      <c r="L809" s="65"/>
    </row>
    <row r="810" ht="15.75" customHeight="1">
      <c r="C810" s="65"/>
      <c r="D810" s="65"/>
      <c r="E810" s="65"/>
      <c r="F810" s="65"/>
      <c r="H810" s="65"/>
      <c r="J810" s="65"/>
      <c r="K810" s="65"/>
      <c r="L810" s="65"/>
    </row>
    <row r="811" ht="15.75" customHeight="1">
      <c r="C811" s="65"/>
      <c r="D811" s="65"/>
      <c r="E811" s="65"/>
      <c r="F811" s="65"/>
      <c r="H811" s="65"/>
      <c r="J811" s="65"/>
      <c r="K811" s="65"/>
      <c r="L811" s="65"/>
    </row>
    <row r="812" ht="15.75" customHeight="1">
      <c r="C812" s="65"/>
      <c r="D812" s="65"/>
      <c r="E812" s="65"/>
      <c r="F812" s="65"/>
      <c r="H812" s="65"/>
      <c r="J812" s="65"/>
      <c r="K812" s="65"/>
      <c r="L812" s="65"/>
    </row>
    <row r="813" ht="15.75" customHeight="1">
      <c r="C813" s="65"/>
      <c r="D813" s="65"/>
      <c r="E813" s="65"/>
      <c r="F813" s="65"/>
      <c r="H813" s="65"/>
      <c r="J813" s="65"/>
      <c r="K813" s="65"/>
      <c r="L813" s="65"/>
    </row>
    <row r="814" ht="15.75" customHeight="1">
      <c r="C814" s="65"/>
      <c r="D814" s="65"/>
      <c r="E814" s="65"/>
      <c r="F814" s="65"/>
      <c r="H814" s="65"/>
      <c r="J814" s="65"/>
      <c r="K814" s="65"/>
      <c r="L814" s="65"/>
    </row>
    <row r="815" ht="15.75" customHeight="1">
      <c r="C815" s="65"/>
      <c r="D815" s="65"/>
      <c r="E815" s="65"/>
      <c r="F815" s="65"/>
      <c r="H815" s="65"/>
      <c r="J815" s="65"/>
      <c r="K815" s="65"/>
      <c r="L815" s="65"/>
    </row>
    <row r="816" ht="15.75" customHeight="1">
      <c r="C816" s="65"/>
      <c r="D816" s="65"/>
      <c r="E816" s="65"/>
      <c r="F816" s="65"/>
      <c r="H816" s="65"/>
      <c r="J816" s="65"/>
      <c r="K816" s="65"/>
      <c r="L816" s="65"/>
    </row>
    <row r="817" ht="15.75" customHeight="1">
      <c r="C817" s="65"/>
      <c r="D817" s="65"/>
      <c r="E817" s="65"/>
      <c r="F817" s="65"/>
      <c r="H817" s="65"/>
      <c r="J817" s="65"/>
      <c r="K817" s="65"/>
      <c r="L817" s="65"/>
    </row>
    <row r="818" ht="15.75" customHeight="1">
      <c r="C818" s="65"/>
      <c r="D818" s="65"/>
      <c r="E818" s="65"/>
      <c r="F818" s="65"/>
      <c r="H818" s="65"/>
      <c r="J818" s="65"/>
      <c r="K818" s="65"/>
      <c r="L818" s="65"/>
    </row>
    <row r="819" ht="15.75" customHeight="1">
      <c r="C819" s="65"/>
      <c r="D819" s="65"/>
      <c r="E819" s="65"/>
      <c r="F819" s="65"/>
      <c r="H819" s="65"/>
      <c r="J819" s="65"/>
      <c r="K819" s="65"/>
      <c r="L819" s="65"/>
    </row>
    <row r="820" ht="15.75" customHeight="1">
      <c r="C820" s="65"/>
      <c r="D820" s="65"/>
      <c r="E820" s="65"/>
      <c r="F820" s="65"/>
      <c r="H820" s="65"/>
      <c r="J820" s="65"/>
      <c r="K820" s="65"/>
      <c r="L820" s="65"/>
    </row>
    <row r="821" ht="15.75" customHeight="1">
      <c r="C821" s="65"/>
      <c r="D821" s="65"/>
      <c r="E821" s="65"/>
      <c r="F821" s="65"/>
      <c r="H821" s="65"/>
      <c r="J821" s="65"/>
      <c r="K821" s="65"/>
      <c r="L821" s="65"/>
    </row>
    <row r="822" ht="15.75" customHeight="1">
      <c r="C822" s="65"/>
      <c r="D822" s="65"/>
      <c r="E822" s="65"/>
      <c r="F822" s="65"/>
      <c r="H822" s="65"/>
      <c r="J822" s="65"/>
      <c r="K822" s="65"/>
      <c r="L822" s="65"/>
    </row>
    <row r="823" ht="15.75" customHeight="1">
      <c r="C823" s="65"/>
      <c r="D823" s="65"/>
      <c r="E823" s="65"/>
      <c r="F823" s="65"/>
      <c r="H823" s="65"/>
      <c r="J823" s="65"/>
      <c r="K823" s="65"/>
      <c r="L823" s="65"/>
    </row>
    <row r="824" ht="15.75" customHeight="1">
      <c r="C824" s="65"/>
      <c r="D824" s="65"/>
      <c r="E824" s="65"/>
      <c r="F824" s="65"/>
      <c r="H824" s="65"/>
      <c r="J824" s="65"/>
      <c r="K824" s="65"/>
      <c r="L824" s="65"/>
    </row>
    <row r="825" ht="15.75" customHeight="1">
      <c r="C825" s="65"/>
      <c r="D825" s="65"/>
      <c r="E825" s="65"/>
      <c r="F825" s="65"/>
      <c r="H825" s="65"/>
      <c r="J825" s="65"/>
      <c r="K825" s="65"/>
      <c r="L825" s="65"/>
    </row>
    <row r="826" ht="15.75" customHeight="1">
      <c r="C826" s="65"/>
      <c r="D826" s="65"/>
      <c r="E826" s="65"/>
      <c r="F826" s="65"/>
      <c r="H826" s="65"/>
      <c r="J826" s="65"/>
      <c r="K826" s="65"/>
      <c r="L826" s="65"/>
    </row>
    <row r="827" ht="15.75" customHeight="1">
      <c r="C827" s="65"/>
      <c r="D827" s="65"/>
      <c r="E827" s="65"/>
      <c r="F827" s="65"/>
      <c r="H827" s="65"/>
      <c r="J827" s="65"/>
      <c r="K827" s="65"/>
      <c r="L827" s="65"/>
    </row>
    <row r="828" ht="15.75" customHeight="1">
      <c r="C828" s="65"/>
      <c r="D828" s="65"/>
      <c r="E828" s="65"/>
      <c r="F828" s="65"/>
      <c r="H828" s="65"/>
      <c r="J828" s="65"/>
      <c r="K828" s="65"/>
      <c r="L828" s="65"/>
    </row>
    <row r="829" ht="15.75" customHeight="1">
      <c r="C829" s="65"/>
      <c r="D829" s="65"/>
      <c r="E829" s="65"/>
      <c r="F829" s="65"/>
      <c r="H829" s="65"/>
      <c r="J829" s="65"/>
      <c r="K829" s="65"/>
      <c r="L829" s="65"/>
    </row>
    <row r="830" ht="15.75" customHeight="1">
      <c r="C830" s="65"/>
      <c r="D830" s="65"/>
      <c r="E830" s="65"/>
      <c r="F830" s="65"/>
      <c r="H830" s="65"/>
      <c r="J830" s="65"/>
      <c r="K830" s="65"/>
      <c r="L830" s="65"/>
    </row>
    <row r="831" ht="15.75" customHeight="1">
      <c r="C831" s="65"/>
      <c r="D831" s="65"/>
      <c r="E831" s="65"/>
      <c r="F831" s="65"/>
      <c r="H831" s="65"/>
      <c r="J831" s="65"/>
      <c r="K831" s="65"/>
      <c r="L831" s="65"/>
    </row>
    <row r="832" ht="15.75" customHeight="1">
      <c r="C832" s="65"/>
      <c r="D832" s="65"/>
      <c r="E832" s="65"/>
      <c r="F832" s="65"/>
      <c r="H832" s="65"/>
      <c r="J832" s="65"/>
      <c r="K832" s="65"/>
      <c r="L832" s="65"/>
    </row>
    <row r="833" ht="15.75" customHeight="1">
      <c r="C833" s="65"/>
      <c r="D833" s="65"/>
      <c r="E833" s="65"/>
      <c r="F833" s="65"/>
      <c r="H833" s="65"/>
      <c r="J833" s="65"/>
      <c r="K833" s="65"/>
      <c r="L833" s="65"/>
    </row>
    <row r="834" ht="15.75" customHeight="1">
      <c r="C834" s="65"/>
      <c r="D834" s="65"/>
      <c r="E834" s="65"/>
      <c r="F834" s="65"/>
      <c r="H834" s="65"/>
      <c r="J834" s="65"/>
      <c r="K834" s="65"/>
      <c r="L834" s="65"/>
    </row>
    <row r="835" ht="15.75" customHeight="1">
      <c r="C835" s="65"/>
      <c r="D835" s="65"/>
      <c r="E835" s="65"/>
      <c r="F835" s="65"/>
      <c r="H835" s="65"/>
      <c r="J835" s="65"/>
      <c r="K835" s="65"/>
      <c r="L835" s="65"/>
    </row>
    <row r="836" ht="15.75" customHeight="1">
      <c r="C836" s="65"/>
      <c r="D836" s="65"/>
      <c r="E836" s="65"/>
      <c r="F836" s="65"/>
      <c r="H836" s="65"/>
      <c r="J836" s="65"/>
      <c r="K836" s="65"/>
      <c r="L836" s="65"/>
    </row>
    <row r="837" ht="15.75" customHeight="1">
      <c r="C837" s="65"/>
      <c r="D837" s="65"/>
      <c r="E837" s="65"/>
      <c r="F837" s="65"/>
      <c r="H837" s="65"/>
      <c r="J837" s="65"/>
      <c r="K837" s="65"/>
      <c r="L837" s="65"/>
    </row>
    <row r="838" ht="15.75" customHeight="1">
      <c r="C838" s="65"/>
      <c r="D838" s="65"/>
      <c r="E838" s="65"/>
      <c r="F838" s="65"/>
      <c r="H838" s="65"/>
      <c r="J838" s="65"/>
      <c r="K838" s="65"/>
      <c r="L838" s="65"/>
    </row>
    <row r="839" ht="15.75" customHeight="1">
      <c r="C839" s="65"/>
      <c r="D839" s="65"/>
      <c r="E839" s="65"/>
      <c r="F839" s="65"/>
      <c r="H839" s="65"/>
      <c r="J839" s="65"/>
      <c r="K839" s="65"/>
      <c r="L839" s="65"/>
    </row>
    <row r="840" ht="15.75" customHeight="1">
      <c r="C840" s="65"/>
      <c r="D840" s="65"/>
      <c r="E840" s="65"/>
      <c r="F840" s="65"/>
      <c r="H840" s="65"/>
      <c r="J840" s="65"/>
      <c r="K840" s="65"/>
      <c r="L840" s="65"/>
    </row>
    <row r="841" ht="15.75" customHeight="1">
      <c r="C841" s="65"/>
      <c r="D841" s="65"/>
      <c r="E841" s="65"/>
      <c r="F841" s="65"/>
      <c r="H841" s="65"/>
      <c r="J841" s="65"/>
      <c r="K841" s="65"/>
      <c r="L841" s="65"/>
    </row>
    <row r="842" ht="15.75" customHeight="1">
      <c r="C842" s="65"/>
      <c r="D842" s="65"/>
      <c r="E842" s="65"/>
      <c r="F842" s="65"/>
      <c r="H842" s="65"/>
      <c r="J842" s="65"/>
      <c r="K842" s="65"/>
      <c r="L842" s="65"/>
    </row>
    <row r="843" ht="15.75" customHeight="1">
      <c r="C843" s="65"/>
      <c r="D843" s="65"/>
      <c r="E843" s="65"/>
      <c r="F843" s="65"/>
      <c r="H843" s="65"/>
      <c r="J843" s="65"/>
      <c r="K843" s="65"/>
      <c r="L843" s="65"/>
    </row>
    <row r="844" ht="15.75" customHeight="1">
      <c r="C844" s="65"/>
      <c r="D844" s="65"/>
      <c r="E844" s="65"/>
      <c r="F844" s="65"/>
      <c r="H844" s="65"/>
      <c r="J844" s="65"/>
      <c r="K844" s="65"/>
      <c r="L844" s="65"/>
    </row>
    <row r="845" ht="15.75" customHeight="1">
      <c r="C845" s="65"/>
      <c r="D845" s="65"/>
      <c r="E845" s="65"/>
      <c r="F845" s="65"/>
      <c r="H845" s="65"/>
      <c r="J845" s="65"/>
      <c r="K845" s="65"/>
      <c r="L845" s="65"/>
    </row>
    <row r="846" ht="15.75" customHeight="1">
      <c r="C846" s="65"/>
      <c r="D846" s="65"/>
      <c r="E846" s="65"/>
      <c r="F846" s="65"/>
      <c r="H846" s="65"/>
      <c r="J846" s="65"/>
      <c r="K846" s="65"/>
      <c r="L846" s="65"/>
    </row>
    <row r="847" ht="15.75" customHeight="1">
      <c r="C847" s="65"/>
      <c r="D847" s="65"/>
      <c r="E847" s="65"/>
      <c r="F847" s="65"/>
      <c r="H847" s="65"/>
      <c r="J847" s="65"/>
      <c r="K847" s="65"/>
      <c r="L847" s="65"/>
    </row>
    <row r="848" ht="15.75" customHeight="1">
      <c r="C848" s="65"/>
      <c r="D848" s="65"/>
      <c r="E848" s="65"/>
      <c r="F848" s="65"/>
      <c r="H848" s="65"/>
      <c r="J848" s="65"/>
      <c r="K848" s="65"/>
      <c r="L848" s="65"/>
    </row>
    <row r="849" ht="15.75" customHeight="1">
      <c r="C849" s="65"/>
      <c r="D849" s="65"/>
      <c r="E849" s="65"/>
      <c r="F849" s="65"/>
      <c r="H849" s="65"/>
      <c r="J849" s="65"/>
      <c r="K849" s="65"/>
      <c r="L849" s="65"/>
    </row>
    <row r="850" ht="15.75" customHeight="1">
      <c r="C850" s="65"/>
      <c r="D850" s="65"/>
      <c r="E850" s="65"/>
      <c r="F850" s="65"/>
      <c r="H850" s="65"/>
      <c r="J850" s="65"/>
      <c r="K850" s="65"/>
      <c r="L850" s="65"/>
    </row>
    <row r="851" ht="15.75" customHeight="1">
      <c r="C851" s="65"/>
      <c r="D851" s="65"/>
      <c r="E851" s="65"/>
      <c r="F851" s="65"/>
      <c r="H851" s="65"/>
      <c r="J851" s="65"/>
      <c r="K851" s="65"/>
      <c r="L851" s="65"/>
    </row>
    <row r="852" ht="15.75" customHeight="1">
      <c r="C852" s="65"/>
      <c r="D852" s="65"/>
      <c r="E852" s="65"/>
      <c r="F852" s="65"/>
      <c r="H852" s="65"/>
      <c r="J852" s="65"/>
      <c r="K852" s="65"/>
      <c r="L852" s="65"/>
    </row>
    <row r="853" ht="15.75" customHeight="1">
      <c r="C853" s="65"/>
      <c r="D853" s="65"/>
      <c r="E853" s="65"/>
      <c r="F853" s="65"/>
      <c r="H853" s="65"/>
      <c r="J853" s="65"/>
      <c r="K853" s="65"/>
      <c r="L853" s="65"/>
    </row>
    <row r="854" ht="15.75" customHeight="1">
      <c r="C854" s="65"/>
      <c r="D854" s="65"/>
      <c r="E854" s="65"/>
      <c r="F854" s="65"/>
      <c r="H854" s="65"/>
      <c r="J854" s="65"/>
      <c r="K854" s="65"/>
      <c r="L854" s="65"/>
    </row>
    <row r="855" ht="15.75" customHeight="1">
      <c r="C855" s="65"/>
      <c r="D855" s="65"/>
      <c r="E855" s="65"/>
      <c r="F855" s="65"/>
      <c r="H855" s="65"/>
      <c r="J855" s="65"/>
      <c r="K855" s="65"/>
      <c r="L855" s="65"/>
    </row>
    <row r="856" ht="15.75" customHeight="1">
      <c r="C856" s="65"/>
      <c r="D856" s="65"/>
      <c r="E856" s="65"/>
      <c r="F856" s="65"/>
      <c r="H856" s="65"/>
      <c r="J856" s="65"/>
      <c r="K856" s="65"/>
      <c r="L856" s="65"/>
    </row>
    <row r="857" ht="15.75" customHeight="1">
      <c r="C857" s="65"/>
      <c r="D857" s="65"/>
      <c r="E857" s="65"/>
      <c r="F857" s="65"/>
      <c r="H857" s="65"/>
      <c r="J857" s="65"/>
      <c r="K857" s="65"/>
      <c r="L857" s="65"/>
    </row>
    <row r="858" ht="15.75" customHeight="1">
      <c r="C858" s="65"/>
      <c r="D858" s="65"/>
      <c r="E858" s="65"/>
      <c r="F858" s="65"/>
      <c r="H858" s="65"/>
      <c r="J858" s="65"/>
      <c r="K858" s="65"/>
      <c r="L858" s="65"/>
    </row>
    <row r="859" ht="15.75" customHeight="1">
      <c r="C859" s="65"/>
      <c r="D859" s="65"/>
      <c r="E859" s="65"/>
      <c r="F859" s="65"/>
      <c r="H859" s="65"/>
      <c r="J859" s="65"/>
      <c r="K859" s="65"/>
      <c r="L859" s="65"/>
    </row>
    <row r="860" ht="15.75" customHeight="1">
      <c r="C860" s="65"/>
      <c r="D860" s="65"/>
      <c r="E860" s="65"/>
      <c r="F860" s="65"/>
      <c r="H860" s="65"/>
      <c r="J860" s="65"/>
      <c r="K860" s="65"/>
      <c r="L860" s="65"/>
    </row>
    <row r="861" ht="15.75" customHeight="1">
      <c r="C861" s="65"/>
      <c r="D861" s="65"/>
      <c r="E861" s="65"/>
      <c r="F861" s="65"/>
      <c r="H861" s="65"/>
      <c r="J861" s="65"/>
      <c r="K861" s="65"/>
      <c r="L861" s="65"/>
    </row>
    <row r="862" ht="15.75" customHeight="1">
      <c r="C862" s="65"/>
      <c r="D862" s="65"/>
      <c r="E862" s="65"/>
      <c r="F862" s="65"/>
      <c r="H862" s="65"/>
      <c r="J862" s="65"/>
      <c r="K862" s="65"/>
      <c r="L862" s="65"/>
    </row>
    <row r="863" ht="15.75" customHeight="1">
      <c r="C863" s="65"/>
      <c r="D863" s="65"/>
      <c r="E863" s="65"/>
      <c r="F863" s="65"/>
      <c r="H863" s="65"/>
      <c r="J863" s="65"/>
      <c r="K863" s="65"/>
      <c r="L863" s="65"/>
    </row>
    <row r="864" ht="15.75" customHeight="1">
      <c r="C864" s="65"/>
      <c r="D864" s="65"/>
      <c r="E864" s="65"/>
      <c r="F864" s="65"/>
      <c r="H864" s="65"/>
      <c r="J864" s="65"/>
      <c r="K864" s="65"/>
      <c r="L864" s="65"/>
    </row>
    <row r="865" ht="15.75" customHeight="1">
      <c r="C865" s="65"/>
      <c r="D865" s="65"/>
      <c r="E865" s="65"/>
      <c r="F865" s="65"/>
      <c r="H865" s="65"/>
      <c r="J865" s="65"/>
      <c r="K865" s="65"/>
      <c r="L865" s="65"/>
    </row>
    <row r="866" ht="15.75" customHeight="1">
      <c r="C866" s="65"/>
      <c r="D866" s="65"/>
      <c r="E866" s="65"/>
      <c r="F866" s="65"/>
      <c r="H866" s="65"/>
      <c r="J866" s="65"/>
      <c r="K866" s="65"/>
      <c r="L866" s="65"/>
    </row>
    <row r="867" ht="15.75" customHeight="1">
      <c r="C867" s="65"/>
      <c r="D867" s="65"/>
      <c r="E867" s="65"/>
      <c r="F867" s="65"/>
      <c r="H867" s="65"/>
      <c r="J867" s="65"/>
      <c r="K867" s="65"/>
      <c r="L867" s="65"/>
    </row>
    <row r="868" ht="15.75" customHeight="1">
      <c r="C868" s="65"/>
      <c r="D868" s="65"/>
      <c r="E868" s="65"/>
      <c r="F868" s="65"/>
      <c r="H868" s="65"/>
      <c r="J868" s="65"/>
      <c r="K868" s="65"/>
      <c r="L868" s="65"/>
    </row>
    <row r="869" ht="15.75" customHeight="1">
      <c r="C869" s="65"/>
      <c r="D869" s="65"/>
      <c r="E869" s="65"/>
      <c r="F869" s="65"/>
      <c r="H869" s="65"/>
      <c r="J869" s="65"/>
      <c r="K869" s="65"/>
      <c r="L869" s="65"/>
    </row>
    <row r="870" ht="15.75" customHeight="1">
      <c r="C870" s="65"/>
      <c r="D870" s="65"/>
      <c r="E870" s="65"/>
      <c r="F870" s="65"/>
      <c r="H870" s="65"/>
      <c r="J870" s="65"/>
      <c r="K870" s="65"/>
      <c r="L870" s="65"/>
    </row>
    <row r="871" ht="15.75" customHeight="1">
      <c r="C871" s="65"/>
      <c r="D871" s="65"/>
      <c r="E871" s="65"/>
      <c r="F871" s="65"/>
      <c r="H871" s="65"/>
      <c r="J871" s="65"/>
      <c r="K871" s="65"/>
      <c r="L871" s="65"/>
    </row>
    <row r="872" ht="15.75" customHeight="1">
      <c r="C872" s="65"/>
      <c r="D872" s="65"/>
      <c r="E872" s="65"/>
      <c r="F872" s="65"/>
      <c r="H872" s="65"/>
      <c r="J872" s="65"/>
      <c r="K872" s="65"/>
      <c r="L872" s="65"/>
    </row>
    <row r="873" ht="15.75" customHeight="1">
      <c r="C873" s="65"/>
      <c r="D873" s="65"/>
      <c r="E873" s="65"/>
      <c r="F873" s="65"/>
      <c r="H873" s="65"/>
      <c r="J873" s="65"/>
      <c r="K873" s="65"/>
      <c r="L873" s="65"/>
    </row>
    <row r="874" ht="15.75" customHeight="1">
      <c r="C874" s="65"/>
      <c r="D874" s="65"/>
      <c r="E874" s="65"/>
      <c r="F874" s="65"/>
      <c r="H874" s="65"/>
      <c r="J874" s="65"/>
      <c r="K874" s="65"/>
      <c r="L874" s="65"/>
    </row>
    <row r="875" ht="15.75" customHeight="1">
      <c r="C875" s="65"/>
      <c r="D875" s="65"/>
      <c r="E875" s="65"/>
      <c r="F875" s="65"/>
      <c r="H875" s="65"/>
      <c r="J875" s="65"/>
      <c r="K875" s="65"/>
      <c r="L875" s="65"/>
    </row>
    <row r="876" ht="15.75" customHeight="1">
      <c r="C876" s="65"/>
      <c r="D876" s="65"/>
      <c r="E876" s="65"/>
      <c r="F876" s="65"/>
      <c r="H876" s="65"/>
      <c r="J876" s="65"/>
      <c r="K876" s="65"/>
      <c r="L876" s="65"/>
    </row>
    <row r="877" ht="15.75" customHeight="1">
      <c r="C877" s="65"/>
      <c r="D877" s="65"/>
      <c r="E877" s="65"/>
      <c r="F877" s="65"/>
      <c r="H877" s="65"/>
      <c r="J877" s="65"/>
      <c r="K877" s="65"/>
      <c r="L877" s="65"/>
    </row>
    <row r="878" ht="15.75" customHeight="1">
      <c r="C878" s="65"/>
      <c r="D878" s="65"/>
      <c r="E878" s="65"/>
      <c r="F878" s="65"/>
      <c r="H878" s="65"/>
      <c r="J878" s="65"/>
      <c r="K878" s="65"/>
      <c r="L878" s="65"/>
    </row>
    <row r="879" ht="15.75" customHeight="1">
      <c r="C879" s="65"/>
      <c r="D879" s="65"/>
      <c r="E879" s="65"/>
      <c r="F879" s="65"/>
      <c r="H879" s="65"/>
      <c r="J879" s="65"/>
      <c r="K879" s="65"/>
      <c r="L879" s="65"/>
    </row>
    <row r="880" ht="15.75" customHeight="1">
      <c r="C880" s="65"/>
      <c r="D880" s="65"/>
      <c r="E880" s="65"/>
      <c r="F880" s="65"/>
      <c r="H880" s="65"/>
      <c r="J880" s="65"/>
      <c r="K880" s="65"/>
      <c r="L880" s="65"/>
    </row>
    <row r="881" ht="15.75" customHeight="1">
      <c r="C881" s="65"/>
      <c r="D881" s="65"/>
      <c r="E881" s="65"/>
      <c r="F881" s="65"/>
      <c r="H881" s="65"/>
      <c r="J881" s="65"/>
      <c r="K881" s="65"/>
      <c r="L881" s="65"/>
    </row>
    <row r="882" ht="15.75" customHeight="1">
      <c r="C882" s="65"/>
      <c r="D882" s="65"/>
      <c r="E882" s="65"/>
      <c r="F882" s="65"/>
      <c r="H882" s="65"/>
      <c r="J882" s="65"/>
      <c r="K882" s="65"/>
      <c r="L882" s="65"/>
    </row>
    <row r="883" ht="15.75" customHeight="1">
      <c r="C883" s="65"/>
      <c r="D883" s="65"/>
      <c r="E883" s="65"/>
      <c r="F883" s="65"/>
      <c r="H883" s="65"/>
      <c r="J883" s="65"/>
      <c r="K883" s="65"/>
      <c r="L883" s="65"/>
    </row>
    <row r="884" ht="15.75" customHeight="1">
      <c r="C884" s="65"/>
      <c r="D884" s="65"/>
      <c r="E884" s="65"/>
      <c r="F884" s="65"/>
      <c r="H884" s="65"/>
      <c r="J884" s="65"/>
      <c r="K884" s="65"/>
      <c r="L884" s="65"/>
    </row>
    <row r="885" ht="15.75" customHeight="1">
      <c r="C885" s="65"/>
      <c r="D885" s="65"/>
      <c r="E885" s="65"/>
      <c r="F885" s="65"/>
      <c r="H885" s="65"/>
      <c r="J885" s="65"/>
      <c r="K885" s="65"/>
      <c r="L885" s="65"/>
    </row>
    <row r="886" ht="15.75" customHeight="1">
      <c r="C886" s="65"/>
      <c r="D886" s="65"/>
      <c r="E886" s="65"/>
      <c r="F886" s="65"/>
      <c r="H886" s="65"/>
      <c r="J886" s="65"/>
      <c r="K886" s="65"/>
      <c r="L886" s="65"/>
    </row>
    <row r="887" ht="15.75" customHeight="1">
      <c r="C887" s="65"/>
      <c r="D887" s="65"/>
      <c r="E887" s="65"/>
      <c r="F887" s="65"/>
      <c r="H887" s="65"/>
      <c r="J887" s="65"/>
      <c r="K887" s="65"/>
      <c r="L887" s="65"/>
    </row>
    <row r="888" ht="15.75" customHeight="1">
      <c r="C888" s="65"/>
      <c r="D888" s="65"/>
      <c r="E888" s="65"/>
      <c r="F888" s="65"/>
      <c r="H888" s="65"/>
      <c r="J888" s="65"/>
      <c r="K888" s="65"/>
      <c r="L888" s="65"/>
    </row>
    <row r="889" ht="15.75" customHeight="1">
      <c r="C889" s="65"/>
      <c r="D889" s="65"/>
      <c r="E889" s="65"/>
      <c r="F889" s="65"/>
      <c r="H889" s="65"/>
      <c r="J889" s="65"/>
      <c r="K889" s="65"/>
      <c r="L889" s="65"/>
    </row>
    <row r="890" ht="15.75" customHeight="1">
      <c r="C890" s="65"/>
      <c r="D890" s="65"/>
      <c r="E890" s="65"/>
      <c r="F890" s="65"/>
      <c r="H890" s="65"/>
      <c r="J890" s="65"/>
      <c r="K890" s="65"/>
      <c r="L890" s="65"/>
    </row>
    <row r="891" ht="15.75" customHeight="1">
      <c r="C891" s="65"/>
      <c r="D891" s="65"/>
      <c r="E891" s="65"/>
      <c r="F891" s="65"/>
      <c r="H891" s="65"/>
      <c r="J891" s="65"/>
      <c r="K891" s="65"/>
      <c r="L891" s="65"/>
    </row>
    <row r="892" ht="15.75" customHeight="1">
      <c r="C892" s="65"/>
      <c r="D892" s="65"/>
      <c r="E892" s="65"/>
      <c r="F892" s="65"/>
      <c r="H892" s="65"/>
      <c r="J892" s="65"/>
      <c r="K892" s="65"/>
      <c r="L892" s="65"/>
    </row>
    <row r="893" ht="15.75" customHeight="1">
      <c r="C893" s="65"/>
      <c r="D893" s="65"/>
      <c r="E893" s="65"/>
      <c r="F893" s="65"/>
      <c r="H893" s="65"/>
      <c r="J893" s="65"/>
      <c r="K893" s="65"/>
      <c r="L893" s="65"/>
    </row>
    <row r="894" ht="15.75" customHeight="1">
      <c r="C894" s="65"/>
      <c r="D894" s="65"/>
      <c r="E894" s="65"/>
      <c r="F894" s="65"/>
      <c r="H894" s="65"/>
      <c r="J894" s="65"/>
      <c r="K894" s="65"/>
      <c r="L894" s="65"/>
    </row>
    <row r="895" ht="15.75" customHeight="1">
      <c r="C895" s="65"/>
      <c r="D895" s="65"/>
      <c r="E895" s="65"/>
      <c r="F895" s="65"/>
      <c r="H895" s="65"/>
      <c r="J895" s="65"/>
      <c r="K895" s="65"/>
      <c r="L895" s="65"/>
    </row>
    <row r="896" ht="15.75" customHeight="1">
      <c r="C896" s="65"/>
      <c r="D896" s="65"/>
      <c r="E896" s="65"/>
      <c r="F896" s="65"/>
      <c r="H896" s="65"/>
      <c r="J896" s="65"/>
      <c r="K896" s="65"/>
      <c r="L896" s="65"/>
    </row>
    <row r="897" ht="15.75" customHeight="1">
      <c r="C897" s="65"/>
      <c r="D897" s="65"/>
      <c r="E897" s="65"/>
      <c r="F897" s="65"/>
      <c r="H897" s="65"/>
      <c r="J897" s="65"/>
      <c r="K897" s="65"/>
      <c r="L897" s="65"/>
    </row>
    <row r="898" ht="15.75" customHeight="1">
      <c r="C898" s="65"/>
      <c r="D898" s="65"/>
      <c r="E898" s="65"/>
      <c r="F898" s="65"/>
      <c r="H898" s="65"/>
      <c r="J898" s="65"/>
      <c r="K898" s="65"/>
      <c r="L898" s="65"/>
    </row>
    <row r="899" ht="15.75" customHeight="1">
      <c r="C899" s="65"/>
      <c r="D899" s="65"/>
      <c r="E899" s="65"/>
      <c r="F899" s="65"/>
      <c r="H899" s="65"/>
      <c r="J899" s="65"/>
      <c r="K899" s="65"/>
      <c r="L899" s="65"/>
    </row>
    <row r="900" ht="15.75" customHeight="1">
      <c r="C900" s="65"/>
      <c r="D900" s="65"/>
      <c r="E900" s="65"/>
      <c r="F900" s="65"/>
      <c r="H900" s="65"/>
      <c r="J900" s="65"/>
      <c r="K900" s="65"/>
      <c r="L900" s="65"/>
    </row>
    <row r="901" ht="15.75" customHeight="1">
      <c r="C901" s="65"/>
      <c r="D901" s="65"/>
      <c r="E901" s="65"/>
      <c r="F901" s="65"/>
      <c r="H901" s="65"/>
      <c r="J901" s="65"/>
      <c r="K901" s="65"/>
      <c r="L901" s="65"/>
    </row>
    <row r="902" ht="15.75" customHeight="1">
      <c r="C902" s="65"/>
      <c r="D902" s="65"/>
      <c r="E902" s="65"/>
      <c r="F902" s="65"/>
      <c r="H902" s="65"/>
      <c r="J902" s="65"/>
      <c r="K902" s="65"/>
      <c r="L902" s="65"/>
    </row>
    <row r="903" ht="15.75" customHeight="1">
      <c r="C903" s="65"/>
      <c r="D903" s="65"/>
      <c r="E903" s="65"/>
      <c r="F903" s="65"/>
      <c r="H903" s="65"/>
      <c r="J903" s="65"/>
      <c r="K903" s="65"/>
      <c r="L903" s="65"/>
    </row>
    <row r="904" ht="15.75" customHeight="1">
      <c r="C904" s="65"/>
      <c r="D904" s="65"/>
      <c r="E904" s="65"/>
      <c r="F904" s="65"/>
      <c r="H904" s="65"/>
      <c r="J904" s="65"/>
      <c r="K904" s="65"/>
      <c r="L904" s="65"/>
    </row>
    <row r="905" ht="15.75" customHeight="1">
      <c r="C905" s="65"/>
      <c r="D905" s="65"/>
      <c r="E905" s="65"/>
      <c r="F905" s="65"/>
      <c r="H905" s="65"/>
      <c r="J905" s="65"/>
      <c r="K905" s="65"/>
      <c r="L905" s="65"/>
    </row>
    <row r="906" ht="15.75" customHeight="1">
      <c r="C906" s="65"/>
      <c r="D906" s="65"/>
      <c r="E906" s="65"/>
      <c r="F906" s="65"/>
      <c r="H906" s="65"/>
      <c r="J906" s="65"/>
      <c r="K906" s="65"/>
      <c r="L906" s="65"/>
    </row>
    <row r="907" ht="15.75" customHeight="1">
      <c r="C907" s="65"/>
      <c r="D907" s="65"/>
      <c r="E907" s="65"/>
      <c r="F907" s="65"/>
      <c r="H907" s="65"/>
      <c r="J907" s="65"/>
      <c r="K907" s="65"/>
      <c r="L907" s="65"/>
    </row>
    <row r="908" ht="15.75" customHeight="1">
      <c r="C908" s="65"/>
      <c r="D908" s="65"/>
      <c r="E908" s="65"/>
      <c r="F908" s="65"/>
      <c r="H908" s="65"/>
      <c r="J908" s="65"/>
      <c r="K908" s="65"/>
      <c r="L908" s="65"/>
    </row>
    <row r="909" ht="15.75" customHeight="1">
      <c r="C909" s="65"/>
      <c r="D909" s="65"/>
      <c r="E909" s="65"/>
      <c r="F909" s="65"/>
      <c r="H909" s="65"/>
      <c r="J909" s="65"/>
      <c r="K909" s="65"/>
      <c r="L909" s="65"/>
    </row>
    <row r="910" ht="15.75" customHeight="1">
      <c r="C910" s="65"/>
      <c r="D910" s="65"/>
      <c r="E910" s="65"/>
      <c r="F910" s="65"/>
      <c r="H910" s="65"/>
      <c r="J910" s="65"/>
      <c r="K910" s="65"/>
      <c r="L910" s="65"/>
    </row>
    <row r="911" ht="15.75" customHeight="1">
      <c r="C911" s="65"/>
      <c r="D911" s="65"/>
      <c r="E911" s="65"/>
      <c r="F911" s="65"/>
      <c r="H911" s="65"/>
      <c r="J911" s="65"/>
      <c r="K911" s="65"/>
      <c r="L911" s="65"/>
    </row>
    <row r="912" ht="15.75" customHeight="1">
      <c r="C912" s="65"/>
      <c r="D912" s="65"/>
      <c r="E912" s="65"/>
      <c r="F912" s="65"/>
      <c r="H912" s="65"/>
      <c r="J912" s="65"/>
      <c r="K912" s="65"/>
      <c r="L912" s="65"/>
    </row>
    <row r="913" ht="15.75" customHeight="1">
      <c r="C913" s="65"/>
      <c r="D913" s="65"/>
      <c r="E913" s="65"/>
      <c r="F913" s="65"/>
      <c r="H913" s="65"/>
      <c r="J913" s="65"/>
      <c r="K913" s="65"/>
      <c r="L913" s="65"/>
    </row>
    <row r="914" ht="15.75" customHeight="1">
      <c r="C914" s="65"/>
      <c r="D914" s="65"/>
      <c r="E914" s="65"/>
      <c r="F914" s="65"/>
      <c r="H914" s="65"/>
      <c r="J914" s="65"/>
      <c r="K914" s="65"/>
      <c r="L914" s="65"/>
    </row>
    <row r="915" ht="15.75" customHeight="1">
      <c r="C915" s="65"/>
      <c r="D915" s="65"/>
      <c r="E915" s="65"/>
      <c r="F915" s="65"/>
      <c r="H915" s="65"/>
      <c r="J915" s="65"/>
      <c r="K915" s="65"/>
      <c r="L915" s="65"/>
    </row>
    <row r="916" ht="15.75" customHeight="1">
      <c r="C916" s="65"/>
      <c r="D916" s="65"/>
      <c r="E916" s="65"/>
      <c r="F916" s="65"/>
      <c r="H916" s="65"/>
      <c r="J916" s="65"/>
      <c r="K916" s="65"/>
      <c r="L916" s="65"/>
    </row>
    <row r="917" ht="15.75" customHeight="1">
      <c r="C917" s="65"/>
      <c r="D917" s="65"/>
      <c r="E917" s="65"/>
      <c r="F917" s="65"/>
      <c r="H917" s="65"/>
      <c r="J917" s="65"/>
      <c r="K917" s="65"/>
      <c r="L917" s="65"/>
    </row>
    <row r="918" ht="15.75" customHeight="1">
      <c r="C918" s="65"/>
      <c r="D918" s="65"/>
      <c r="E918" s="65"/>
      <c r="F918" s="65"/>
      <c r="H918" s="65"/>
      <c r="J918" s="65"/>
      <c r="K918" s="65"/>
      <c r="L918" s="65"/>
    </row>
    <row r="919" ht="15.75" customHeight="1">
      <c r="C919" s="65"/>
      <c r="D919" s="65"/>
      <c r="E919" s="65"/>
      <c r="F919" s="65"/>
      <c r="H919" s="65"/>
      <c r="J919" s="65"/>
      <c r="K919" s="65"/>
      <c r="L919" s="65"/>
    </row>
    <row r="920" ht="15.75" customHeight="1">
      <c r="C920" s="65"/>
      <c r="D920" s="65"/>
      <c r="E920" s="65"/>
      <c r="F920" s="65"/>
      <c r="H920" s="65"/>
      <c r="J920" s="65"/>
      <c r="K920" s="65"/>
      <c r="L920" s="65"/>
    </row>
    <row r="921" ht="15.75" customHeight="1">
      <c r="C921" s="65"/>
      <c r="D921" s="65"/>
      <c r="E921" s="65"/>
      <c r="F921" s="65"/>
      <c r="H921" s="65"/>
      <c r="J921" s="65"/>
      <c r="K921" s="65"/>
      <c r="L921" s="65"/>
    </row>
    <row r="922" ht="15.75" customHeight="1">
      <c r="C922" s="65"/>
      <c r="D922" s="65"/>
      <c r="E922" s="65"/>
      <c r="F922" s="65"/>
      <c r="H922" s="65"/>
      <c r="J922" s="65"/>
      <c r="K922" s="65"/>
      <c r="L922" s="65"/>
    </row>
    <row r="923" ht="15.75" customHeight="1">
      <c r="C923" s="65"/>
      <c r="D923" s="65"/>
      <c r="E923" s="65"/>
      <c r="F923" s="65"/>
      <c r="H923" s="65"/>
      <c r="J923" s="65"/>
      <c r="K923" s="65"/>
      <c r="L923" s="65"/>
    </row>
    <row r="924" ht="15.75" customHeight="1">
      <c r="C924" s="65"/>
      <c r="D924" s="65"/>
      <c r="E924" s="65"/>
      <c r="F924" s="65"/>
      <c r="H924" s="65"/>
      <c r="J924" s="65"/>
      <c r="K924" s="65"/>
      <c r="L924" s="65"/>
    </row>
    <row r="925" ht="15.75" customHeight="1">
      <c r="C925" s="65"/>
      <c r="D925" s="65"/>
      <c r="E925" s="65"/>
      <c r="F925" s="65"/>
      <c r="H925" s="65"/>
      <c r="J925" s="65"/>
      <c r="K925" s="65"/>
      <c r="L925" s="65"/>
    </row>
    <row r="926" ht="15.75" customHeight="1">
      <c r="C926" s="65"/>
      <c r="D926" s="65"/>
      <c r="E926" s="65"/>
      <c r="F926" s="65"/>
      <c r="H926" s="65"/>
      <c r="J926" s="65"/>
      <c r="K926" s="65"/>
      <c r="L926" s="65"/>
    </row>
    <row r="927" ht="15.75" customHeight="1">
      <c r="C927" s="65"/>
      <c r="D927" s="65"/>
      <c r="E927" s="65"/>
      <c r="F927" s="65"/>
      <c r="H927" s="65"/>
      <c r="J927" s="65"/>
      <c r="K927" s="65"/>
      <c r="L927" s="65"/>
    </row>
    <row r="928" ht="15.75" customHeight="1">
      <c r="C928" s="65"/>
      <c r="D928" s="65"/>
      <c r="E928" s="65"/>
      <c r="F928" s="65"/>
      <c r="H928" s="65"/>
      <c r="J928" s="65"/>
      <c r="K928" s="65"/>
      <c r="L928" s="65"/>
    </row>
    <row r="929" ht="15.75" customHeight="1">
      <c r="C929" s="65"/>
      <c r="D929" s="65"/>
      <c r="E929" s="65"/>
      <c r="F929" s="65"/>
      <c r="H929" s="65"/>
      <c r="J929" s="65"/>
      <c r="K929" s="65"/>
      <c r="L929" s="65"/>
    </row>
    <row r="930" ht="15.75" customHeight="1">
      <c r="C930" s="65"/>
      <c r="D930" s="65"/>
      <c r="E930" s="65"/>
      <c r="F930" s="65"/>
      <c r="H930" s="65"/>
      <c r="J930" s="65"/>
      <c r="K930" s="65"/>
      <c r="L930" s="65"/>
    </row>
    <row r="931" ht="15.75" customHeight="1">
      <c r="C931" s="65"/>
      <c r="D931" s="65"/>
      <c r="E931" s="65"/>
      <c r="F931" s="65"/>
      <c r="H931" s="65"/>
      <c r="J931" s="65"/>
      <c r="K931" s="65"/>
      <c r="L931" s="65"/>
    </row>
    <row r="932" ht="15.75" customHeight="1">
      <c r="C932" s="65"/>
      <c r="D932" s="65"/>
      <c r="E932" s="65"/>
      <c r="F932" s="65"/>
      <c r="H932" s="65"/>
      <c r="J932" s="65"/>
      <c r="K932" s="65"/>
      <c r="L932" s="65"/>
    </row>
    <row r="933" ht="15.75" customHeight="1">
      <c r="C933" s="65"/>
      <c r="D933" s="65"/>
      <c r="E933" s="65"/>
      <c r="F933" s="65"/>
      <c r="H933" s="65"/>
      <c r="J933" s="65"/>
      <c r="K933" s="65"/>
      <c r="L933" s="65"/>
    </row>
    <row r="934" ht="15.75" customHeight="1">
      <c r="C934" s="65"/>
      <c r="D934" s="65"/>
      <c r="E934" s="65"/>
      <c r="F934" s="65"/>
      <c r="H934" s="65"/>
      <c r="J934" s="65"/>
      <c r="K934" s="65"/>
      <c r="L934" s="65"/>
    </row>
    <row r="935" ht="15.75" customHeight="1">
      <c r="C935" s="65"/>
      <c r="D935" s="65"/>
      <c r="E935" s="65"/>
      <c r="F935" s="65"/>
      <c r="H935" s="65"/>
      <c r="J935" s="65"/>
      <c r="K935" s="65"/>
      <c r="L935" s="65"/>
    </row>
    <row r="936" ht="15.75" customHeight="1">
      <c r="C936" s="65"/>
      <c r="D936" s="65"/>
      <c r="E936" s="65"/>
      <c r="F936" s="65"/>
      <c r="H936" s="65"/>
      <c r="J936" s="65"/>
      <c r="K936" s="65"/>
      <c r="L936" s="65"/>
    </row>
    <row r="937" ht="15.75" customHeight="1">
      <c r="C937" s="65"/>
      <c r="D937" s="65"/>
      <c r="E937" s="65"/>
      <c r="F937" s="65"/>
      <c r="H937" s="65"/>
      <c r="J937" s="65"/>
      <c r="K937" s="65"/>
      <c r="L937" s="65"/>
    </row>
    <row r="938" ht="15.75" customHeight="1">
      <c r="C938" s="65"/>
      <c r="D938" s="65"/>
      <c r="E938" s="65"/>
      <c r="F938" s="65"/>
      <c r="H938" s="65"/>
      <c r="J938" s="65"/>
      <c r="K938" s="65"/>
      <c r="L938" s="65"/>
    </row>
    <row r="939" ht="15.75" customHeight="1">
      <c r="C939" s="65"/>
      <c r="D939" s="65"/>
      <c r="E939" s="65"/>
      <c r="F939" s="65"/>
      <c r="H939" s="65"/>
      <c r="J939" s="65"/>
      <c r="K939" s="65"/>
      <c r="L939" s="65"/>
    </row>
    <row r="940" ht="15.75" customHeight="1">
      <c r="C940" s="65"/>
      <c r="D940" s="65"/>
      <c r="E940" s="65"/>
      <c r="F940" s="65"/>
      <c r="H940" s="65"/>
      <c r="J940" s="65"/>
      <c r="K940" s="65"/>
      <c r="L940" s="65"/>
    </row>
    <row r="941" ht="15.75" customHeight="1">
      <c r="C941" s="65"/>
      <c r="D941" s="65"/>
      <c r="E941" s="65"/>
      <c r="F941" s="65"/>
      <c r="H941" s="65"/>
      <c r="J941" s="65"/>
      <c r="K941" s="65"/>
      <c r="L941" s="65"/>
    </row>
    <row r="942" ht="15.75" customHeight="1">
      <c r="C942" s="65"/>
      <c r="D942" s="65"/>
      <c r="E942" s="65"/>
      <c r="F942" s="65"/>
      <c r="H942" s="65"/>
      <c r="J942" s="65"/>
      <c r="K942" s="65"/>
      <c r="L942" s="65"/>
    </row>
    <row r="943" ht="15.75" customHeight="1">
      <c r="C943" s="65"/>
      <c r="D943" s="65"/>
      <c r="E943" s="65"/>
      <c r="F943" s="65"/>
      <c r="H943" s="65"/>
      <c r="J943" s="65"/>
      <c r="K943" s="65"/>
      <c r="L943" s="65"/>
    </row>
    <row r="944" ht="15.75" customHeight="1">
      <c r="C944" s="65"/>
      <c r="D944" s="65"/>
      <c r="E944" s="65"/>
      <c r="F944" s="65"/>
      <c r="H944" s="65"/>
      <c r="J944" s="65"/>
      <c r="K944" s="65"/>
      <c r="L944" s="65"/>
    </row>
    <row r="945" ht="15.75" customHeight="1">
      <c r="C945" s="65"/>
      <c r="D945" s="65"/>
      <c r="E945" s="65"/>
      <c r="F945" s="65"/>
      <c r="H945" s="65"/>
      <c r="J945" s="65"/>
      <c r="K945" s="65"/>
      <c r="L945" s="65"/>
    </row>
    <row r="946" ht="15.75" customHeight="1">
      <c r="C946" s="65"/>
      <c r="D946" s="65"/>
      <c r="E946" s="65"/>
      <c r="F946" s="65"/>
      <c r="H946" s="65"/>
      <c r="J946" s="65"/>
      <c r="K946" s="65"/>
      <c r="L946" s="65"/>
    </row>
    <row r="947" ht="15.75" customHeight="1">
      <c r="C947" s="65"/>
      <c r="D947" s="65"/>
      <c r="E947" s="65"/>
      <c r="F947" s="65"/>
      <c r="H947" s="65"/>
      <c r="J947" s="65"/>
      <c r="K947" s="65"/>
      <c r="L947" s="65"/>
    </row>
    <row r="948" ht="15.75" customHeight="1">
      <c r="C948" s="65"/>
      <c r="D948" s="65"/>
      <c r="E948" s="65"/>
      <c r="F948" s="65"/>
      <c r="H948" s="65"/>
      <c r="J948" s="65"/>
      <c r="K948" s="65"/>
      <c r="L948" s="65"/>
    </row>
    <row r="949" ht="15.75" customHeight="1">
      <c r="C949" s="65"/>
      <c r="D949" s="65"/>
      <c r="E949" s="65"/>
      <c r="F949" s="65"/>
      <c r="H949" s="65"/>
      <c r="J949" s="65"/>
      <c r="K949" s="65"/>
      <c r="L949" s="65"/>
    </row>
    <row r="950" ht="15.75" customHeight="1">
      <c r="C950" s="65"/>
      <c r="D950" s="65"/>
      <c r="E950" s="65"/>
      <c r="F950" s="65"/>
      <c r="H950" s="65"/>
      <c r="J950" s="65"/>
      <c r="K950" s="65"/>
      <c r="L950" s="65"/>
    </row>
    <row r="951" ht="15.75" customHeight="1">
      <c r="C951" s="65"/>
      <c r="D951" s="65"/>
      <c r="E951" s="65"/>
      <c r="F951" s="65"/>
      <c r="H951" s="65"/>
      <c r="J951" s="65"/>
      <c r="K951" s="65"/>
      <c r="L951" s="65"/>
    </row>
    <row r="952" ht="15.75" customHeight="1">
      <c r="C952" s="65"/>
      <c r="D952" s="65"/>
      <c r="E952" s="65"/>
      <c r="F952" s="65"/>
      <c r="H952" s="65"/>
      <c r="J952" s="65"/>
      <c r="K952" s="65"/>
      <c r="L952" s="65"/>
    </row>
    <row r="953" ht="15.75" customHeight="1">
      <c r="C953" s="65"/>
      <c r="D953" s="65"/>
      <c r="E953" s="65"/>
      <c r="F953" s="65"/>
      <c r="H953" s="65"/>
      <c r="J953" s="65"/>
      <c r="K953" s="65"/>
      <c r="L953" s="65"/>
    </row>
    <row r="954" ht="15.75" customHeight="1">
      <c r="C954" s="65"/>
      <c r="D954" s="65"/>
      <c r="E954" s="65"/>
      <c r="F954" s="65"/>
      <c r="H954" s="65"/>
      <c r="J954" s="65"/>
      <c r="K954" s="65"/>
      <c r="L954" s="65"/>
    </row>
    <row r="955" ht="15.75" customHeight="1">
      <c r="C955" s="65"/>
      <c r="D955" s="65"/>
      <c r="E955" s="65"/>
      <c r="F955" s="65"/>
      <c r="H955" s="65"/>
      <c r="J955" s="65"/>
      <c r="K955" s="65"/>
      <c r="L955" s="65"/>
    </row>
    <row r="956" ht="15.75" customHeight="1">
      <c r="C956" s="65"/>
      <c r="D956" s="65"/>
      <c r="E956" s="65"/>
      <c r="F956" s="65"/>
      <c r="H956" s="65"/>
      <c r="J956" s="65"/>
      <c r="K956" s="65"/>
      <c r="L956" s="65"/>
    </row>
    <row r="957" ht="15.75" customHeight="1">
      <c r="C957" s="65"/>
      <c r="D957" s="65"/>
      <c r="E957" s="65"/>
      <c r="F957" s="65"/>
      <c r="H957" s="65"/>
      <c r="J957" s="65"/>
      <c r="K957" s="65"/>
      <c r="L957" s="65"/>
    </row>
    <row r="958" ht="15.75" customHeight="1">
      <c r="C958" s="65"/>
      <c r="D958" s="65"/>
      <c r="E958" s="65"/>
      <c r="F958" s="65"/>
      <c r="H958" s="65"/>
      <c r="J958" s="65"/>
      <c r="K958" s="65"/>
      <c r="L958" s="65"/>
    </row>
    <row r="959" ht="15.75" customHeight="1">
      <c r="C959" s="65"/>
      <c r="D959" s="65"/>
      <c r="E959" s="65"/>
      <c r="F959" s="65"/>
      <c r="H959" s="65"/>
      <c r="J959" s="65"/>
      <c r="K959" s="65"/>
      <c r="L959" s="65"/>
    </row>
    <row r="960" ht="15.75" customHeight="1">
      <c r="C960" s="65"/>
      <c r="D960" s="65"/>
      <c r="E960" s="65"/>
      <c r="F960" s="65"/>
      <c r="H960" s="65"/>
      <c r="J960" s="65"/>
      <c r="K960" s="65"/>
      <c r="L960" s="65"/>
    </row>
    <row r="961" ht="15.75" customHeight="1">
      <c r="C961" s="65"/>
      <c r="D961" s="65"/>
      <c r="E961" s="65"/>
      <c r="F961" s="65"/>
      <c r="H961" s="65"/>
      <c r="J961" s="65"/>
      <c r="K961" s="65"/>
      <c r="L961" s="65"/>
    </row>
    <row r="962" ht="15.75" customHeight="1">
      <c r="C962" s="65"/>
      <c r="D962" s="65"/>
      <c r="E962" s="65"/>
      <c r="F962" s="65"/>
      <c r="H962" s="65"/>
      <c r="J962" s="65"/>
      <c r="K962" s="65"/>
      <c r="L962" s="65"/>
    </row>
    <row r="963" ht="15.75" customHeight="1">
      <c r="C963" s="65"/>
      <c r="D963" s="65"/>
      <c r="E963" s="65"/>
      <c r="F963" s="65"/>
      <c r="H963" s="65"/>
      <c r="J963" s="65"/>
      <c r="K963" s="65"/>
      <c r="L963" s="65"/>
    </row>
    <row r="964" ht="15.75" customHeight="1">
      <c r="C964" s="65"/>
      <c r="D964" s="65"/>
      <c r="E964" s="65"/>
      <c r="F964" s="65"/>
      <c r="H964" s="65"/>
      <c r="J964" s="65"/>
      <c r="K964" s="65"/>
      <c r="L964" s="65"/>
    </row>
    <row r="965" ht="15.75" customHeight="1">
      <c r="C965" s="65"/>
      <c r="D965" s="65"/>
      <c r="E965" s="65"/>
      <c r="F965" s="65"/>
      <c r="H965" s="65"/>
      <c r="J965" s="65"/>
      <c r="K965" s="65"/>
      <c r="L965" s="65"/>
    </row>
    <row r="966" ht="15.75" customHeight="1">
      <c r="C966" s="65"/>
      <c r="D966" s="65"/>
      <c r="E966" s="65"/>
      <c r="F966" s="65"/>
      <c r="H966" s="65"/>
      <c r="J966" s="65"/>
      <c r="K966" s="65"/>
      <c r="L966" s="65"/>
    </row>
    <row r="967" ht="15.75" customHeight="1">
      <c r="C967" s="65"/>
      <c r="D967" s="65"/>
      <c r="E967" s="65"/>
      <c r="F967" s="65"/>
      <c r="H967" s="65"/>
      <c r="J967" s="65"/>
      <c r="K967" s="65"/>
      <c r="L967" s="65"/>
    </row>
    <row r="968" ht="15.75" customHeight="1">
      <c r="C968" s="65"/>
      <c r="D968" s="65"/>
      <c r="E968" s="65"/>
      <c r="F968" s="65"/>
      <c r="H968" s="65"/>
      <c r="J968" s="65"/>
      <c r="K968" s="65"/>
      <c r="L968" s="65"/>
    </row>
    <row r="969" ht="15.75" customHeight="1">
      <c r="C969" s="65"/>
      <c r="D969" s="65"/>
      <c r="E969" s="65"/>
      <c r="F969" s="65"/>
      <c r="H969" s="65"/>
      <c r="J969" s="65"/>
      <c r="K969" s="65"/>
      <c r="L969" s="65"/>
    </row>
    <row r="970" ht="15.75" customHeight="1">
      <c r="C970" s="65"/>
      <c r="D970" s="65"/>
      <c r="E970" s="65"/>
      <c r="F970" s="65"/>
      <c r="H970" s="65"/>
      <c r="J970" s="65"/>
      <c r="K970" s="65"/>
      <c r="L970" s="65"/>
    </row>
    <row r="971" ht="15.75" customHeight="1">
      <c r="C971" s="65"/>
      <c r="D971" s="65"/>
      <c r="E971" s="65"/>
      <c r="F971" s="65"/>
      <c r="H971" s="65"/>
      <c r="J971" s="65"/>
      <c r="K971" s="65"/>
      <c r="L971" s="65"/>
    </row>
    <row r="972" ht="15.75" customHeight="1">
      <c r="C972" s="65"/>
      <c r="D972" s="65"/>
      <c r="E972" s="65"/>
      <c r="F972" s="65"/>
      <c r="H972" s="65"/>
      <c r="J972" s="65"/>
      <c r="K972" s="65"/>
      <c r="L972" s="65"/>
    </row>
    <row r="973" ht="15.75" customHeight="1">
      <c r="C973" s="65"/>
      <c r="D973" s="65"/>
      <c r="E973" s="65"/>
      <c r="F973" s="65"/>
      <c r="H973" s="65"/>
      <c r="J973" s="65"/>
      <c r="K973" s="65"/>
      <c r="L973" s="65"/>
    </row>
    <row r="974" ht="15.75" customHeight="1">
      <c r="C974" s="65"/>
      <c r="D974" s="65"/>
      <c r="E974" s="65"/>
      <c r="F974" s="65"/>
      <c r="H974" s="65"/>
      <c r="J974" s="65"/>
      <c r="K974" s="65"/>
      <c r="L974" s="65"/>
    </row>
    <row r="975" ht="15.75" customHeight="1">
      <c r="C975" s="65"/>
      <c r="D975" s="65"/>
      <c r="E975" s="65"/>
      <c r="F975" s="65"/>
      <c r="H975" s="65"/>
      <c r="J975" s="65"/>
      <c r="K975" s="65"/>
      <c r="L975" s="65"/>
    </row>
    <row r="976" ht="15.75" customHeight="1">
      <c r="C976" s="65"/>
      <c r="D976" s="65"/>
      <c r="E976" s="65"/>
      <c r="F976" s="65"/>
      <c r="H976" s="65"/>
      <c r="J976" s="65"/>
      <c r="K976" s="65"/>
      <c r="L976" s="65"/>
    </row>
    <row r="977" ht="15.75" customHeight="1">
      <c r="C977" s="65"/>
      <c r="D977" s="65"/>
      <c r="E977" s="65"/>
      <c r="F977" s="65"/>
      <c r="H977" s="65"/>
      <c r="J977" s="65"/>
      <c r="K977" s="65"/>
      <c r="L977" s="65"/>
    </row>
    <row r="978" ht="15.75" customHeight="1">
      <c r="C978" s="65"/>
      <c r="D978" s="65"/>
      <c r="E978" s="65"/>
      <c r="F978" s="65"/>
      <c r="H978" s="65"/>
      <c r="J978" s="65"/>
      <c r="K978" s="65"/>
      <c r="L978" s="65"/>
    </row>
    <row r="979" ht="15.75" customHeight="1">
      <c r="C979" s="65"/>
      <c r="D979" s="65"/>
      <c r="E979" s="65"/>
      <c r="F979" s="65"/>
      <c r="H979" s="65"/>
      <c r="J979" s="65"/>
      <c r="K979" s="65"/>
      <c r="L979" s="65"/>
    </row>
    <row r="980" ht="15.75" customHeight="1">
      <c r="C980" s="65"/>
      <c r="D980" s="65"/>
      <c r="E980" s="65"/>
      <c r="F980" s="65"/>
      <c r="H980" s="65"/>
      <c r="J980" s="65"/>
      <c r="K980" s="65"/>
      <c r="L980" s="65"/>
    </row>
    <row r="981" ht="15.75" customHeight="1">
      <c r="C981" s="65"/>
      <c r="D981" s="65"/>
      <c r="E981" s="65"/>
      <c r="F981" s="65"/>
      <c r="H981" s="65"/>
      <c r="J981" s="65"/>
      <c r="K981" s="65"/>
      <c r="L981" s="65"/>
    </row>
    <row r="982" ht="15.75" customHeight="1">
      <c r="C982" s="65"/>
      <c r="D982" s="65"/>
      <c r="E982" s="65"/>
      <c r="F982" s="65"/>
      <c r="H982" s="65"/>
      <c r="J982" s="65"/>
      <c r="K982" s="65"/>
      <c r="L982" s="65"/>
    </row>
    <row r="983" ht="15.75" customHeight="1">
      <c r="C983" s="65"/>
      <c r="D983" s="65"/>
      <c r="E983" s="65"/>
      <c r="F983" s="65"/>
      <c r="H983" s="65"/>
      <c r="J983" s="65"/>
      <c r="K983" s="65"/>
      <c r="L983" s="65"/>
    </row>
    <row r="984" ht="15.75" customHeight="1">
      <c r="C984" s="65"/>
      <c r="D984" s="65"/>
      <c r="E984" s="65"/>
      <c r="F984" s="65"/>
      <c r="H984" s="65"/>
      <c r="J984" s="65"/>
      <c r="K984" s="65"/>
      <c r="L984" s="65"/>
    </row>
    <row r="985" ht="15.75" customHeight="1">
      <c r="C985" s="65"/>
      <c r="D985" s="65"/>
      <c r="E985" s="65"/>
      <c r="F985" s="65"/>
      <c r="H985" s="65"/>
      <c r="J985" s="65"/>
      <c r="K985" s="65"/>
      <c r="L985" s="65"/>
    </row>
    <row r="986" ht="15.75" customHeight="1">
      <c r="C986" s="65"/>
      <c r="D986" s="65"/>
      <c r="E986" s="65"/>
      <c r="F986" s="65"/>
      <c r="H986" s="65"/>
      <c r="J986" s="65"/>
      <c r="K986" s="65"/>
      <c r="L986" s="65"/>
    </row>
    <row r="987" ht="15.75" customHeight="1">
      <c r="C987" s="65"/>
      <c r="D987" s="65"/>
      <c r="E987" s="65"/>
      <c r="F987" s="65"/>
      <c r="H987" s="65"/>
      <c r="J987" s="65"/>
      <c r="K987" s="65"/>
      <c r="L987" s="65"/>
    </row>
    <row r="988" ht="15.75" customHeight="1">
      <c r="C988" s="65"/>
      <c r="D988" s="65"/>
      <c r="E988" s="65"/>
      <c r="F988" s="65"/>
      <c r="H988" s="65"/>
      <c r="J988" s="65"/>
      <c r="K988" s="65"/>
      <c r="L988" s="65"/>
    </row>
    <row r="989" ht="15.75" customHeight="1">
      <c r="C989" s="65"/>
      <c r="D989" s="65"/>
      <c r="E989" s="65"/>
      <c r="F989" s="65"/>
      <c r="H989" s="65"/>
      <c r="J989" s="65"/>
      <c r="K989" s="65"/>
      <c r="L989" s="65"/>
    </row>
    <row r="990" ht="15.75" customHeight="1">
      <c r="C990" s="65"/>
      <c r="D990" s="65"/>
      <c r="E990" s="65"/>
      <c r="F990" s="65"/>
      <c r="H990" s="65"/>
      <c r="J990" s="65"/>
      <c r="K990" s="65"/>
      <c r="L990" s="65"/>
    </row>
    <row r="991" ht="15.75" customHeight="1">
      <c r="C991" s="65"/>
      <c r="D991" s="65"/>
      <c r="E991" s="65"/>
      <c r="F991" s="65"/>
      <c r="H991" s="65"/>
      <c r="J991" s="65"/>
      <c r="K991" s="65"/>
      <c r="L991" s="65"/>
    </row>
    <row r="992" ht="15.75" customHeight="1">
      <c r="C992" s="65"/>
      <c r="D992" s="65"/>
      <c r="E992" s="65"/>
      <c r="F992" s="65"/>
      <c r="H992" s="65"/>
      <c r="J992" s="65"/>
      <c r="K992" s="65"/>
      <c r="L992" s="65"/>
    </row>
    <row r="993" ht="15.75" customHeight="1">
      <c r="C993" s="65"/>
      <c r="D993" s="65"/>
      <c r="E993" s="65"/>
      <c r="F993" s="65"/>
      <c r="H993" s="65"/>
      <c r="J993" s="65"/>
      <c r="K993" s="65"/>
      <c r="L993" s="65"/>
    </row>
    <row r="994" ht="15.75" customHeight="1">
      <c r="C994" s="65"/>
      <c r="D994" s="65"/>
      <c r="E994" s="65"/>
      <c r="F994" s="65"/>
      <c r="H994" s="65"/>
      <c r="J994" s="65"/>
      <c r="K994" s="65"/>
      <c r="L994" s="65"/>
    </row>
    <row r="995" ht="15.75" customHeight="1">
      <c r="C995" s="65"/>
      <c r="D995" s="65"/>
      <c r="E995" s="65"/>
      <c r="F995" s="65"/>
      <c r="H995" s="65"/>
      <c r="J995" s="65"/>
      <c r="K995" s="65"/>
      <c r="L995" s="65"/>
    </row>
    <row r="996" ht="15.75" customHeight="1">
      <c r="C996" s="65"/>
      <c r="D996" s="65"/>
      <c r="E996" s="65"/>
      <c r="F996" s="65"/>
      <c r="H996" s="65"/>
      <c r="J996" s="65"/>
      <c r="K996" s="65"/>
      <c r="L996" s="65"/>
    </row>
    <row r="997" ht="15.75" customHeight="1">
      <c r="C997" s="65"/>
      <c r="D997" s="65"/>
      <c r="E997" s="65"/>
      <c r="F997" s="65"/>
      <c r="H997" s="65"/>
      <c r="J997" s="65"/>
      <c r="K997" s="65"/>
      <c r="L997" s="65"/>
    </row>
    <row r="998" ht="15.75" customHeight="1">
      <c r="C998" s="65"/>
      <c r="D998" s="65"/>
      <c r="E998" s="65"/>
      <c r="F998" s="65"/>
      <c r="H998" s="65"/>
      <c r="J998" s="65"/>
      <c r="K998" s="65"/>
      <c r="L998" s="65"/>
    </row>
    <row r="999" ht="15.75" customHeight="1">
      <c r="C999" s="65"/>
      <c r="D999" s="65"/>
      <c r="E999" s="65"/>
      <c r="F999" s="65"/>
      <c r="H999" s="65"/>
      <c r="J999" s="65"/>
      <c r="K999" s="65"/>
      <c r="L999" s="65"/>
    </row>
    <row r="1000" ht="15.75" customHeight="1">
      <c r="C1000" s="65"/>
      <c r="D1000" s="65"/>
      <c r="E1000" s="65"/>
      <c r="F1000" s="65"/>
      <c r="H1000" s="65"/>
      <c r="J1000" s="65"/>
      <c r="K1000" s="65"/>
      <c r="L1000" s="65"/>
    </row>
  </sheetData>
  <autoFilter ref="$A$1:$M$6"/>
  <dataValidations>
    <dataValidation type="list" allowBlank="1" sqref="K2:K1000">
      <formula1>"SCRUM-5,SCRUM-28,SCRUM-29,SCRUM-31,SCRUM-32"</formula1>
    </dataValidation>
    <dataValidation type="list" allowBlank="1" sqref="L2:L1000">
      <formula1>'_Lists'!$A$2:$A$43</formula1>
    </dataValidation>
    <dataValidation type="date" operator="greaterThanOrEqual" allowBlank="1" showInputMessage="1" prompt="Due Date - Enter a date (YYYY-MM-DD)" sqref="H2:H1000">
      <formula1>2020-1-1</formula1>
    </dataValidation>
    <dataValidation type="list" allowBlank="1" sqref="F2:F1000">
      <formula1>"Amy Tripp,Napadech,Nattapat Suwansipaisan,Nutgritta Prasomthongsuk,Thiraphat Panthong"</formula1>
    </dataValidation>
    <dataValidation type="list" allowBlank="1" sqref="D2:D1000">
      <formula1>"To Do,In Progress,Done,Closed,Resolved"</formula1>
    </dataValidation>
    <dataValidation type="list" allowBlank="1" sqref="E2:E1000">
      <formula1>"Highest,High,Medium,Low,Lowest"</formula1>
    </dataValidation>
    <dataValidation type="list" allowBlank="1" sqref="J2:J1000">
      <formula1>"SCRUM Sprint 1,SCRUM Sprint 2,SCRUM Sprint 3,SCRUM Sprint 4"</formula1>
    </dataValidation>
    <dataValidation type="list" allowBlank="1" sqref="C2:C1000">
      <formula1>"Epic,Task,Test,Subtask"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2.0"/>
    <col customWidth="1" min="2" max="2" width="45.0"/>
    <col customWidth="1" min="3" max="3" width="13.0"/>
    <col customWidth="1" min="4" max="4" width="14.0"/>
    <col customWidth="1" min="5" max="5" width="11.0"/>
    <col customWidth="1" min="6" max="6" width="25.0"/>
    <col customWidth="1" min="7" max="7" width="21.0"/>
    <col customWidth="1" min="8" max="9" width="13.0"/>
    <col customWidth="1" min="10" max="10" width="15.0"/>
    <col customWidth="1" min="11" max="11" width="17.0"/>
    <col customWidth="1" min="12" max="12" width="13.0"/>
    <col customWidth="1" min="13" max="13" width="20.0"/>
  </cols>
  <sheetData>
    <row r="1" ht="30.0" customHeight="1">
      <c r="A1" s="17" t="s">
        <v>52</v>
      </c>
      <c r="B1" s="17" t="s">
        <v>53</v>
      </c>
      <c r="C1" s="17" t="s">
        <v>54</v>
      </c>
      <c r="D1" s="17" t="s">
        <v>38</v>
      </c>
      <c r="E1" s="17" t="s">
        <v>55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37</v>
      </c>
      <c r="K1" s="17" t="s">
        <v>60</v>
      </c>
      <c r="L1" s="17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4" t="s">
        <v>24</v>
      </c>
      <c r="B2" s="44" t="s">
        <v>25</v>
      </c>
      <c r="C2" s="45" t="s">
        <v>62</v>
      </c>
      <c r="D2" s="24" t="s">
        <v>44</v>
      </c>
      <c r="E2" s="51" t="s">
        <v>69</v>
      </c>
      <c r="F2" s="47" t="s">
        <v>87</v>
      </c>
      <c r="G2" s="47" t="s">
        <v>64</v>
      </c>
      <c r="H2" s="48" t="s">
        <v>612</v>
      </c>
      <c r="I2" s="47"/>
      <c r="J2" s="47"/>
      <c r="K2" s="47"/>
      <c r="L2" s="4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 outlineLevel="1">
      <c r="A3" s="49" t="s">
        <v>613</v>
      </c>
      <c r="B3" s="49" t="s">
        <v>614</v>
      </c>
      <c r="C3" s="97" t="s">
        <v>615</v>
      </c>
      <c r="D3" s="19" t="s">
        <v>14</v>
      </c>
      <c r="E3" s="46" t="s">
        <v>63</v>
      </c>
      <c r="F3" s="52" t="s">
        <v>87</v>
      </c>
      <c r="G3" s="52" t="s">
        <v>64</v>
      </c>
      <c r="H3" s="53" t="s">
        <v>192</v>
      </c>
      <c r="I3" s="52"/>
      <c r="J3" s="52" t="s">
        <v>39</v>
      </c>
      <c r="K3" s="52" t="s">
        <v>24</v>
      </c>
      <c r="L3" s="52" t="s">
        <v>25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customHeight="1" outlineLevel="2">
      <c r="A4" s="54" t="s">
        <v>616</v>
      </c>
      <c r="B4" s="54" t="s">
        <v>617</v>
      </c>
      <c r="C4" s="55" t="s">
        <v>75</v>
      </c>
      <c r="D4" s="19" t="s">
        <v>14</v>
      </c>
      <c r="E4" s="51" t="s">
        <v>69</v>
      </c>
      <c r="F4" s="56" t="s">
        <v>87</v>
      </c>
      <c r="G4" s="56" t="s">
        <v>166</v>
      </c>
      <c r="H4" s="59" t="s">
        <v>460</v>
      </c>
      <c r="I4" s="56"/>
      <c r="J4" s="56" t="s">
        <v>39</v>
      </c>
      <c r="K4" s="56" t="s">
        <v>613</v>
      </c>
      <c r="L4" s="56" t="s">
        <v>614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 outlineLevel="1">
      <c r="A5" s="49" t="s">
        <v>618</v>
      </c>
      <c r="B5" s="49" t="s">
        <v>619</v>
      </c>
      <c r="C5" s="97" t="s">
        <v>615</v>
      </c>
      <c r="D5" s="19" t="s">
        <v>14</v>
      </c>
      <c r="E5" s="66" t="s">
        <v>186</v>
      </c>
      <c r="F5" s="52" t="s">
        <v>87</v>
      </c>
      <c r="G5" s="52" t="s">
        <v>64</v>
      </c>
      <c r="H5" s="53" t="s">
        <v>539</v>
      </c>
      <c r="I5" s="52"/>
      <c r="J5" s="52" t="s">
        <v>41</v>
      </c>
      <c r="K5" s="52" t="s">
        <v>24</v>
      </c>
      <c r="L5" s="52" t="s">
        <v>25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customHeight="1" outlineLevel="2">
      <c r="A6" s="54" t="s">
        <v>620</v>
      </c>
      <c r="B6" s="54" t="s">
        <v>617</v>
      </c>
      <c r="C6" s="55" t="s">
        <v>75</v>
      </c>
      <c r="D6" s="19" t="s">
        <v>14</v>
      </c>
      <c r="E6" s="51" t="s">
        <v>69</v>
      </c>
      <c r="F6" s="56" t="s">
        <v>87</v>
      </c>
      <c r="G6" s="56" t="s">
        <v>140</v>
      </c>
      <c r="H6" s="59" t="s">
        <v>291</v>
      </c>
      <c r="I6" s="56"/>
      <c r="J6" s="56" t="s">
        <v>41</v>
      </c>
      <c r="K6" s="56" t="s">
        <v>618</v>
      </c>
      <c r="L6" s="56" t="s">
        <v>619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9.5" customHeight="1" outlineLevel="2">
      <c r="A7" s="57" t="s">
        <v>621</v>
      </c>
      <c r="B7" s="57" t="s">
        <v>622</v>
      </c>
      <c r="C7" s="55" t="s">
        <v>75</v>
      </c>
      <c r="D7" s="19" t="s">
        <v>14</v>
      </c>
      <c r="E7" s="51" t="s">
        <v>69</v>
      </c>
      <c r="F7" s="58" t="s">
        <v>87</v>
      </c>
      <c r="G7" s="58" t="s">
        <v>149</v>
      </c>
      <c r="H7" s="60" t="s">
        <v>539</v>
      </c>
      <c r="I7" s="58"/>
      <c r="J7" s="58" t="s">
        <v>41</v>
      </c>
      <c r="K7" s="58" t="s">
        <v>618</v>
      </c>
      <c r="L7" s="58" t="s">
        <v>619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customHeight="1" outlineLevel="2">
      <c r="A8" s="54" t="s">
        <v>623</v>
      </c>
      <c r="B8" s="54" t="s">
        <v>624</v>
      </c>
      <c r="C8" s="55" t="s">
        <v>75</v>
      </c>
      <c r="D8" s="19" t="s">
        <v>14</v>
      </c>
      <c r="E8" s="51" t="s">
        <v>69</v>
      </c>
      <c r="F8" s="56" t="s">
        <v>87</v>
      </c>
      <c r="G8" s="56" t="s">
        <v>149</v>
      </c>
      <c r="H8" s="59" t="s">
        <v>539</v>
      </c>
      <c r="I8" s="56"/>
      <c r="J8" s="56" t="s">
        <v>41</v>
      </c>
      <c r="K8" s="56" t="s">
        <v>618</v>
      </c>
      <c r="L8" s="56" t="s">
        <v>619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9.5" customHeight="1" outlineLevel="1">
      <c r="A9" s="49" t="s">
        <v>625</v>
      </c>
      <c r="B9" s="49" t="s">
        <v>626</v>
      </c>
      <c r="C9" s="97" t="s">
        <v>615</v>
      </c>
      <c r="D9" s="27" t="s">
        <v>235</v>
      </c>
      <c r="E9" s="68" t="s">
        <v>205</v>
      </c>
      <c r="F9" s="52" t="s">
        <v>87</v>
      </c>
      <c r="G9" s="52" t="s">
        <v>64</v>
      </c>
      <c r="H9" s="53" t="s">
        <v>65</v>
      </c>
      <c r="I9" s="52"/>
      <c r="J9" s="52" t="s">
        <v>42</v>
      </c>
      <c r="K9" s="52" t="s">
        <v>24</v>
      </c>
      <c r="L9" s="52" t="s">
        <v>25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9.5" customHeight="1" outlineLevel="2">
      <c r="A10" s="54" t="s">
        <v>627</v>
      </c>
      <c r="B10" s="54" t="s">
        <v>617</v>
      </c>
      <c r="C10" s="55" t="s">
        <v>75</v>
      </c>
      <c r="D10" s="27" t="s">
        <v>235</v>
      </c>
      <c r="E10" s="51" t="s">
        <v>69</v>
      </c>
      <c r="F10" s="56" t="s">
        <v>87</v>
      </c>
      <c r="G10" s="56" t="s">
        <v>140</v>
      </c>
      <c r="H10" s="56"/>
      <c r="I10" s="56"/>
      <c r="J10" s="56" t="s">
        <v>42</v>
      </c>
      <c r="K10" s="56" t="s">
        <v>625</v>
      </c>
      <c r="L10" s="56" t="s">
        <v>626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.5" customHeight="1" outlineLevel="2">
      <c r="A11" s="57" t="s">
        <v>628</v>
      </c>
      <c r="B11" s="57" t="s">
        <v>622</v>
      </c>
      <c r="C11" s="55" t="s">
        <v>75</v>
      </c>
      <c r="D11" s="27" t="s">
        <v>235</v>
      </c>
      <c r="E11" s="51" t="s">
        <v>69</v>
      </c>
      <c r="F11" s="58"/>
      <c r="G11" s="58" t="s">
        <v>149</v>
      </c>
      <c r="H11" s="58"/>
      <c r="I11" s="58"/>
      <c r="J11" s="58" t="s">
        <v>42</v>
      </c>
      <c r="K11" s="58" t="s">
        <v>625</v>
      </c>
      <c r="L11" s="58" t="s">
        <v>626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9.5" customHeight="1" outlineLevel="2">
      <c r="A12" s="54" t="s">
        <v>629</v>
      </c>
      <c r="B12" s="54" t="s">
        <v>624</v>
      </c>
      <c r="C12" s="55" t="s">
        <v>75</v>
      </c>
      <c r="D12" s="27" t="s">
        <v>235</v>
      </c>
      <c r="E12" s="51" t="s">
        <v>69</v>
      </c>
      <c r="F12" s="56"/>
      <c r="G12" s="56" t="s">
        <v>149</v>
      </c>
      <c r="H12" s="56"/>
      <c r="I12" s="56"/>
      <c r="J12" s="56" t="s">
        <v>42</v>
      </c>
      <c r="K12" s="56" t="s">
        <v>625</v>
      </c>
      <c r="L12" s="56" t="s">
        <v>626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.5" customHeight="1" outlineLevel="2">
      <c r="A13" s="57" t="s">
        <v>630</v>
      </c>
      <c r="B13" s="57" t="s">
        <v>631</v>
      </c>
      <c r="C13" s="55" t="s">
        <v>75</v>
      </c>
      <c r="D13" s="27" t="s">
        <v>235</v>
      </c>
      <c r="E13" s="51" t="s">
        <v>69</v>
      </c>
      <c r="F13" s="58"/>
      <c r="G13" s="58" t="s">
        <v>149</v>
      </c>
      <c r="H13" s="58"/>
      <c r="I13" s="58"/>
      <c r="J13" s="58" t="s">
        <v>42</v>
      </c>
      <c r="K13" s="58" t="s">
        <v>625</v>
      </c>
      <c r="L13" s="58" t="s">
        <v>626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9.5" customHeight="1" outlineLevel="1">
      <c r="A14" s="49" t="s">
        <v>632</v>
      </c>
      <c r="B14" s="49" t="s">
        <v>633</v>
      </c>
      <c r="C14" s="97" t="s">
        <v>615</v>
      </c>
      <c r="D14" s="27" t="s">
        <v>235</v>
      </c>
      <c r="E14" s="67" t="s">
        <v>201</v>
      </c>
      <c r="F14" s="52" t="s">
        <v>87</v>
      </c>
      <c r="G14" s="52" t="s">
        <v>64</v>
      </c>
      <c r="H14" s="53" t="s">
        <v>612</v>
      </c>
      <c r="I14" s="52"/>
      <c r="J14" s="52" t="s">
        <v>45</v>
      </c>
      <c r="K14" s="52" t="s">
        <v>24</v>
      </c>
      <c r="L14" s="52" t="s">
        <v>25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9.5" customHeight="1" outlineLevel="2">
      <c r="A15" s="57" t="s">
        <v>634</v>
      </c>
      <c r="B15" s="57" t="s">
        <v>617</v>
      </c>
      <c r="C15" s="55" t="s">
        <v>75</v>
      </c>
      <c r="D15" s="27" t="s">
        <v>235</v>
      </c>
      <c r="E15" s="51" t="s">
        <v>69</v>
      </c>
      <c r="F15" s="58" t="s">
        <v>87</v>
      </c>
      <c r="G15" s="58" t="s">
        <v>140</v>
      </c>
      <c r="H15" s="58"/>
      <c r="I15" s="58"/>
      <c r="J15" s="58" t="s">
        <v>45</v>
      </c>
      <c r="K15" s="58" t="s">
        <v>632</v>
      </c>
      <c r="L15" s="58" t="s">
        <v>633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9.5" customHeight="1" outlineLevel="2">
      <c r="A16" s="54" t="s">
        <v>635</v>
      </c>
      <c r="B16" s="54" t="s">
        <v>636</v>
      </c>
      <c r="C16" s="55" t="s">
        <v>75</v>
      </c>
      <c r="D16" s="27" t="s">
        <v>235</v>
      </c>
      <c r="E16" s="51" t="s">
        <v>69</v>
      </c>
      <c r="F16" s="56"/>
      <c r="G16" s="56" t="s">
        <v>149</v>
      </c>
      <c r="H16" s="56"/>
      <c r="I16" s="56"/>
      <c r="J16" s="56" t="s">
        <v>45</v>
      </c>
      <c r="K16" s="56" t="s">
        <v>632</v>
      </c>
      <c r="L16" s="56" t="s">
        <v>633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4"/>
      <c r="B17" s="4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0" customHeight="1">
      <c r="A18" s="4"/>
      <c r="B18" s="4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0" customHeight="1">
      <c r="A19" s="4"/>
      <c r="B19" s="4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0" customHeight="1">
      <c r="A20" s="4"/>
      <c r="B20" s="4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C221" s="65"/>
      <c r="D221" s="65"/>
      <c r="E221" s="65"/>
      <c r="F221" s="65"/>
      <c r="H221" s="65"/>
      <c r="J221" s="65"/>
      <c r="K221" s="65"/>
      <c r="L221" s="65"/>
    </row>
    <row r="222" ht="15.75" customHeight="1">
      <c r="C222" s="65"/>
      <c r="D222" s="65"/>
      <c r="E222" s="65"/>
      <c r="F222" s="65"/>
      <c r="H222" s="65"/>
      <c r="J222" s="65"/>
      <c r="K222" s="65"/>
      <c r="L222" s="65"/>
    </row>
    <row r="223" ht="15.75" customHeight="1">
      <c r="C223" s="65"/>
      <c r="D223" s="65"/>
      <c r="E223" s="65"/>
      <c r="F223" s="65"/>
      <c r="H223" s="65"/>
      <c r="J223" s="65"/>
      <c r="K223" s="65"/>
      <c r="L223" s="65"/>
    </row>
    <row r="224" ht="15.75" customHeight="1">
      <c r="C224" s="65"/>
      <c r="D224" s="65"/>
      <c r="E224" s="65"/>
      <c r="F224" s="65"/>
      <c r="H224" s="65"/>
      <c r="J224" s="65"/>
      <c r="K224" s="65"/>
      <c r="L224" s="65"/>
    </row>
    <row r="225" ht="15.75" customHeight="1">
      <c r="C225" s="65"/>
      <c r="D225" s="65"/>
      <c r="E225" s="65"/>
      <c r="F225" s="65"/>
      <c r="H225" s="65"/>
      <c r="J225" s="65"/>
      <c r="K225" s="65"/>
      <c r="L225" s="65"/>
    </row>
    <row r="226" ht="15.75" customHeight="1">
      <c r="C226" s="65"/>
      <c r="D226" s="65"/>
      <c r="E226" s="65"/>
      <c r="F226" s="65"/>
      <c r="H226" s="65"/>
      <c r="J226" s="65"/>
      <c r="K226" s="65"/>
      <c r="L226" s="65"/>
    </row>
    <row r="227" ht="15.75" customHeight="1">
      <c r="C227" s="65"/>
      <c r="D227" s="65"/>
      <c r="E227" s="65"/>
      <c r="F227" s="65"/>
      <c r="H227" s="65"/>
      <c r="J227" s="65"/>
      <c r="K227" s="65"/>
      <c r="L227" s="65"/>
    </row>
    <row r="228" ht="15.75" customHeight="1">
      <c r="C228" s="65"/>
      <c r="D228" s="65"/>
      <c r="E228" s="65"/>
      <c r="F228" s="65"/>
      <c r="H228" s="65"/>
      <c r="J228" s="65"/>
      <c r="K228" s="65"/>
      <c r="L228" s="65"/>
    </row>
    <row r="229" ht="15.75" customHeight="1">
      <c r="C229" s="65"/>
      <c r="D229" s="65"/>
      <c r="E229" s="65"/>
      <c r="F229" s="65"/>
      <c r="H229" s="65"/>
      <c r="J229" s="65"/>
      <c r="K229" s="65"/>
      <c r="L229" s="65"/>
    </row>
    <row r="230" ht="15.75" customHeight="1">
      <c r="C230" s="65"/>
      <c r="D230" s="65"/>
      <c r="E230" s="65"/>
      <c r="F230" s="65"/>
      <c r="H230" s="65"/>
      <c r="J230" s="65"/>
      <c r="K230" s="65"/>
      <c r="L230" s="65"/>
    </row>
    <row r="231" ht="15.75" customHeight="1">
      <c r="C231" s="65"/>
      <c r="D231" s="65"/>
      <c r="E231" s="65"/>
      <c r="F231" s="65"/>
      <c r="H231" s="65"/>
      <c r="J231" s="65"/>
      <c r="K231" s="65"/>
      <c r="L231" s="65"/>
    </row>
    <row r="232" ht="15.75" customHeight="1">
      <c r="C232" s="65"/>
      <c r="D232" s="65"/>
      <c r="E232" s="65"/>
      <c r="F232" s="65"/>
      <c r="H232" s="65"/>
      <c r="J232" s="65"/>
      <c r="K232" s="65"/>
      <c r="L232" s="65"/>
    </row>
    <row r="233" ht="15.75" customHeight="1">
      <c r="C233" s="65"/>
      <c r="D233" s="65"/>
      <c r="E233" s="65"/>
      <c r="F233" s="65"/>
      <c r="H233" s="65"/>
      <c r="J233" s="65"/>
      <c r="K233" s="65"/>
      <c r="L233" s="65"/>
    </row>
    <row r="234" ht="15.75" customHeight="1">
      <c r="C234" s="65"/>
      <c r="D234" s="65"/>
      <c r="E234" s="65"/>
      <c r="F234" s="65"/>
      <c r="H234" s="65"/>
      <c r="J234" s="65"/>
      <c r="K234" s="65"/>
      <c r="L234" s="65"/>
    </row>
    <row r="235" ht="15.75" customHeight="1">
      <c r="C235" s="65"/>
      <c r="D235" s="65"/>
      <c r="E235" s="65"/>
      <c r="F235" s="65"/>
      <c r="H235" s="65"/>
      <c r="J235" s="65"/>
      <c r="K235" s="65"/>
      <c r="L235" s="65"/>
    </row>
    <row r="236" ht="15.75" customHeight="1">
      <c r="C236" s="65"/>
      <c r="D236" s="65"/>
      <c r="E236" s="65"/>
      <c r="F236" s="65"/>
      <c r="H236" s="65"/>
      <c r="J236" s="65"/>
      <c r="K236" s="65"/>
      <c r="L236" s="65"/>
    </row>
    <row r="237" ht="15.75" customHeight="1">
      <c r="C237" s="65"/>
      <c r="D237" s="65"/>
      <c r="E237" s="65"/>
      <c r="F237" s="65"/>
      <c r="H237" s="65"/>
      <c r="J237" s="65"/>
      <c r="K237" s="65"/>
      <c r="L237" s="65"/>
    </row>
    <row r="238" ht="15.75" customHeight="1">
      <c r="C238" s="65"/>
      <c r="D238" s="65"/>
      <c r="E238" s="65"/>
      <c r="F238" s="65"/>
      <c r="H238" s="65"/>
      <c r="J238" s="65"/>
      <c r="K238" s="65"/>
      <c r="L238" s="65"/>
    </row>
    <row r="239" ht="15.75" customHeight="1">
      <c r="C239" s="65"/>
      <c r="D239" s="65"/>
      <c r="E239" s="65"/>
      <c r="F239" s="65"/>
      <c r="H239" s="65"/>
      <c r="J239" s="65"/>
      <c r="K239" s="65"/>
      <c r="L239" s="65"/>
    </row>
    <row r="240" ht="15.75" customHeight="1">
      <c r="C240" s="65"/>
      <c r="D240" s="65"/>
      <c r="E240" s="65"/>
      <c r="F240" s="65"/>
      <c r="H240" s="65"/>
      <c r="J240" s="65"/>
      <c r="K240" s="65"/>
      <c r="L240" s="65"/>
    </row>
    <row r="241" ht="15.75" customHeight="1">
      <c r="C241" s="65"/>
      <c r="D241" s="65"/>
      <c r="E241" s="65"/>
      <c r="F241" s="65"/>
      <c r="H241" s="65"/>
      <c r="J241" s="65"/>
      <c r="K241" s="65"/>
      <c r="L241" s="65"/>
    </row>
    <row r="242" ht="15.75" customHeight="1">
      <c r="C242" s="65"/>
      <c r="D242" s="65"/>
      <c r="E242" s="65"/>
      <c r="F242" s="65"/>
      <c r="H242" s="65"/>
      <c r="J242" s="65"/>
      <c r="K242" s="65"/>
      <c r="L242" s="65"/>
    </row>
    <row r="243" ht="15.75" customHeight="1">
      <c r="C243" s="65"/>
      <c r="D243" s="65"/>
      <c r="E243" s="65"/>
      <c r="F243" s="65"/>
      <c r="H243" s="65"/>
      <c r="J243" s="65"/>
      <c r="K243" s="65"/>
      <c r="L243" s="65"/>
    </row>
    <row r="244" ht="15.75" customHeight="1">
      <c r="C244" s="65"/>
      <c r="D244" s="65"/>
      <c r="E244" s="65"/>
      <c r="F244" s="65"/>
      <c r="H244" s="65"/>
      <c r="J244" s="65"/>
      <c r="K244" s="65"/>
      <c r="L244" s="65"/>
    </row>
    <row r="245" ht="15.75" customHeight="1">
      <c r="C245" s="65"/>
      <c r="D245" s="65"/>
      <c r="E245" s="65"/>
      <c r="F245" s="65"/>
      <c r="H245" s="65"/>
      <c r="J245" s="65"/>
      <c r="K245" s="65"/>
      <c r="L245" s="65"/>
    </row>
    <row r="246" ht="15.75" customHeight="1">
      <c r="C246" s="65"/>
      <c r="D246" s="65"/>
      <c r="E246" s="65"/>
      <c r="F246" s="65"/>
      <c r="H246" s="65"/>
      <c r="J246" s="65"/>
      <c r="K246" s="65"/>
      <c r="L246" s="65"/>
    </row>
    <row r="247" ht="15.75" customHeight="1">
      <c r="C247" s="65"/>
      <c r="D247" s="65"/>
      <c r="E247" s="65"/>
      <c r="F247" s="65"/>
      <c r="H247" s="65"/>
      <c r="J247" s="65"/>
      <c r="K247" s="65"/>
      <c r="L247" s="65"/>
    </row>
    <row r="248" ht="15.75" customHeight="1">
      <c r="C248" s="65"/>
      <c r="D248" s="65"/>
      <c r="E248" s="65"/>
      <c r="F248" s="65"/>
      <c r="H248" s="65"/>
      <c r="J248" s="65"/>
      <c r="K248" s="65"/>
      <c r="L248" s="65"/>
    </row>
    <row r="249" ht="15.75" customHeight="1">
      <c r="C249" s="65"/>
      <c r="D249" s="65"/>
      <c r="E249" s="65"/>
      <c r="F249" s="65"/>
      <c r="H249" s="65"/>
      <c r="J249" s="65"/>
      <c r="K249" s="65"/>
      <c r="L249" s="65"/>
    </row>
    <row r="250" ht="15.75" customHeight="1">
      <c r="C250" s="65"/>
      <c r="D250" s="65"/>
      <c r="E250" s="65"/>
      <c r="F250" s="65"/>
      <c r="H250" s="65"/>
      <c r="J250" s="65"/>
      <c r="K250" s="65"/>
      <c r="L250" s="65"/>
    </row>
    <row r="251" ht="15.75" customHeight="1">
      <c r="C251" s="65"/>
      <c r="D251" s="65"/>
      <c r="E251" s="65"/>
      <c r="F251" s="65"/>
      <c r="H251" s="65"/>
      <c r="J251" s="65"/>
      <c r="K251" s="65"/>
      <c r="L251" s="65"/>
    </row>
    <row r="252" ht="15.75" customHeight="1">
      <c r="C252" s="65"/>
      <c r="D252" s="65"/>
      <c r="E252" s="65"/>
      <c r="F252" s="65"/>
      <c r="H252" s="65"/>
      <c r="J252" s="65"/>
      <c r="K252" s="65"/>
      <c r="L252" s="65"/>
    </row>
    <row r="253" ht="15.75" customHeight="1">
      <c r="C253" s="65"/>
      <c r="D253" s="65"/>
      <c r="E253" s="65"/>
      <c r="F253" s="65"/>
      <c r="H253" s="65"/>
      <c r="J253" s="65"/>
      <c r="K253" s="65"/>
      <c r="L253" s="65"/>
    </row>
    <row r="254" ht="15.75" customHeight="1">
      <c r="C254" s="65"/>
      <c r="D254" s="65"/>
      <c r="E254" s="65"/>
      <c r="F254" s="65"/>
      <c r="H254" s="65"/>
      <c r="J254" s="65"/>
      <c r="K254" s="65"/>
      <c r="L254" s="65"/>
    </row>
    <row r="255" ht="15.75" customHeight="1">
      <c r="C255" s="65"/>
      <c r="D255" s="65"/>
      <c r="E255" s="65"/>
      <c r="F255" s="65"/>
      <c r="H255" s="65"/>
      <c r="J255" s="65"/>
      <c r="K255" s="65"/>
      <c r="L255" s="65"/>
    </row>
    <row r="256" ht="15.75" customHeight="1">
      <c r="C256" s="65"/>
      <c r="D256" s="65"/>
      <c r="E256" s="65"/>
      <c r="F256" s="65"/>
      <c r="H256" s="65"/>
      <c r="J256" s="65"/>
      <c r="K256" s="65"/>
      <c r="L256" s="65"/>
    </row>
    <row r="257" ht="15.75" customHeight="1">
      <c r="C257" s="65"/>
      <c r="D257" s="65"/>
      <c r="E257" s="65"/>
      <c r="F257" s="65"/>
      <c r="H257" s="65"/>
      <c r="J257" s="65"/>
      <c r="K257" s="65"/>
      <c r="L257" s="65"/>
    </row>
    <row r="258" ht="15.75" customHeight="1">
      <c r="C258" s="65"/>
      <c r="D258" s="65"/>
      <c r="E258" s="65"/>
      <c r="F258" s="65"/>
      <c r="H258" s="65"/>
      <c r="J258" s="65"/>
      <c r="K258" s="65"/>
      <c r="L258" s="65"/>
    </row>
    <row r="259" ht="15.75" customHeight="1">
      <c r="C259" s="65"/>
      <c r="D259" s="65"/>
      <c r="E259" s="65"/>
      <c r="F259" s="65"/>
      <c r="H259" s="65"/>
      <c r="J259" s="65"/>
      <c r="K259" s="65"/>
      <c r="L259" s="65"/>
    </row>
    <row r="260" ht="15.75" customHeight="1">
      <c r="C260" s="65"/>
      <c r="D260" s="65"/>
      <c r="E260" s="65"/>
      <c r="F260" s="65"/>
      <c r="H260" s="65"/>
      <c r="J260" s="65"/>
      <c r="K260" s="65"/>
      <c r="L260" s="65"/>
    </row>
    <row r="261" ht="15.75" customHeight="1">
      <c r="C261" s="65"/>
      <c r="D261" s="65"/>
      <c r="E261" s="65"/>
      <c r="F261" s="65"/>
      <c r="H261" s="65"/>
      <c r="J261" s="65"/>
      <c r="K261" s="65"/>
      <c r="L261" s="65"/>
    </row>
    <row r="262" ht="15.75" customHeight="1">
      <c r="C262" s="65"/>
      <c r="D262" s="65"/>
      <c r="E262" s="65"/>
      <c r="F262" s="65"/>
      <c r="H262" s="65"/>
      <c r="J262" s="65"/>
      <c r="K262" s="65"/>
      <c r="L262" s="65"/>
    </row>
    <row r="263" ht="15.75" customHeight="1">
      <c r="C263" s="65"/>
      <c r="D263" s="65"/>
      <c r="E263" s="65"/>
      <c r="F263" s="65"/>
      <c r="H263" s="65"/>
      <c r="J263" s="65"/>
      <c r="K263" s="65"/>
      <c r="L263" s="65"/>
    </row>
    <row r="264" ht="15.75" customHeight="1">
      <c r="C264" s="65"/>
      <c r="D264" s="65"/>
      <c r="E264" s="65"/>
      <c r="F264" s="65"/>
      <c r="H264" s="65"/>
      <c r="J264" s="65"/>
      <c r="K264" s="65"/>
      <c r="L264" s="65"/>
    </row>
    <row r="265" ht="15.75" customHeight="1">
      <c r="C265" s="65"/>
      <c r="D265" s="65"/>
      <c r="E265" s="65"/>
      <c r="F265" s="65"/>
      <c r="H265" s="65"/>
      <c r="J265" s="65"/>
      <c r="K265" s="65"/>
      <c r="L265" s="65"/>
    </row>
    <row r="266" ht="15.75" customHeight="1">
      <c r="C266" s="65"/>
      <c r="D266" s="65"/>
      <c r="E266" s="65"/>
      <c r="F266" s="65"/>
      <c r="H266" s="65"/>
      <c r="J266" s="65"/>
      <c r="K266" s="65"/>
      <c r="L266" s="65"/>
    </row>
    <row r="267" ht="15.75" customHeight="1">
      <c r="C267" s="65"/>
      <c r="D267" s="65"/>
      <c r="E267" s="65"/>
      <c r="F267" s="65"/>
      <c r="H267" s="65"/>
      <c r="J267" s="65"/>
      <c r="K267" s="65"/>
      <c r="L267" s="65"/>
    </row>
    <row r="268" ht="15.75" customHeight="1">
      <c r="C268" s="65"/>
      <c r="D268" s="65"/>
      <c r="E268" s="65"/>
      <c r="F268" s="65"/>
      <c r="H268" s="65"/>
      <c r="J268" s="65"/>
      <c r="K268" s="65"/>
      <c r="L268" s="65"/>
    </row>
    <row r="269" ht="15.75" customHeight="1">
      <c r="C269" s="65"/>
      <c r="D269" s="65"/>
      <c r="E269" s="65"/>
      <c r="F269" s="65"/>
      <c r="H269" s="65"/>
      <c r="J269" s="65"/>
      <c r="K269" s="65"/>
      <c r="L269" s="65"/>
    </row>
    <row r="270" ht="15.75" customHeight="1">
      <c r="C270" s="65"/>
      <c r="D270" s="65"/>
      <c r="E270" s="65"/>
      <c r="F270" s="65"/>
      <c r="H270" s="65"/>
      <c r="J270" s="65"/>
      <c r="K270" s="65"/>
      <c r="L270" s="65"/>
    </row>
    <row r="271" ht="15.75" customHeight="1">
      <c r="C271" s="65"/>
      <c r="D271" s="65"/>
      <c r="E271" s="65"/>
      <c r="F271" s="65"/>
      <c r="H271" s="65"/>
      <c r="J271" s="65"/>
      <c r="K271" s="65"/>
      <c r="L271" s="65"/>
    </row>
    <row r="272" ht="15.75" customHeight="1">
      <c r="C272" s="65"/>
      <c r="D272" s="65"/>
      <c r="E272" s="65"/>
      <c r="F272" s="65"/>
      <c r="H272" s="65"/>
      <c r="J272" s="65"/>
      <c r="K272" s="65"/>
      <c r="L272" s="65"/>
    </row>
    <row r="273" ht="15.75" customHeight="1">
      <c r="C273" s="65"/>
      <c r="D273" s="65"/>
      <c r="E273" s="65"/>
      <c r="F273" s="65"/>
      <c r="H273" s="65"/>
      <c r="J273" s="65"/>
      <c r="K273" s="65"/>
      <c r="L273" s="65"/>
    </row>
    <row r="274" ht="15.75" customHeight="1">
      <c r="C274" s="65"/>
      <c r="D274" s="65"/>
      <c r="E274" s="65"/>
      <c r="F274" s="65"/>
      <c r="H274" s="65"/>
      <c r="J274" s="65"/>
      <c r="K274" s="65"/>
      <c r="L274" s="65"/>
    </row>
    <row r="275" ht="15.75" customHeight="1">
      <c r="C275" s="65"/>
      <c r="D275" s="65"/>
      <c r="E275" s="65"/>
      <c r="F275" s="65"/>
      <c r="H275" s="65"/>
      <c r="J275" s="65"/>
      <c r="K275" s="65"/>
      <c r="L275" s="65"/>
    </row>
    <row r="276" ht="15.75" customHeight="1">
      <c r="C276" s="65"/>
      <c r="D276" s="65"/>
      <c r="E276" s="65"/>
      <c r="F276" s="65"/>
      <c r="H276" s="65"/>
      <c r="J276" s="65"/>
      <c r="K276" s="65"/>
      <c r="L276" s="65"/>
    </row>
    <row r="277" ht="15.75" customHeight="1">
      <c r="C277" s="65"/>
      <c r="D277" s="65"/>
      <c r="E277" s="65"/>
      <c r="F277" s="65"/>
      <c r="H277" s="65"/>
      <c r="J277" s="65"/>
      <c r="K277" s="65"/>
      <c r="L277" s="65"/>
    </row>
    <row r="278" ht="15.75" customHeight="1">
      <c r="C278" s="65"/>
      <c r="D278" s="65"/>
      <c r="E278" s="65"/>
      <c r="F278" s="65"/>
      <c r="H278" s="65"/>
      <c r="J278" s="65"/>
      <c r="K278" s="65"/>
      <c r="L278" s="65"/>
    </row>
    <row r="279" ht="15.75" customHeight="1">
      <c r="C279" s="65"/>
      <c r="D279" s="65"/>
      <c r="E279" s="65"/>
      <c r="F279" s="65"/>
      <c r="H279" s="65"/>
      <c r="J279" s="65"/>
      <c r="K279" s="65"/>
      <c r="L279" s="65"/>
    </row>
    <row r="280" ht="15.75" customHeight="1">
      <c r="C280" s="65"/>
      <c r="D280" s="65"/>
      <c r="E280" s="65"/>
      <c r="F280" s="65"/>
      <c r="H280" s="65"/>
      <c r="J280" s="65"/>
      <c r="K280" s="65"/>
      <c r="L280" s="65"/>
    </row>
    <row r="281" ht="15.75" customHeight="1">
      <c r="C281" s="65"/>
      <c r="D281" s="65"/>
      <c r="E281" s="65"/>
      <c r="F281" s="65"/>
      <c r="H281" s="65"/>
      <c r="J281" s="65"/>
      <c r="K281" s="65"/>
      <c r="L281" s="65"/>
    </row>
    <row r="282" ht="15.75" customHeight="1">
      <c r="C282" s="65"/>
      <c r="D282" s="65"/>
      <c r="E282" s="65"/>
      <c r="F282" s="65"/>
      <c r="H282" s="65"/>
      <c r="J282" s="65"/>
      <c r="K282" s="65"/>
      <c r="L282" s="65"/>
    </row>
    <row r="283" ht="15.75" customHeight="1">
      <c r="C283" s="65"/>
      <c r="D283" s="65"/>
      <c r="E283" s="65"/>
      <c r="F283" s="65"/>
      <c r="H283" s="65"/>
      <c r="J283" s="65"/>
      <c r="K283" s="65"/>
      <c r="L283" s="65"/>
    </row>
    <row r="284" ht="15.75" customHeight="1">
      <c r="C284" s="65"/>
      <c r="D284" s="65"/>
      <c r="E284" s="65"/>
      <c r="F284" s="65"/>
      <c r="H284" s="65"/>
      <c r="J284" s="65"/>
      <c r="K284" s="65"/>
      <c r="L284" s="65"/>
    </row>
    <row r="285" ht="15.75" customHeight="1">
      <c r="C285" s="65"/>
      <c r="D285" s="65"/>
      <c r="E285" s="65"/>
      <c r="F285" s="65"/>
      <c r="H285" s="65"/>
      <c r="J285" s="65"/>
      <c r="K285" s="65"/>
      <c r="L285" s="65"/>
    </row>
    <row r="286" ht="15.75" customHeight="1">
      <c r="C286" s="65"/>
      <c r="D286" s="65"/>
      <c r="E286" s="65"/>
      <c r="F286" s="65"/>
      <c r="H286" s="65"/>
      <c r="J286" s="65"/>
      <c r="K286" s="65"/>
      <c r="L286" s="65"/>
    </row>
    <row r="287" ht="15.75" customHeight="1">
      <c r="C287" s="65"/>
      <c r="D287" s="65"/>
      <c r="E287" s="65"/>
      <c r="F287" s="65"/>
      <c r="H287" s="65"/>
      <c r="J287" s="65"/>
      <c r="K287" s="65"/>
      <c r="L287" s="65"/>
    </row>
    <row r="288" ht="15.75" customHeight="1">
      <c r="C288" s="65"/>
      <c r="D288" s="65"/>
      <c r="E288" s="65"/>
      <c r="F288" s="65"/>
      <c r="H288" s="65"/>
      <c r="J288" s="65"/>
      <c r="K288" s="65"/>
      <c r="L288" s="65"/>
    </row>
    <row r="289" ht="15.75" customHeight="1">
      <c r="C289" s="65"/>
      <c r="D289" s="65"/>
      <c r="E289" s="65"/>
      <c r="F289" s="65"/>
      <c r="H289" s="65"/>
      <c r="J289" s="65"/>
      <c r="K289" s="65"/>
      <c r="L289" s="65"/>
    </row>
    <row r="290" ht="15.75" customHeight="1">
      <c r="C290" s="65"/>
      <c r="D290" s="65"/>
      <c r="E290" s="65"/>
      <c r="F290" s="65"/>
      <c r="H290" s="65"/>
      <c r="J290" s="65"/>
      <c r="K290" s="65"/>
      <c r="L290" s="65"/>
    </row>
    <row r="291" ht="15.75" customHeight="1">
      <c r="C291" s="65"/>
      <c r="D291" s="65"/>
      <c r="E291" s="65"/>
      <c r="F291" s="65"/>
      <c r="H291" s="65"/>
      <c r="J291" s="65"/>
      <c r="K291" s="65"/>
      <c r="L291" s="65"/>
    </row>
    <row r="292" ht="15.75" customHeight="1">
      <c r="C292" s="65"/>
      <c r="D292" s="65"/>
      <c r="E292" s="65"/>
      <c r="F292" s="65"/>
      <c r="H292" s="65"/>
      <c r="J292" s="65"/>
      <c r="K292" s="65"/>
      <c r="L292" s="65"/>
    </row>
    <row r="293" ht="15.75" customHeight="1">
      <c r="C293" s="65"/>
      <c r="D293" s="65"/>
      <c r="E293" s="65"/>
      <c r="F293" s="65"/>
      <c r="H293" s="65"/>
      <c r="J293" s="65"/>
      <c r="K293" s="65"/>
      <c r="L293" s="65"/>
    </row>
    <row r="294" ht="15.75" customHeight="1">
      <c r="C294" s="65"/>
      <c r="D294" s="65"/>
      <c r="E294" s="65"/>
      <c r="F294" s="65"/>
      <c r="H294" s="65"/>
      <c r="J294" s="65"/>
      <c r="K294" s="65"/>
      <c r="L294" s="65"/>
    </row>
    <row r="295" ht="15.75" customHeight="1">
      <c r="C295" s="65"/>
      <c r="D295" s="65"/>
      <c r="E295" s="65"/>
      <c r="F295" s="65"/>
      <c r="H295" s="65"/>
      <c r="J295" s="65"/>
      <c r="K295" s="65"/>
      <c r="L295" s="65"/>
    </row>
    <row r="296" ht="15.75" customHeight="1">
      <c r="C296" s="65"/>
      <c r="D296" s="65"/>
      <c r="E296" s="65"/>
      <c r="F296" s="65"/>
      <c r="H296" s="65"/>
      <c r="J296" s="65"/>
      <c r="K296" s="65"/>
      <c r="L296" s="65"/>
    </row>
    <row r="297" ht="15.75" customHeight="1">
      <c r="C297" s="65"/>
      <c r="D297" s="65"/>
      <c r="E297" s="65"/>
      <c r="F297" s="65"/>
      <c r="H297" s="65"/>
      <c r="J297" s="65"/>
      <c r="K297" s="65"/>
      <c r="L297" s="65"/>
    </row>
    <row r="298" ht="15.75" customHeight="1">
      <c r="C298" s="65"/>
      <c r="D298" s="65"/>
      <c r="E298" s="65"/>
      <c r="F298" s="65"/>
      <c r="H298" s="65"/>
      <c r="J298" s="65"/>
      <c r="K298" s="65"/>
      <c r="L298" s="65"/>
    </row>
    <row r="299" ht="15.75" customHeight="1">
      <c r="C299" s="65"/>
      <c r="D299" s="65"/>
      <c r="E299" s="65"/>
      <c r="F299" s="65"/>
      <c r="H299" s="65"/>
      <c r="J299" s="65"/>
      <c r="K299" s="65"/>
      <c r="L299" s="65"/>
    </row>
    <row r="300" ht="15.75" customHeight="1">
      <c r="C300" s="65"/>
      <c r="D300" s="65"/>
      <c r="E300" s="65"/>
      <c r="F300" s="65"/>
      <c r="H300" s="65"/>
      <c r="J300" s="65"/>
      <c r="K300" s="65"/>
      <c r="L300" s="65"/>
    </row>
    <row r="301" ht="15.75" customHeight="1">
      <c r="C301" s="65"/>
      <c r="D301" s="65"/>
      <c r="E301" s="65"/>
      <c r="F301" s="65"/>
      <c r="H301" s="65"/>
      <c r="J301" s="65"/>
      <c r="K301" s="65"/>
      <c r="L301" s="65"/>
    </row>
    <row r="302" ht="15.75" customHeight="1">
      <c r="C302" s="65"/>
      <c r="D302" s="65"/>
      <c r="E302" s="65"/>
      <c r="F302" s="65"/>
      <c r="H302" s="65"/>
      <c r="J302" s="65"/>
      <c r="K302" s="65"/>
      <c r="L302" s="65"/>
    </row>
    <row r="303" ht="15.75" customHeight="1">
      <c r="C303" s="65"/>
      <c r="D303" s="65"/>
      <c r="E303" s="65"/>
      <c r="F303" s="65"/>
      <c r="H303" s="65"/>
      <c r="J303" s="65"/>
      <c r="K303" s="65"/>
      <c r="L303" s="65"/>
    </row>
    <row r="304" ht="15.75" customHeight="1">
      <c r="C304" s="65"/>
      <c r="D304" s="65"/>
      <c r="E304" s="65"/>
      <c r="F304" s="65"/>
      <c r="H304" s="65"/>
      <c r="J304" s="65"/>
      <c r="K304" s="65"/>
      <c r="L304" s="65"/>
    </row>
    <row r="305" ht="15.75" customHeight="1">
      <c r="C305" s="65"/>
      <c r="D305" s="65"/>
      <c r="E305" s="65"/>
      <c r="F305" s="65"/>
      <c r="H305" s="65"/>
      <c r="J305" s="65"/>
      <c r="K305" s="65"/>
      <c r="L305" s="65"/>
    </row>
    <row r="306" ht="15.75" customHeight="1">
      <c r="C306" s="65"/>
      <c r="D306" s="65"/>
      <c r="E306" s="65"/>
      <c r="F306" s="65"/>
      <c r="H306" s="65"/>
      <c r="J306" s="65"/>
      <c r="K306" s="65"/>
      <c r="L306" s="65"/>
    </row>
    <row r="307" ht="15.75" customHeight="1">
      <c r="C307" s="65"/>
      <c r="D307" s="65"/>
      <c r="E307" s="65"/>
      <c r="F307" s="65"/>
      <c r="H307" s="65"/>
      <c r="J307" s="65"/>
      <c r="K307" s="65"/>
      <c r="L307" s="65"/>
    </row>
    <row r="308" ht="15.75" customHeight="1">
      <c r="C308" s="65"/>
      <c r="D308" s="65"/>
      <c r="E308" s="65"/>
      <c r="F308" s="65"/>
      <c r="H308" s="65"/>
      <c r="J308" s="65"/>
      <c r="K308" s="65"/>
      <c r="L308" s="65"/>
    </row>
    <row r="309" ht="15.75" customHeight="1">
      <c r="C309" s="65"/>
      <c r="D309" s="65"/>
      <c r="E309" s="65"/>
      <c r="F309" s="65"/>
      <c r="H309" s="65"/>
      <c r="J309" s="65"/>
      <c r="K309" s="65"/>
      <c r="L309" s="65"/>
    </row>
    <row r="310" ht="15.75" customHeight="1">
      <c r="C310" s="65"/>
      <c r="D310" s="65"/>
      <c r="E310" s="65"/>
      <c r="F310" s="65"/>
      <c r="H310" s="65"/>
      <c r="J310" s="65"/>
      <c r="K310" s="65"/>
      <c r="L310" s="65"/>
    </row>
    <row r="311" ht="15.75" customHeight="1">
      <c r="C311" s="65"/>
      <c r="D311" s="65"/>
      <c r="E311" s="65"/>
      <c r="F311" s="65"/>
      <c r="H311" s="65"/>
      <c r="J311" s="65"/>
      <c r="K311" s="65"/>
      <c r="L311" s="65"/>
    </row>
    <row r="312" ht="15.75" customHeight="1">
      <c r="C312" s="65"/>
      <c r="D312" s="65"/>
      <c r="E312" s="65"/>
      <c r="F312" s="65"/>
      <c r="H312" s="65"/>
      <c r="J312" s="65"/>
      <c r="K312" s="65"/>
      <c r="L312" s="65"/>
    </row>
    <row r="313" ht="15.75" customHeight="1">
      <c r="C313" s="65"/>
      <c r="D313" s="65"/>
      <c r="E313" s="65"/>
      <c r="F313" s="65"/>
      <c r="H313" s="65"/>
      <c r="J313" s="65"/>
      <c r="K313" s="65"/>
      <c r="L313" s="65"/>
    </row>
    <row r="314" ht="15.75" customHeight="1">
      <c r="C314" s="65"/>
      <c r="D314" s="65"/>
      <c r="E314" s="65"/>
      <c r="F314" s="65"/>
      <c r="H314" s="65"/>
      <c r="J314" s="65"/>
      <c r="K314" s="65"/>
      <c r="L314" s="65"/>
    </row>
    <row r="315" ht="15.75" customHeight="1">
      <c r="C315" s="65"/>
      <c r="D315" s="65"/>
      <c r="E315" s="65"/>
      <c r="F315" s="65"/>
      <c r="H315" s="65"/>
      <c r="J315" s="65"/>
      <c r="K315" s="65"/>
      <c r="L315" s="65"/>
    </row>
    <row r="316" ht="15.75" customHeight="1">
      <c r="C316" s="65"/>
      <c r="D316" s="65"/>
      <c r="E316" s="65"/>
      <c r="F316" s="65"/>
      <c r="H316" s="65"/>
      <c r="J316" s="65"/>
      <c r="K316" s="65"/>
      <c r="L316" s="65"/>
    </row>
    <row r="317" ht="15.75" customHeight="1">
      <c r="C317" s="65"/>
      <c r="D317" s="65"/>
      <c r="E317" s="65"/>
      <c r="F317" s="65"/>
      <c r="H317" s="65"/>
      <c r="J317" s="65"/>
      <c r="K317" s="65"/>
      <c r="L317" s="65"/>
    </row>
    <row r="318" ht="15.75" customHeight="1">
      <c r="C318" s="65"/>
      <c r="D318" s="65"/>
      <c r="E318" s="65"/>
      <c r="F318" s="65"/>
      <c r="H318" s="65"/>
      <c r="J318" s="65"/>
      <c r="K318" s="65"/>
      <c r="L318" s="65"/>
    </row>
    <row r="319" ht="15.75" customHeight="1">
      <c r="C319" s="65"/>
      <c r="D319" s="65"/>
      <c r="E319" s="65"/>
      <c r="F319" s="65"/>
      <c r="H319" s="65"/>
      <c r="J319" s="65"/>
      <c r="K319" s="65"/>
      <c r="L319" s="65"/>
    </row>
    <row r="320" ht="15.75" customHeight="1">
      <c r="C320" s="65"/>
      <c r="D320" s="65"/>
      <c r="E320" s="65"/>
      <c r="F320" s="65"/>
      <c r="H320" s="65"/>
      <c r="J320" s="65"/>
      <c r="K320" s="65"/>
      <c r="L320" s="65"/>
    </row>
    <row r="321" ht="15.75" customHeight="1">
      <c r="C321" s="65"/>
      <c r="D321" s="65"/>
      <c r="E321" s="65"/>
      <c r="F321" s="65"/>
      <c r="H321" s="65"/>
      <c r="J321" s="65"/>
      <c r="K321" s="65"/>
      <c r="L321" s="65"/>
    </row>
    <row r="322" ht="15.75" customHeight="1">
      <c r="C322" s="65"/>
      <c r="D322" s="65"/>
      <c r="E322" s="65"/>
      <c r="F322" s="65"/>
      <c r="H322" s="65"/>
      <c r="J322" s="65"/>
      <c r="K322" s="65"/>
      <c r="L322" s="65"/>
    </row>
    <row r="323" ht="15.75" customHeight="1">
      <c r="C323" s="65"/>
      <c r="D323" s="65"/>
      <c r="E323" s="65"/>
      <c r="F323" s="65"/>
      <c r="H323" s="65"/>
      <c r="J323" s="65"/>
      <c r="K323" s="65"/>
      <c r="L323" s="65"/>
    </row>
    <row r="324" ht="15.75" customHeight="1">
      <c r="C324" s="65"/>
      <c r="D324" s="65"/>
      <c r="E324" s="65"/>
      <c r="F324" s="65"/>
      <c r="H324" s="65"/>
      <c r="J324" s="65"/>
      <c r="K324" s="65"/>
      <c r="L324" s="65"/>
    </row>
    <row r="325" ht="15.75" customHeight="1">
      <c r="C325" s="65"/>
      <c r="D325" s="65"/>
      <c r="E325" s="65"/>
      <c r="F325" s="65"/>
      <c r="H325" s="65"/>
      <c r="J325" s="65"/>
      <c r="K325" s="65"/>
      <c r="L325" s="65"/>
    </row>
    <row r="326" ht="15.75" customHeight="1">
      <c r="C326" s="65"/>
      <c r="D326" s="65"/>
      <c r="E326" s="65"/>
      <c r="F326" s="65"/>
      <c r="H326" s="65"/>
      <c r="J326" s="65"/>
      <c r="K326" s="65"/>
      <c r="L326" s="65"/>
    </row>
    <row r="327" ht="15.75" customHeight="1">
      <c r="C327" s="65"/>
      <c r="D327" s="65"/>
      <c r="E327" s="65"/>
      <c r="F327" s="65"/>
      <c r="H327" s="65"/>
      <c r="J327" s="65"/>
      <c r="K327" s="65"/>
      <c r="L327" s="65"/>
    </row>
    <row r="328" ht="15.75" customHeight="1">
      <c r="C328" s="65"/>
      <c r="D328" s="65"/>
      <c r="E328" s="65"/>
      <c r="F328" s="65"/>
      <c r="H328" s="65"/>
      <c r="J328" s="65"/>
      <c r="K328" s="65"/>
      <c r="L328" s="65"/>
    </row>
    <row r="329" ht="15.75" customHeight="1">
      <c r="C329" s="65"/>
      <c r="D329" s="65"/>
      <c r="E329" s="65"/>
      <c r="F329" s="65"/>
      <c r="H329" s="65"/>
      <c r="J329" s="65"/>
      <c r="K329" s="65"/>
      <c r="L329" s="65"/>
    </row>
    <row r="330" ht="15.75" customHeight="1">
      <c r="C330" s="65"/>
      <c r="D330" s="65"/>
      <c r="E330" s="65"/>
      <c r="F330" s="65"/>
      <c r="H330" s="65"/>
      <c r="J330" s="65"/>
      <c r="K330" s="65"/>
      <c r="L330" s="65"/>
    </row>
    <row r="331" ht="15.75" customHeight="1">
      <c r="C331" s="65"/>
      <c r="D331" s="65"/>
      <c r="E331" s="65"/>
      <c r="F331" s="65"/>
      <c r="H331" s="65"/>
      <c r="J331" s="65"/>
      <c r="K331" s="65"/>
      <c r="L331" s="65"/>
    </row>
    <row r="332" ht="15.75" customHeight="1">
      <c r="C332" s="65"/>
      <c r="D332" s="65"/>
      <c r="E332" s="65"/>
      <c r="F332" s="65"/>
      <c r="H332" s="65"/>
      <c r="J332" s="65"/>
      <c r="K332" s="65"/>
      <c r="L332" s="65"/>
    </row>
    <row r="333" ht="15.75" customHeight="1">
      <c r="C333" s="65"/>
      <c r="D333" s="65"/>
      <c r="E333" s="65"/>
      <c r="F333" s="65"/>
      <c r="H333" s="65"/>
      <c r="J333" s="65"/>
      <c r="K333" s="65"/>
      <c r="L333" s="65"/>
    </row>
    <row r="334" ht="15.75" customHeight="1">
      <c r="C334" s="65"/>
      <c r="D334" s="65"/>
      <c r="E334" s="65"/>
      <c r="F334" s="65"/>
      <c r="H334" s="65"/>
      <c r="J334" s="65"/>
      <c r="K334" s="65"/>
      <c r="L334" s="65"/>
    </row>
    <row r="335" ht="15.75" customHeight="1">
      <c r="C335" s="65"/>
      <c r="D335" s="65"/>
      <c r="E335" s="65"/>
      <c r="F335" s="65"/>
      <c r="H335" s="65"/>
      <c r="J335" s="65"/>
      <c r="K335" s="65"/>
      <c r="L335" s="65"/>
    </row>
    <row r="336" ht="15.75" customHeight="1">
      <c r="C336" s="65"/>
      <c r="D336" s="65"/>
      <c r="E336" s="65"/>
      <c r="F336" s="65"/>
      <c r="H336" s="65"/>
      <c r="J336" s="65"/>
      <c r="K336" s="65"/>
      <c r="L336" s="65"/>
    </row>
    <row r="337" ht="15.75" customHeight="1">
      <c r="C337" s="65"/>
      <c r="D337" s="65"/>
      <c r="E337" s="65"/>
      <c r="F337" s="65"/>
      <c r="H337" s="65"/>
      <c r="J337" s="65"/>
      <c r="K337" s="65"/>
      <c r="L337" s="65"/>
    </row>
    <row r="338" ht="15.75" customHeight="1">
      <c r="C338" s="65"/>
      <c r="D338" s="65"/>
      <c r="E338" s="65"/>
      <c r="F338" s="65"/>
      <c r="H338" s="65"/>
      <c r="J338" s="65"/>
      <c r="K338" s="65"/>
      <c r="L338" s="65"/>
    </row>
    <row r="339" ht="15.75" customHeight="1">
      <c r="C339" s="65"/>
      <c r="D339" s="65"/>
      <c r="E339" s="65"/>
      <c r="F339" s="65"/>
      <c r="H339" s="65"/>
      <c r="J339" s="65"/>
      <c r="K339" s="65"/>
      <c r="L339" s="65"/>
    </row>
    <row r="340" ht="15.75" customHeight="1">
      <c r="C340" s="65"/>
      <c r="D340" s="65"/>
      <c r="E340" s="65"/>
      <c r="F340" s="65"/>
      <c r="H340" s="65"/>
      <c r="J340" s="65"/>
      <c r="K340" s="65"/>
      <c r="L340" s="65"/>
    </row>
    <row r="341" ht="15.75" customHeight="1">
      <c r="C341" s="65"/>
      <c r="D341" s="65"/>
      <c r="E341" s="65"/>
      <c r="F341" s="65"/>
      <c r="H341" s="65"/>
      <c r="J341" s="65"/>
      <c r="K341" s="65"/>
      <c r="L341" s="65"/>
    </row>
    <row r="342" ht="15.75" customHeight="1">
      <c r="C342" s="65"/>
      <c r="D342" s="65"/>
      <c r="E342" s="65"/>
      <c r="F342" s="65"/>
      <c r="H342" s="65"/>
      <c r="J342" s="65"/>
      <c r="K342" s="65"/>
      <c r="L342" s="65"/>
    </row>
    <row r="343" ht="15.75" customHeight="1">
      <c r="C343" s="65"/>
      <c r="D343" s="65"/>
      <c r="E343" s="65"/>
      <c r="F343" s="65"/>
      <c r="H343" s="65"/>
      <c r="J343" s="65"/>
      <c r="K343" s="65"/>
      <c r="L343" s="65"/>
    </row>
    <row r="344" ht="15.75" customHeight="1">
      <c r="C344" s="65"/>
      <c r="D344" s="65"/>
      <c r="E344" s="65"/>
      <c r="F344" s="65"/>
      <c r="H344" s="65"/>
      <c r="J344" s="65"/>
      <c r="K344" s="65"/>
      <c r="L344" s="65"/>
    </row>
    <row r="345" ht="15.75" customHeight="1">
      <c r="C345" s="65"/>
      <c r="D345" s="65"/>
      <c r="E345" s="65"/>
      <c r="F345" s="65"/>
      <c r="H345" s="65"/>
      <c r="J345" s="65"/>
      <c r="K345" s="65"/>
      <c r="L345" s="65"/>
    </row>
    <row r="346" ht="15.75" customHeight="1">
      <c r="C346" s="65"/>
      <c r="D346" s="65"/>
      <c r="E346" s="65"/>
      <c r="F346" s="65"/>
      <c r="H346" s="65"/>
      <c r="J346" s="65"/>
      <c r="K346" s="65"/>
      <c r="L346" s="65"/>
    </row>
    <row r="347" ht="15.75" customHeight="1">
      <c r="C347" s="65"/>
      <c r="D347" s="65"/>
      <c r="E347" s="65"/>
      <c r="F347" s="65"/>
      <c r="H347" s="65"/>
      <c r="J347" s="65"/>
      <c r="K347" s="65"/>
      <c r="L347" s="65"/>
    </row>
    <row r="348" ht="15.75" customHeight="1">
      <c r="C348" s="65"/>
      <c r="D348" s="65"/>
      <c r="E348" s="65"/>
      <c r="F348" s="65"/>
      <c r="H348" s="65"/>
      <c r="J348" s="65"/>
      <c r="K348" s="65"/>
      <c r="L348" s="65"/>
    </row>
    <row r="349" ht="15.75" customHeight="1">
      <c r="C349" s="65"/>
      <c r="D349" s="65"/>
      <c r="E349" s="65"/>
      <c r="F349" s="65"/>
      <c r="H349" s="65"/>
      <c r="J349" s="65"/>
      <c r="K349" s="65"/>
      <c r="L349" s="65"/>
    </row>
    <row r="350" ht="15.75" customHeight="1">
      <c r="C350" s="65"/>
      <c r="D350" s="65"/>
      <c r="E350" s="65"/>
      <c r="F350" s="65"/>
      <c r="H350" s="65"/>
      <c r="J350" s="65"/>
      <c r="K350" s="65"/>
      <c r="L350" s="65"/>
    </row>
    <row r="351" ht="15.75" customHeight="1">
      <c r="C351" s="65"/>
      <c r="D351" s="65"/>
      <c r="E351" s="65"/>
      <c r="F351" s="65"/>
      <c r="H351" s="65"/>
      <c r="J351" s="65"/>
      <c r="K351" s="65"/>
      <c r="L351" s="65"/>
    </row>
    <row r="352" ht="15.75" customHeight="1">
      <c r="C352" s="65"/>
      <c r="D352" s="65"/>
      <c r="E352" s="65"/>
      <c r="F352" s="65"/>
      <c r="H352" s="65"/>
      <c r="J352" s="65"/>
      <c r="K352" s="65"/>
      <c r="L352" s="65"/>
    </row>
    <row r="353" ht="15.75" customHeight="1">
      <c r="C353" s="65"/>
      <c r="D353" s="65"/>
      <c r="E353" s="65"/>
      <c r="F353" s="65"/>
      <c r="H353" s="65"/>
      <c r="J353" s="65"/>
      <c r="K353" s="65"/>
      <c r="L353" s="65"/>
    </row>
    <row r="354" ht="15.75" customHeight="1">
      <c r="C354" s="65"/>
      <c r="D354" s="65"/>
      <c r="E354" s="65"/>
      <c r="F354" s="65"/>
      <c r="H354" s="65"/>
      <c r="J354" s="65"/>
      <c r="K354" s="65"/>
      <c r="L354" s="65"/>
    </row>
    <row r="355" ht="15.75" customHeight="1">
      <c r="C355" s="65"/>
      <c r="D355" s="65"/>
      <c r="E355" s="65"/>
      <c r="F355" s="65"/>
      <c r="H355" s="65"/>
      <c r="J355" s="65"/>
      <c r="K355" s="65"/>
      <c r="L355" s="65"/>
    </row>
    <row r="356" ht="15.75" customHeight="1">
      <c r="C356" s="65"/>
      <c r="D356" s="65"/>
      <c r="E356" s="65"/>
      <c r="F356" s="65"/>
      <c r="H356" s="65"/>
      <c r="J356" s="65"/>
      <c r="K356" s="65"/>
      <c r="L356" s="65"/>
    </row>
    <row r="357" ht="15.75" customHeight="1">
      <c r="C357" s="65"/>
      <c r="D357" s="65"/>
      <c r="E357" s="65"/>
      <c r="F357" s="65"/>
      <c r="H357" s="65"/>
      <c r="J357" s="65"/>
      <c r="K357" s="65"/>
      <c r="L357" s="65"/>
    </row>
    <row r="358" ht="15.75" customHeight="1">
      <c r="C358" s="65"/>
      <c r="D358" s="65"/>
      <c r="E358" s="65"/>
      <c r="F358" s="65"/>
      <c r="H358" s="65"/>
      <c r="J358" s="65"/>
      <c r="K358" s="65"/>
      <c r="L358" s="65"/>
    </row>
    <row r="359" ht="15.75" customHeight="1">
      <c r="C359" s="65"/>
      <c r="D359" s="65"/>
      <c r="E359" s="65"/>
      <c r="F359" s="65"/>
      <c r="H359" s="65"/>
      <c r="J359" s="65"/>
      <c r="K359" s="65"/>
      <c r="L359" s="65"/>
    </row>
    <row r="360" ht="15.75" customHeight="1">
      <c r="C360" s="65"/>
      <c r="D360" s="65"/>
      <c r="E360" s="65"/>
      <c r="F360" s="65"/>
      <c r="H360" s="65"/>
      <c r="J360" s="65"/>
      <c r="K360" s="65"/>
      <c r="L360" s="65"/>
    </row>
    <row r="361" ht="15.75" customHeight="1">
      <c r="C361" s="65"/>
      <c r="D361" s="65"/>
      <c r="E361" s="65"/>
      <c r="F361" s="65"/>
      <c r="H361" s="65"/>
      <c r="J361" s="65"/>
      <c r="K361" s="65"/>
      <c r="L361" s="65"/>
    </row>
    <row r="362" ht="15.75" customHeight="1">
      <c r="C362" s="65"/>
      <c r="D362" s="65"/>
      <c r="E362" s="65"/>
      <c r="F362" s="65"/>
      <c r="H362" s="65"/>
      <c r="J362" s="65"/>
      <c r="K362" s="65"/>
      <c r="L362" s="65"/>
    </row>
    <row r="363" ht="15.75" customHeight="1">
      <c r="C363" s="65"/>
      <c r="D363" s="65"/>
      <c r="E363" s="65"/>
      <c r="F363" s="65"/>
      <c r="H363" s="65"/>
      <c r="J363" s="65"/>
      <c r="K363" s="65"/>
      <c r="L363" s="65"/>
    </row>
    <row r="364" ht="15.75" customHeight="1">
      <c r="C364" s="65"/>
      <c r="D364" s="65"/>
      <c r="E364" s="65"/>
      <c r="F364" s="65"/>
      <c r="H364" s="65"/>
      <c r="J364" s="65"/>
      <c r="K364" s="65"/>
      <c r="L364" s="65"/>
    </row>
    <row r="365" ht="15.75" customHeight="1">
      <c r="C365" s="65"/>
      <c r="D365" s="65"/>
      <c r="E365" s="65"/>
      <c r="F365" s="65"/>
      <c r="H365" s="65"/>
      <c r="J365" s="65"/>
      <c r="K365" s="65"/>
      <c r="L365" s="65"/>
    </row>
    <row r="366" ht="15.75" customHeight="1">
      <c r="C366" s="65"/>
      <c r="D366" s="65"/>
      <c r="E366" s="65"/>
      <c r="F366" s="65"/>
      <c r="H366" s="65"/>
      <c r="J366" s="65"/>
      <c r="K366" s="65"/>
      <c r="L366" s="65"/>
    </row>
    <row r="367" ht="15.75" customHeight="1">
      <c r="C367" s="65"/>
      <c r="D367" s="65"/>
      <c r="E367" s="65"/>
      <c r="F367" s="65"/>
      <c r="H367" s="65"/>
      <c r="J367" s="65"/>
      <c r="K367" s="65"/>
      <c r="L367" s="65"/>
    </row>
    <row r="368" ht="15.75" customHeight="1">
      <c r="C368" s="65"/>
      <c r="D368" s="65"/>
      <c r="E368" s="65"/>
      <c r="F368" s="65"/>
      <c r="H368" s="65"/>
      <c r="J368" s="65"/>
      <c r="K368" s="65"/>
      <c r="L368" s="65"/>
    </row>
    <row r="369" ht="15.75" customHeight="1">
      <c r="C369" s="65"/>
      <c r="D369" s="65"/>
      <c r="E369" s="65"/>
      <c r="F369" s="65"/>
      <c r="H369" s="65"/>
      <c r="J369" s="65"/>
      <c r="K369" s="65"/>
      <c r="L369" s="65"/>
    </row>
    <row r="370" ht="15.75" customHeight="1">
      <c r="C370" s="65"/>
      <c r="D370" s="65"/>
      <c r="E370" s="65"/>
      <c r="F370" s="65"/>
      <c r="H370" s="65"/>
      <c r="J370" s="65"/>
      <c r="K370" s="65"/>
      <c r="L370" s="65"/>
    </row>
    <row r="371" ht="15.75" customHeight="1">
      <c r="C371" s="65"/>
      <c r="D371" s="65"/>
      <c r="E371" s="65"/>
      <c r="F371" s="65"/>
      <c r="H371" s="65"/>
      <c r="J371" s="65"/>
      <c r="K371" s="65"/>
      <c r="L371" s="65"/>
    </row>
    <row r="372" ht="15.75" customHeight="1">
      <c r="C372" s="65"/>
      <c r="D372" s="65"/>
      <c r="E372" s="65"/>
      <c r="F372" s="65"/>
      <c r="H372" s="65"/>
      <c r="J372" s="65"/>
      <c r="K372" s="65"/>
      <c r="L372" s="65"/>
    </row>
    <row r="373" ht="15.75" customHeight="1">
      <c r="C373" s="65"/>
      <c r="D373" s="65"/>
      <c r="E373" s="65"/>
      <c r="F373" s="65"/>
      <c r="H373" s="65"/>
      <c r="J373" s="65"/>
      <c r="K373" s="65"/>
      <c r="L373" s="65"/>
    </row>
    <row r="374" ht="15.75" customHeight="1">
      <c r="C374" s="65"/>
      <c r="D374" s="65"/>
      <c r="E374" s="65"/>
      <c r="F374" s="65"/>
      <c r="H374" s="65"/>
      <c r="J374" s="65"/>
      <c r="K374" s="65"/>
      <c r="L374" s="65"/>
    </row>
    <row r="375" ht="15.75" customHeight="1">
      <c r="C375" s="65"/>
      <c r="D375" s="65"/>
      <c r="E375" s="65"/>
      <c r="F375" s="65"/>
      <c r="H375" s="65"/>
      <c r="J375" s="65"/>
      <c r="K375" s="65"/>
      <c r="L375" s="65"/>
    </row>
    <row r="376" ht="15.75" customHeight="1">
      <c r="C376" s="65"/>
      <c r="D376" s="65"/>
      <c r="E376" s="65"/>
      <c r="F376" s="65"/>
      <c r="H376" s="65"/>
      <c r="J376" s="65"/>
      <c r="K376" s="65"/>
      <c r="L376" s="65"/>
    </row>
    <row r="377" ht="15.75" customHeight="1">
      <c r="C377" s="65"/>
      <c r="D377" s="65"/>
      <c r="E377" s="65"/>
      <c r="F377" s="65"/>
      <c r="H377" s="65"/>
      <c r="J377" s="65"/>
      <c r="K377" s="65"/>
      <c r="L377" s="65"/>
    </row>
    <row r="378" ht="15.75" customHeight="1">
      <c r="C378" s="65"/>
      <c r="D378" s="65"/>
      <c r="E378" s="65"/>
      <c r="F378" s="65"/>
      <c r="H378" s="65"/>
      <c r="J378" s="65"/>
      <c r="K378" s="65"/>
      <c r="L378" s="65"/>
    </row>
    <row r="379" ht="15.75" customHeight="1">
      <c r="C379" s="65"/>
      <c r="D379" s="65"/>
      <c r="E379" s="65"/>
      <c r="F379" s="65"/>
      <c r="H379" s="65"/>
      <c r="J379" s="65"/>
      <c r="K379" s="65"/>
      <c r="L379" s="65"/>
    </row>
    <row r="380" ht="15.75" customHeight="1">
      <c r="C380" s="65"/>
      <c r="D380" s="65"/>
      <c r="E380" s="65"/>
      <c r="F380" s="65"/>
      <c r="H380" s="65"/>
      <c r="J380" s="65"/>
      <c r="K380" s="65"/>
      <c r="L380" s="65"/>
    </row>
    <row r="381" ht="15.75" customHeight="1">
      <c r="C381" s="65"/>
      <c r="D381" s="65"/>
      <c r="E381" s="65"/>
      <c r="F381" s="65"/>
      <c r="H381" s="65"/>
      <c r="J381" s="65"/>
      <c r="K381" s="65"/>
      <c r="L381" s="65"/>
    </row>
    <row r="382" ht="15.75" customHeight="1">
      <c r="C382" s="65"/>
      <c r="D382" s="65"/>
      <c r="E382" s="65"/>
      <c r="F382" s="65"/>
      <c r="H382" s="65"/>
      <c r="J382" s="65"/>
      <c r="K382" s="65"/>
      <c r="L382" s="65"/>
    </row>
    <row r="383" ht="15.75" customHeight="1">
      <c r="C383" s="65"/>
      <c r="D383" s="65"/>
      <c r="E383" s="65"/>
      <c r="F383" s="65"/>
      <c r="H383" s="65"/>
      <c r="J383" s="65"/>
      <c r="K383" s="65"/>
      <c r="L383" s="65"/>
    </row>
    <row r="384" ht="15.75" customHeight="1">
      <c r="C384" s="65"/>
      <c r="D384" s="65"/>
      <c r="E384" s="65"/>
      <c r="F384" s="65"/>
      <c r="H384" s="65"/>
      <c r="J384" s="65"/>
      <c r="K384" s="65"/>
      <c r="L384" s="65"/>
    </row>
    <row r="385" ht="15.75" customHeight="1">
      <c r="C385" s="65"/>
      <c r="D385" s="65"/>
      <c r="E385" s="65"/>
      <c r="F385" s="65"/>
      <c r="H385" s="65"/>
      <c r="J385" s="65"/>
      <c r="K385" s="65"/>
      <c r="L385" s="65"/>
    </row>
    <row r="386" ht="15.75" customHeight="1">
      <c r="C386" s="65"/>
      <c r="D386" s="65"/>
      <c r="E386" s="65"/>
      <c r="F386" s="65"/>
      <c r="H386" s="65"/>
      <c r="J386" s="65"/>
      <c r="K386" s="65"/>
      <c r="L386" s="65"/>
    </row>
    <row r="387" ht="15.75" customHeight="1">
      <c r="C387" s="65"/>
      <c r="D387" s="65"/>
      <c r="E387" s="65"/>
      <c r="F387" s="65"/>
      <c r="H387" s="65"/>
      <c r="J387" s="65"/>
      <c r="K387" s="65"/>
      <c r="L387" s="65"/>
    </row>
    <row r="388" ht="15.75" customHeight="1">
      <c r="C388" s="65"/>
      <c r="D388" s="65"/>
      <c r="E388" s="65"/>
      <c r="F388" s="65"/>
      <c r="H388" s="65"/>
      <c r="J388" s="65"/>
      <c r="K388" s="65"/>
      <c r="L388" s="65"/>
    </row>
    <row r="389" ht="15.75" customHeight="1">
      <c r="C389" s="65"/>
      <c r="D389" s="65"/>
      <c r="E389" s="65"/>
      <c r="F389" s="65"/>
      <c r="H389" s="65"/>
      <c r="J389" s="65"/>
      <c r="K389" s="65"/>
      <c r="L389" s="65"/>
    </row>
    <row r="390" ht="15.75" customHeight="1">
      <c r="C390" s="65"/>
      <c r="D390" s="65"/>
      <c r="E390" s="65"/>
      <c r="F390" s="65"/>
      <c r="H390" s="65"/>
      <c r="J390" s="65"/>
      <c r="K390" s="65"/>
      <c r="L390" s="65"/>
    </row>
    <row r="391" ht="15.75" customHeight="1">
      <c r="C391" s="65"/>
      <c r="D391" s="65"/>
      <c r="E391" s="65"/>
      <c r="F391" s="65"/>
      <c r="H391" s="65"/>
      <c r="J391" s="65"/>
      <c r="K391" s="65"/>
      <c r="L391" s="65"/>
    </row>
    <row r="392" ht="15.75" customHeight="1">
      <c r="C392" s="65"/>
      <c r="D392" s="65"/>
      <c r="E392" s="65"/>
      <c r="F392" s="65"/>
      <c r="H392" s="65"/>
      <c r="J392" s="65"/>
      <c r="K392" s="65"/>
      <c r="L392" s="65"/>
    </row>
    <row r="393" ht="15.75" customHeight="1">
      <c r="C393" s="65"/>
      <c r="D393" s="65"/>
      <c r="E393" s="65"/>
      <c r="F393" s="65"/>
      <c r="H393" s="65"/>
      <c r="J393" s="65"/>
      <c r="K393" s="65"/>
      <c r="L393" s="65"/>
    </row>
    <row r="394" ht="15.75" customHeight="1">
      <c r="C394" s="65"/>
      <c r="D394" s="65"/>
      <c r="E394" s="65"/>
      <c r="F394" s="65"/>
      <c r="H394" s="65"/>
      <c r="J394" s="65"/>
      <c r="K394" s="65"/>
      <c r="L394" s="65"/>
    </row>
    <row r="395" ht="15.75" customHeight="1">
      <c r="C395" s="65"/>
      <c r="D395" s="65"/>
      <c r="E395" s="65"/>
      <c r="F395" s="65"/>
      <c r="H395" s="65"/>
      <c r="J395" s="65"/>
      <c r="K395" s="65"/>
      <c r="L395" s="65"/>
    </row>
    <row r="396" ht="15.75" customHeight="1">
      <c r="C396" s="65"/>
      <c r="D396" s="65"/>
      <c r="E396" s="65"/>
      <c r="F396" s="65"/>
      <c r="H396" s="65"/>
      <c r="J396" s="65"/>
      <c r="K396" s="65"/>
      <c r="L396" s="65"/>
    </row>
    <row r="397" ht="15.75" customHeight="1">
      <c r="C397" s="65"/>
      <c r="D397" s="65"/>
      <c r="E397" s="65"/>
      <c r="F397" s="65"/>
      <c r="H397" s="65"/>
      <c r="J397" s="65"/>
      <c r="K397" s="65"/>
      <c r="L397" s="65"/>
    </row>
    <row r="398" ht="15.75" customHeight="1">
      <c r="C398" s="65"/>
      <c r="D398" s="65"/>
      <c r="E398" s="65"/>
      <c r="F398" s="65"/>
      <c r="H398" s="65"/>
      <c r="J398" s="65"/>
      <c r="K398" s="65"/>
      <c r="L398" s="65"/>
    </row>
    <row r="399" ht="15.75" customHeight="1">
      <c r="C399" s="65"/>
      <c r="D399" s="65"/>
      <c r="E399" s="65"/>
      <c r="F399" s="65"/>
      <c r="H399" s="65"/>
      <c r="J399" s="65"/>
      <c r="K399" s="65"/>
      <c r="L399" s="65"/>
    </row>
    <row r="400" ht="15.75" customHeight="1">
      <c r="C400" s="65"/>
      <c r="D400" s="65"/>
      <c r="E400" s="65"/>
      <c r="F400" s="65"/>
      <c r="H400" s="65"/>
      <c r="J400" s="65"/>
      <c r="K400" s="65"/>
      <c r="L400" s="65"/>
    </row>
    <row r="401" ht="15.75" customHeight="1">
      <c r="C401" s="65"/>
      <c r="D401" s="65"/>
      <c r="E401" s="65"/>
      <c r="F401" s="65"/>
      <c r="H401" s="65"/>
      <c r="J401" s="65"/>
      <c r="K401" s="65"/>
      <c r="L401" s="65"/>
    </row>
    <row r="402" ht="15.75" customHeight="1">
      <c r="C402" s="65"/>
      <c r="D402" s="65"/>
      <c r="E402" s="65"/>
      <c r="F402" s="65"/>
      <c r="H402" s="65"/>
      <c r="J402" s="65"/>
      <c r="K402" s="65"/>
      <c r="L402" s="65"/>
    </row>
    <row r="403" ht="15.75" customHeight="1">
      <c r="C403" s="65"/>
      <c r="D403" s="65"/>
      <c r="E403" s="65"/>
      <c r="F403" s="65"/>
      <c r="H403" s="65"/>
      <c r="J403" s="65"/>
      <c r="K403" s="65"/>
      <c r="L403" s="65"/>
    </row>
    <row r="404" ht="15.75" customHeight="1">
      <c r="C404" s="65"/>
      <c r="D404" s="65"/>
      <c r="E404" s="65"/>
      <c r="F404" s="65"/>
      <c r="H404" s="65"/>
      <c r="J404" s="65"/>
      <c r="K404" s="65"/>
      <c r="L404" s="65"/>
    </row>
    <row r="405" ht="15.75" customHeight="1">
      <c r="C405" s="65"/>
      <c r="D405" s="65"/>
      <c r="E405" s="65"/>
      <c r="F405" s="65"/>
      <c r="H405" s="65"/>
      <c r="J405" s="65"/>
      <c r="K405" s="65"/>
      <c r="L405" s="65"/>
    </row>
    <row r="406" ht="15.75" customHeight="1">
      <c r="C406" s="65"/>
      <c r="D406" s="65"/>
      <c r="E406" s="65"/>
      <c r="F406" s="65"/>
      <c r="H406" s="65"/>
      <c r="J406" s="65"/>
      <c r="K406" s="65"/>
      <c r="L406" s="65"/>
    </row>
    <row r="407" ht="15.75" customHeight="1">
      <c r="C407" s="65"/>
      <c r="D407" s="65"/>
      <c r="E407" s="65"/>
      <c r="F407" s="65"/>
      <c r="H407" s="65"/>
      <c r="J407" s="65"/>
      <c r="K407" s="65"/>
      <c r="L407" s="65"/>
    </row>
    <row r="408" ht="15.75" customHeight="1">
      <c r="C408" s="65"/>
      <c r="D408" s="65"/>
      <c r="E408" s="65"/>
      <c r="F408" s="65"/>
      <c r="H408" s="65"/>
      <c r="J408" s="65"/>
      <c r="K408" s="65"/>
      <c r="L408" s="65"/>
    </row>
    <row r="409" ht="15.75" customHeight="1">
      <c r="C409" s="65"/>
      <c r="D409" s="65"/>
      <c r="E409" s="65"/>
      <c r="F409" s="65"/>
      <c r="H409" s="65"/>
      <c r="J409" s="65"/>
      <c r="K409" s="65"/>
      <c r="L409" s="65"/>
    </row>
    <row r="410" ht="15.75" customHeight="1">
      <c r="C410" s="65"/>
      <c r="D410" s="65"/>
      <c r="E410" s="65"/>
      <c r="F410" s="65"/>
      <c r="H410" s="65"/>
      <c r="J410" s="65"/>
      <c r="K410" s="65"/>
      <c r="L410" s="65"/>
    </row>
    <row r="411" ht="15.75" customHeight="1">
      <c r="C411" s="65"/>
      <c r="D411" s="65"/>
      <c r="E411" s="65"/>
      <c r="F411" s="65"/>
      <c r="H411" s="65"/>
      <c r="J411" s="65"/>
      <c r="K411" s="65"/>
      <c r="L411" s="65"/>
    </row>
    <row r="412" ht="15.75" customHeight="1">
      <c r="C412" s="65"/>
      <c r="D412" s="65"/>
      <c r="E412" s="65"/>
      <c r="F412" s="65"/>
      <c r="H412" s="65"/>
      <c r="J412" s="65"/>
      <c r="K412" s="65"/>
      <c r="L412" s="65"/>
    </row>
    <row r="413" ht="15.75" customHeight="1">
      <c r="C413" s="65"/>
      <c r="D413" s="65"/>
      <c r="E413" s="65"/>
      <c r="F413" s="65"/>
      <c r="H413" s="65"/>
      <c r="J413" s="65"/>
      <c r="K413" s="65"/>
      <c r="L413" s="65"/>
    </row>
    <row r="414" ht="15.75" customHeight="1">
      <c r="C414" s="65"/>
      <c r="D414" s="65"/>
      <c r="E414" s="65"/>
      <c r="F414" s="65"/>
      <c r="H414" s="65"/>
      <c r="J414" s="65"/>
      <c r="K414" s="65"/>
      <c r="L414" s="65"/>
    </row>
    <row r="415" ht="15.75" customHeight="1">
      <c r="C415" s="65"/>
      <c r="D415" s="65"/>
      <c r="E415" s="65"/>
      <c r="F415" s="65"/>
      <c r="H415" s="65"/>
      <c r="J415" s="65"/>
      <c r="K415" s="65"/>
      <c r="L415" s="65"/>
    </row>
    <row r="416" ht="15.75" customHeight="1">
      <c r="C416" s="65"/>
      <c r="D416" s="65"/>
      <c r="E416" s="65"/>
      <c r="F416" s="65"/>
      <c r="H416" s="65"/>
      <c r="J416" s="65"/>
      <c r="K416" s="65"/>
      <c r="L416" s="65"/>
    </row>
    <row r="417" ht="15.75" customHeight="1">
      <c r="C417" s="65"/>
      <c r="D417" s="65"/>
      <c r="E417" s="65"/>
      <c r="F417" s="65"/>
      <c r="H417" s="65"/>
      <c r="J417" s="65"/>
      <c r="K417" s="65"/>
      <c r="L417" s="65"/>
    </row>
    <row r="418" ht="15.75" customHeight="1">
      <c r="C418" s="65"/>
      <c r="D418" s="65"/>
      <c r="E418" s="65"/>
      <c r="F418" s="65"/>
      <c r="H418" s="65"/>
      <c r="J418" s="65"/>
      <c r="K418" s="65"/>
      <c r="L418" s="65"/>
    </row>
    <row r="419" ht="15.75" customHeight="1">
      <c r="C419" s="65"/>
      <c r="D419" s="65"/>
      <c r="E419" s="65"/>
      <c r="F419" s="65"/>
      <c r="H419" s="65"/>
      <c r="J419" s="65"/>
      <c r="K419" s="65"/>
      <c r="L419" s="65"/>
    </row>
    <row r="420" ht="15.75" customHeight="1">
      <c r="C420" s="65"/>
      <c r="D420" s="65"/>
      <c r="E420" s="65"/>
      <c r="F420" s="65"/>
      <c r="H420" s="65"/>
      <c r="J420" s="65"/>
      <c r="K420" s="65"/>
      <c r="L420" s="65"/>
    </row>
    <row r="421" ht="15.75" customHeight="1">
      <c r="C421" s="65"/>
      <c r="D421" s="65"/>
      <c r="E421" s="65"/>
      <c r="F421" s="65"/>
      <c r="H421" s="65"/>
      <c r="J421" s="65"/>
      <c r="K421" s="65"/>
      <c r="L421" s="65"/>
    </row>
    <row r="422" ht="15.75" customHeight="1">
      <c r="C422" s="65"/>
      <c r="D422" s="65"/>
      <c r="E422" s="65"/>
      <c r="F422" s="65"/>
      <c r="H422" s="65"/>
      <c r="J422" s="65"/>
      <c r="K422" s="65"/>
      <c r="L422" s="65"/>
    </row>
    <row r="423" ht="15.75" customHeight="1">
      <c r="C423" s="65"/>
      <c r="D423" s="65"/>
      <c r="E423" s="65"/>
      <c r="F423" s="65"/>
      <c r="H423" s="65"/>
      <c r="J423" s="65"/>
      <c r="K423" s="65"/>
      <c r="L423" s="65"/>
    </row>
    <row r="424" ht="15.75" customHeight="1">
      <c r="C424" s="65"/>
      <c r="D424" s="65"/>
      <c r="E424" s="65"/>
      <c r="F424" s="65"/>
      <c r="H424" s="65"/>
      <c r="J424" s="65"/>
      <c r="K424" s="65"/>
      <c r="L424" s="65"/>
    </row>
    <row r="425" ht="15.75" customHeight="1">
      <c r="C425" s="65"/>
      <c r="D425" s="65"/>
      <c r="E425" s="65"/>
      <c r="F425" s="65"/>
      <c r="H425" s="65"/>
      <c r="J425" s="65"/>
      <c r="K425" s="65"/>
      <c r="L425" s="65"/>
    </row>
    <row r="426" ht="15.75" customHeight="1">
      <c r="C426" s="65"/>
      <c r="D426" s="65"/>
      <c r="E426" s="65"/>
      <c r="F426" s="65"/>
      <c r="H426" s="65"/>
      <c r="J426" s="65"/>
      <c r="K426" s="65"/>
      <c r="L426" s="65"/>
    </row>
    <row r="427" ht="15.75" customHeight="1">
      <c r="C427" s="65"/>
      <c r="D427" s="65"/>
      <c r="E427" s="65"/>
      <c r="F427" s="65"/>
      <c r="H427" s="65"/>
      <c r="J427" s="65"/>
      <c r="K427" s="65"/>
      <c r="L427" s="65"/>
    </row>
    <row r="428" ht="15.75" customHeight="1">
      <c r="C428" s="65"/>
      <c r="D428" s="65"/>
      <c r="E428" s="65"/>
      <c r="F428" s="65"/>
      <c r="H428" s="65"/>
      <c r="J428" s="65"/>
      <c r="K428" s="65"/>
      <c r="L428" s="65"/>
    </row>
    <row r="429" ht="15.75" customHeight="1">
      <c r="C429" s="65"/>
      <c r="D429" s="65"/>
      <c r="E429" s="65"/>
      <c r="F429" s="65"/>
      <c r="H429" s="65"/>
      <c r="J429" s="65"/>
      <c r="K429" s="65"/>
      <c r="L429" s="65"/>
    </row>
    <row r="430" ht="15.75" customHeight="1">
      <c r="C430" s="65"/>
      <c r="D430" s="65"/>
      <c r="E430" s="65"/>
      <c r="F430" s="65"/>
      <c r="H430" s="65"/>
      <c r="J430" s="65"/>
      <c r="K430" s="65"/>
      <c r="L430" s="65"/>
    </row>
    <row r="431" ht="15.75" customHeight="1">
      <c r="C431" s="65"/>
      <c r="D431" s="65"/>
      <c r="E431" s="65"/>
      <c r="F431" s="65"/>
      <c r="H431" s="65"/>
      <c r="J431" s="65"/>
      <c r="K431" s="65"/>
      <c r="L431" s="65"/>
    </row>
    <row r="432" ht="15.75" customHeight="1">
      <c r="C432" s="65"/>
      <c r="D432" s="65"/>
      <c r="E432" s="65"/>
      <c r="F432" s="65"/>
      <c r="H432" s="65"/>
      <c r="J432" s="65"/>
      <c r="K432" s="65"/>
      <c r="L432" s="65"/>
    </row>
    <row r="433" ht="15.75" customHeight="1">
      <c r="C433" s="65"/>
      <c r="D433" s="65"/>
      <c r="E433" s="65"/>
      <c r="F433" s="65"/>
      <c r="H433" s="65"/>
      <c r="J433" s="65"/>
      <c r="K433" s="65"/>
      <c r="L433" s="65"/>
    </row>
    <row r="434" ht="15.75" customHeight="1">
      <c r="C434" s="65"/>
      <c r="D434" s="65"/>
      <c r="E434" s="65"/>
      <c r="F434" s="65"/>
      <c r="H434" s="65"/>
      <c r="J434" s="65"/>
      <c r="K434" s="65"/>
      <c r="L434" s="65"/>
    </row>
    <row r="435" ht="15.75" customHeight="1">
      <c r="C435" s="65"/>
      <c r="D435" s="65"/>
      <c r="E435" s="65"/>
      <c r="F435" s="65"/>
      <c r="H435" s="65"/>
      <c r="J435" s="65"/>
      <c r="K435" s="65"/>
      <c r="L435" s="65"/>
    </row>
    <row r="436" ht="15.75" customHeight="1">
      <c r="C436" s="65"/>
      <c r="D436" s="65"/>
      <c r="E436" s="65"/>
      <c r="F436" s="65"/>
      <c r="H436" s="65"/>
      <c r="J436" s="65"/>
      <c r="K436" s="65"/>
      <c r="L436" s="65"/>
    </row>
    <row r="437" ht="15.75" customHeight="1">
      <c r="C437" s="65"/>
      <c r="D437" s="65"/>
      <c r="E437" s="65"/>
      <c r="F437" s="65"/>
      <c r="H437" s="65"/>
      <c r="J437" s="65"/>
      <c r="K437" s="65"/>
      <c r="L437" s="65"/>
    </row>
    <row r="438" ht="15.75" customHeight="1">
      <c r="C438" s="65"/>
      <c r="D438" s="65"/>
      <c r="E438" s="65"/>
      <c r="F438" s="65"/>
      <c r="H438" s="65"/>
      <c r="J438" s="65"/>
      <c r="K438" s="65"/>
      <c r="L438" s="65"/>
    </row>
    <row r="439" ht="15.75" customHeight="1">
      <c r="C439" s="65"/>
      <c r="D439" s="65"/>
      <c r="E439" s="65"/>
      <c r="F439" s="65"/>
      <c r="H439" s="65"/>
      <c r="J439" s="65"/>
      <c r="K439" s="65"/>
      <c r="L439" s="65"/>
    </row>
    <row r="440" ht="15.75" customHeight="1">
      <c r="C440" s="65"/>
      <c r="D440" s="65"/>
      <c r="E440" s="65"/>
      <c r="F440" s="65"/>
      <c r="H440" s="65"/>
      <c r="J440" s="65"/>
      <c r="K440" s="65"/>
      <c r="L440" s="65"/>
    </row>
    <row r="441" ht="15.75" customHeight="1">
      <c r="C441" s="65"/>
      <c r="D441" s="65"/>
      <c r="E441" s="65"/>
      <c r="F441" s="65"/>
      <c r="H441" s="65"/>
      <c r="J441" s="65"/>
      <c r="K441" s="65"/>
      <c r="L441" s="65"/>
    </row>
    <row r="442" ht="15.75" customHeight="1">
      <c r="C442" s="65"/>
      <c r="D442" s="65"/>
      <c r="E442" s="65"/>
      <c r="F442" s="65"/>
      <c r="H442" s="65"/>
      <c r="J442" s="65"/>
      <c r="K442" s="65"/>
      <c r="L442" s="65"/>
    </row>
    <row r="443" ht="15.75" customHeight="1">
      <c r="C443" s="65"/>
      <c r="D443" s="65"/>
      <c r="E443" s="65"/>
      <c r="F443" s="65"/>
      <c r="H443" s="65"/>
      <c r="J443" s="65"/>
      <c r="K443" s="65"/>
      <c r="L443" s="65"/>
    </row>
    <row r="444" ht="15.75" customHeight="1">
      <c r="C444" s="65"/>
      <c r="D444" s="65"/>
      <c r="E444" s="65"/>
      <c r="F444" s="65"/>
      <c r="H444" s="65"/>
      <c r="J444" s="65"/>
      <c r="K444" s="65"/>
      <c r="L444" s="65"/>
    </row>
    <row r="445" ht="15.75" customHeight="1">
      <c r="C445" s="65"/>
      <c r="D445" s="65"/>
      <c r="E445" s="65"/>
      <c r="F445" s="65"/>
      <c r="H445" s="65"/>
      <c r="J445" s="65"/>
      <c r="K445" s="65"/>
      <c r="L445" s="65"/>
    </row>
    <row r="446" ht="15.75" customHeight="1">
      <c r="C446" s="65"/>
      <c r="D446" s="65"/>
      <c r="E446" s="65"/>
      <c r="F446" s="65"/>
      <c r="H446" s="65"/>
      <c r="J446" s="65"/>
      <c r="K446" s="65"/>
      <c r="L446" s="65"/>
    </row>
    <row r="447" ht="15.75" customHeight="1">
      <c r="C447" s="65"/>
      <c r="D447" s="65"/>
      <c r="E447" s="65"/>
      <c r="F447" s="65"/>
      <c r="H447" s="65"/>
      <c r="J447" s="65"/>
      <c r="K447" s="65"/>
      <c r="L447" s="65"/>
    </row>
    <row r="448" ht="15.75" customHeight="1">
      <c r="C448" s="65"/>
      <c r="D448" s="65"/>
      <c r="E448" s="65"/>
      <c r="F448" s="65"/>
      <c r="H448" s="65"/>
      <c r="J448" s="65"/>
      <c r="K448" s="65"/>
      <c r="L448" s="65"/>
    </row>
    <row r="449" ht="15.75" customHeight="1">
      <c r="C449" s="65"/>
      <c r="D449" s="65"/>
      <c r="E449" s="65"/>
      <c r="F449" s="65"/>
      <c r="H449" s="65"/>
      <c r="J449" s="65"/>
      <c r="K449" s="65"/>
      <c r="L449" s="65"/>
    </row>
    <row r="450" ht="15.75" customHeight="1">
      <c r="C450" s="65"/>
      <c r="D450" s="65"/>
      <c r="E450" s="65"/>
      <c r="F450" s="65"/>
      <c r="H450" s="65"/>
      <c r="J450" s="65"/>
      <c r="K450" s="65"/>
      <c r="L450" s="65"/>
    </row>
    <row r="451" ht="15.75" customHeight="1">
      <c r="C451" s="65"/>
      <c r="D451" s="65"/>
      <c r="E451" s="65"/>
      <c r="F451" s="65"/>
      <c r="H451" s="65"/>
      <c r="J451" s="65"/>
      <c r="K451" s="65"/>
      <c r="L451" s="65"/>
    </row>
    <row r="452" ht="15.75" customHeight="1">
      <c r="C452" s="65"/>
      <c r="D452" s="65"/>
      <c r="E452" s="65"/>
      <c r="F452" s="65"/>
      <c r="H452" s="65"/>
      <c r="J452" s="65"/>
      <c r="K452" s="65"/>
      <c r="L452" s="65"/>
    </row>
    <row r="453" ht="15.75" customHeight="1">
      <c r="C453" s="65"/>
      <c r="D453" s="65"/>
      <c r="E453" s="65"/>
      <c r="F453" s="65"/>
      <c r="H453" s="65"/>
      <c r="J453" s="65"/>
      <c r="K453" s="65"/>
      <c r="L453" s="65"/>
    </row>
    <row r="454" ht="15.75" customHeight="1">
      <c r="C454" s="65"/>
      <c r="D454" s="65"/>
      <c r="E454" s="65"/>
      <c r="F454" s="65"/>
      <c r="H454" s="65"/>
      <c r="J454" s="65"/>
      <c r="K454" s="65"/>
      <c r="L454" s="65"/>
    </row>
    <row r="455" ht="15.75" customHeight="1">
      <c r="C455" s="65"/>
      <c r="D455" s="65"/>
      <c r="E455" s="65"/>
      <c r="F455" s="65"/>
      <c r="H455" s="65"/>
      <c r="J455" s="65"/>
      <c r="K455" s="65"/>
      <c r="L455" s="65"/>
    </row>
    <row r="456" ht="15.75" customHeight="1">
      <c r="C456" s="65"/>
      <c r="D456" s="65"/>
      <c r="E456" s="65"/>
      <c r="F456" s="65"/>
      <c r="H456" s="65"/>
      <c r="J456" s="65"/>
      <c r="K456" s="65"/>
      <c r="L456" s="65"/>
    </row>
    <row r="457" ht="15.75" customHeight="1">
      <c r="C457" s="65"/>
      <c r="D457" s="65"/>
      <c r="E457" s="65"/>
      <c r="F457" s="65"/>
      <c r="H457" s="65"/>
      <c r="J457" s="65"/>
      <c r="K457" s="65"/>
      <c r="L457" s="65"/>
    </row>
    <row r="458" ht="15.75" customHeight="1">
      <c r="C458" s="65"/>
      <c r="D458" s="65"/>
      <c r="E458" s="65"/>
      <c r="F458" s="65"/>
      <c r="H458" s="65"/>
      <c r="J458" s="65"/>
      <c r="K458" s="65"/>
      <c r="L458" s="65"/>
    </row>
    <row r="459" ht="15.75" customHeight="1">
      <c r="C459" s="65"/>
      <c r="D459" s="65"/>
      <c r="E459" s="65"/>
      <c r="F459" s="65"/>
      <c r="H459" s="65"/>
      <c r="J459" s="65"/>
      <c r="K459" s="65"/>
      <c r="L459" s="65"/>
    </row>
    <row r="460" ht="15.75" customHeight="1">
      <c r="C460" s="65"/>
      <c r="D460" s="65"/>
      <c r="E460" s="65"/>
      <c r="F460" s="65"/>
      <c r="H460" s="65"/>
      <c r="J460" s="65"/>
      <c r="K460" s="65"/>
      <c r="L460" s="65"/>
    </row>
    <row r="461" ht="15.75" customHeight="1">
      <c r="C461" s="65"/>
      <c r="D461" s="65"/>
      <c r="E461" s="65"/>
      <c r="F461" s="65"/>
      <c r="H461" s="65"/>
      <c r="J461" s="65"/>
      <c r="K461" s="65"/>
      <c r="L461" s="65"/>
    </row>
    <row r="462" ht="15.75" customHeight="1">
      <c r="C462" s="65"/>
      <c r="D462" s="65"/>
      <c r="E462" s="65"/>
      <c r="F462" s="65"/>
      <c r="H462" s="65"/>
      <c r="J462" s="65"/>
      <c r="K462" s="65"/>
      <c r="L462" s="65"/>
    </row>
    <row r="463" ht="15.75" customHeight="1">
      <c r="C463" s="65"/>
      <c r="D463" s="65"/>
      <c r="E463" s="65"/>
      <c r="F463" s="65"/>
      <c r="H463" s="65"/>
      <c r="J463" s="65"/>
      <c r="K463" s="65"/>
      <c r="L463" s="65"/>
    </row>
    <row r="464" ht="15.75" customHeight="1">
      <c r="C464" s="65"/>
      <c r="D464" s="65"/>
      <c r="E464" s="65"/>
      <c r="F464" s="65"/>
      <c r="H464" s="65"/>
      <c r="J464" s="65"/>
      <c r="K464" s="65"/>
      <c r="L464" s="65"/>
    </row>
    <row r="465" ht="15.75" customHeight="1">
      <c r="C465" s="65"/>
      <c r="D465" s="65"/>
      <c r="E465" s="65"/>
      <c r="F465" s="65"/>
      <c r="H465" s="65"/>
      <c r="J465" s="65"/>
      <c r="K465" s="65"/>
      <c r="L465" s="65"/>
    </row>
    <row r="466" ht="15.75" customHeight="1">
      <c r="C466" s="65"/>
      <c r="D466" s="65"/>
      <c r="E466" s="65"/>
      <c r="F466" s="65"/>
      <c r="H466" s="65"/>
      <c r="J466" s="65"/>
      <c r="K466" s="65"/>
      <c r="L466" s="65"/>
    </row>
    <row r="467" ht="15.75" customHeight="1">
      <c r="C467" s="65"/>
      <c r="D467" s="65"/>
      <c r="E467" s="65"/>
      <c r="F467" s="65"/>
      <c r="H467" s="65"/>
      <c r="J467" s="65"/>
      <c r="K467" s="65"/>
      <c r="L467" s="65"/>
    </row>
    <row r="468" ht="15.75" customHeight="1">
      <c r="C468" s="65"/>
      <c r="D468" s="65"/>
      <c r="E468" s="65"/>
      <c r="F468" s="65"/>
      <c r="H468" s="65"/>
      <c r="J468" s="65"/>
      <c r="K468" s="65"/>
      <c r="L468" s="65"/>
    </row>
    <row r="469" ht="15.75" customHeight="1">
      <c r="C469" s="65"/>
      <c r="D469" s="65"/>
      <c r="E469" s="65"/>
      <c r="F469" s="65"/>
      <c r="H469" s="65"/>
      <c r="J469" s="65"/>
      <c r="K469" s="65"/>
      <c r="L469" s="65"/>
    </row>
    <row r="470" ht="15.75" customHeight="1">
      <c r="C470" s="65"/>
      <c r="D470" s="65"/>
      <c r="E470" s="65"/>
      <c r="F470" s="65"/>
      <c r="H470" s="65"/>
      <c r="J470" s="65"/>
      <c r="K470" s="65"/>
      <c r="L470" s="65"/>
    </row>
    <row r="471" ht="15.75" customHeight="1">
      <c r="C471" s="65"/>
      <c r="D471" s="65"/>
      <c r="E471" s="65"/>
      <c r="F471" s="65"/>
      <c r="H471" s="65"/>
      <c r="J471" s="65"/>
      <c r="K471" s="65"/>
      <c r="L471" s="65"/>
    </row>
    <row r="472" ht="15.75" customHeight="1">
      <c r="C472" s="65"/>
      <c r="D472" s="65"/>
      <c r="E472" s="65"/>
      <c r="F472" s="65"/>
      <c r="H472" s="65"/>
      <c r="J472" s="65"/>
      <c r="K472" s="65"/>
      <c r="L472" s="65"/>
    </row>
    <row r="473" ht="15.75" customHeight="1">
      <c r="C473" s="65"/>
      <c r="D473" s="65"/>
      <c r="E473" s="65"/>
      <c r="F473" s="65"/>
      <c r="H473" s="65"/>
      <c r="J473" s="65"/>
      <c r="K473" s="65"/>
      <c r="L473" s="65"/>
    </row>
    <row r="474" ht="15.75" customHeight="1">
      <c r="C474" s="65"/>
      <c r="D474" s="65"/>
      <c r="E474" s="65"/>
      <c r="F474" s="65"/>
      <c r="H474" s="65"/>
      <c r="J474" s="65"/>
      <c r="K474" s="65"/>
      <c r="L474" s="65"/>
    </row>
    <row r="475" ht="15.75" customHeight="1">
      <c r="C475" s="65"/>
      <c r="D475" s="65"/>
      <c r="E475" s="65"/>
      <c r="F475" s="65"/>
      <c r="H475" s="65"/>
      <c r="J475" s="65"/>
      <c r="K475" s="65"/>
      <c r="L475" s="65"/>
    </row>
    <row r="476" ht="15.75" customHeight="1">
      <c r="C476" s="65"/>
      <c r="D476" s="65"/>
      <c r="E476" s="65"/>
      <c r="F476" s="65"/>
      <c r="H476" s="65"/>
      <c r="J476" s="65"/>
      <c r="K476" s="65"/>
      <c r="L476" s="65"/>
    </row>
    <row r="477" ht="15.75" customHeight="1">
      <c r="C477" s="65"/>
      <c r="D477" s="65"/>
      <c r="E477" s="65"/>
      <c r="F477" s="65"/>
      <c r="H477" s="65"/>
      <c r="J477" s="65"/>
      <c r="K477" s="65"/>
      <c r="L477" s="65"/>
    </row>
    <row r="478" ht="15.75" customHeight="1">
      <c r="C478" s="65"/>
      <c r="D478" s="65"/>
      <c r="E478" s="65"/>
      <c r="F478" s="65"/>
      <c r="H478" s="65"/>
      <c r="J478" s="65"/>
      <c r="K478" s="65"/>
      <c r="L478" s="65"/>
    </row>
    <row r="479" ht="15.75" customHeight="1">
      <c r="C479" s="65"/>
      <c r="D479" s="65"/>
      <c r="E479" s="65"/>
      <c r="F479" s="65"/>
      <c r="H479" s="65"/>
      <c r="J479" s="65"/>
      <c r="K479" s="65"/>
      <c r="L479" s="65"/>
    </row>
    <row r="480" ht="15.75" customHeight="1">
      <c r="C480" s="65"/>
      <c r="D480" s="65"/>
      <c r="E480" s="65"/>
      <c r="F480" s="65"/>
      <c r="H480" s="65"/>
      <c r="J480" s="65"/>
      <c r="K480" s="65"/>
      <c r="L480" s="65"/>
    </row>
    <row r="481" ht="15.75" customHeight="1">
      <c r="C481" s="65"/>
      <c r="D481" s="65"/>
      <c r="E481" s="65"/>
      <c r="F481" s="65"/>
      <c r="H481" s="65"/>
      <c r="J481" s="65"/>
      <c r="K481" s="65"/>
      <c r="L481" s="65"/>
    </row>
    <row r="482" ht="15.75" customHeight="1">
      <c r="C482" s="65"/>
      <c r="D482" s="65"/>
      <c r="E482" s="65"/>
      <c r="F482" s="65"/>
      <c r="H482" s="65"/>
      <c r="J482" s="65"/>
      <c r="K482" s="65"/>
      <c r="L482" s="65"/>
    </row>
    <row r="483" ht="15.75" customHeight="1">
      <c r="C483" s="65"/>
      <c r="D483" s="65"/>
      <c r="E483" s="65"/>
      <c r="F483" s="65"/>
      <c r="H483" s="65"/>
      <c r="J483" s="65"/>
      <c r="K483" s="65"/>
      <c r="L483" s="65"/>
    </row>
    <row r="484" ht="15.75" customHeight="1">
      <c r="C484" s="65"/>
      <c r="D484" s="65"/>
      <c r="E484" s="65"/>
      <c r="F484" s="65"/>
      <c r="H484" s="65"/>
      <c r="J484" s="65"/>
      <c r="K484" s="65"/>
      <c r="L484" s="65"/>
    </row>
    <row r="485" ht="15.75" customHeight="1">
      <c r="C485" s="65"/>
      <c r="D485" s="65"/>
      <c r="E485" s="65"/>
      <c r="F485" s="65"/>
      <c r="H485" s="65"/>
      <c r="J485" s="65"/>
      <c r="K485" s="65"/>
      <c r="L485" s="65"/>
    </row>
    <row r="486" ht="15.75" customHeight="1">
      <c r="C486" s="65"/>
      <c r="D486" s="65"/>
      <c r="E486" s="65"/>
      <c r="F486" s="65"/>
      <c r="H486" s="65"/>
      <c r="J486" s="65"/>
      <c r="K486" s="65"/>
      <c r="L486" s="65"/>
    </row>
    <row r="487" ht="15.75" customHeight="1">
      <c r="C487" s="65"/>
      <c r="D487" s="65"/>
      <c r="E487" s="65"/>
      <c r="F487" s="65"/>
      <c r="H487" s="65"/>
      <c r="J487" s="65"/>
      <c r="K487" s="65"/>
      <c r="L487" s="65"/>
    </row>
    <row r="488" ht="15.75" customHeight="1">
      <c r="C488" s="65"/>
      <c r="D488" s="65"/>
      <c r="E488" s="65"/>
      <c r="F488" s="65"/>
      <c r="H488" s="65"/>
      <c r="J488" s="65"/>
      <c r="K488" s="65"/>
      <c r="L488" s="65"/>
    </row>
    <row r="489" ht="15.75" customHeight="1">
      <c r="C489" s="65"/>
      <c r="D489" s="65"/>
      <c r="E489" s="65"/>
      <c r="F489" s="65"/>
      <c r="H489" s="65"/>
      <c r="J489" s="65"/>
      <c r="K489" s="65"/>
      <c r="L489" s="65"/>
    </row>
    <row r="490" ht="15.75" customHeight="1">
      <c r="C490" s="65"/>
      <c r="D490" s="65"/>
      <c r="E490" s="65"/>
      <c r="F490" s="65"/>
      <c r="H490" s="65"/>
      <c r="J490" s="65"/>
      <c r="K490" s="65"/>
      <c r="L490" s="65"/>
    </row>
    <row r="491" ht="15.75" customHeight="1">
      <c r="C491" s="65"/>
      <c r="D491" s="65"/>
      <c r="E491" s="65"/>
      <c r="F491" s="65"/>
      <c r="H491" s="65"/>
      <c r="J491" s="65"/>
      <c r="K491" s="65"/>
      <c r="L491" s="65"/>
    </row>
    <row r="492" ht="15.75" customHeight="1">
      <c r="C492" s="65"/>
      <c r="D492" s="65"/>
      <c r="E492" s="65"/>
      <c r="F492" s="65"/>
      <c r="H492" s="65"/>
      <c r="J492" s="65"/>
      <c r="K492" s="65"/>
      <c r="L492" s="65"/>
    </row>
    <row r="493" ht="15.75" customHeight="1">
      <c r="C493" s="65"/>
      <c r="D493" s="65"/>
      <c r="E493" s="65"/>
      <c r="F493" s="65"/>
      <c r="H493" s="65"/>
      <c r="J493" s="65"/>
      <c r="K493" s="65"/>
      <c r="L493" s="65"/>
    </row>
    <row r="494" ht="15.75" customHeight="1">
      <c r="C494" s="65"/>
      <c r="D494" s="65"/>
      <c r="E494" s="65"/>
      <c r="F494" s="65"/>
      <c r="H494" s="65"/>
      <c r="J494" s="65"/>
      <c r="K494" s="65"/>
      <c r="L494" s="65"/>
    </row>
    <row r="495" ht="15.75" customHeight="1">
      <c r="C495" s="65"/>
      <c r="D495" s="65"/>
      <c r="E495" s="65"/>
      <c r="F495" s="65"/>
      <c r="H495" s="65"/>
      <c r="J495" s="65"/>
      <c r="K495" s="65"/>
      <c r="L495" s="65"/>
    </row>
    <row r="496" ht="15.75" customHeight="1">
      <c r="C496" s="65"/>
      <c r="D496" s="65"/>
      <c r="E496" s="65"/>
      <c r="F496" s="65"/>
      <c r="H496" s="65"/>
      <c r="J496" s="65"/>
      <c r="K496" s="65"/>
      <c r="L496" s="65"/>
    </row>
    <row r="497" ht="15.75" customHeight="1">
      <c r="C497" s="65"/>
      <c r="D497" s="65"/>
      <c r="E497" s="65"/>
      <c r="F497" s="65"/>
      <c r="H497" s="65"/>
      <c r="J497" s="65"/>
      <c r="K497" s="65"/>
      <c r="L497" s="65"/>
    </row>
    <row r="498" ht="15.75" customHeight="1">
      <c r="C498" s="65"/>
      <c r="D498" s="65"/>
      <c r="E498" s="65"/>
      <c r="F498" s="65"/>
      <c r="H498" s="65"/>
      <c r="J498" s="65"/>
      <c r="K498" s="65"/>
      <c r="L498" s="65"/>
    </row>
    <row r="499" ht="15.75" customHeight="1">
      <c r="C499" s="65"/>
      <c r="D499" s="65"/>
      <c r="E499" s="65"/>
      <c r="F499" s="65"/>
      <c r="H499" s="65"/>
      <c r="J499" s="65"/>
      <c r="K499" s="65"/>
      <c r="L499" s="65"/>
    </row>
    <row r="500" ht="15.75" customHeight="1">
      <c r="C500" s="65"/>
      <c r="D500" s="65"/>
      <c r="E500" s="65"/>
      <c r="F500" s="65"/>
      <c r="H500" s="65"/>
      <c r="J500" s="65"/>
      <c r="K500" s="65"/>
      <c r="L500" s="65"/>
    </row>
    <row r="501" ht="15.75" customHeight="1">
      <c r="C501" s="65"/>
      <c r="D501" s="65"/>
      <c r="E501" s="65"/>
      <c r="F501" s="65"/>
      <c r="H501" s="65"/>
      <c r="J501" s="65"/>
      <c r="K501" s="65"/>
      <c r="L501" s="65"/>
    </row>
    <row r="502" ht="15.75" customHeight="1">
      <c r="C502" s="65"/>
      <c r="D502" s="65"/>
      <c r="E502" s="65"/>
      <c r="F502" s="65"/>
      <c r="H502" s="65"/>
      <c r="J502" s="65"/>
      <c r="K502" s="65"/>
      <c r="L502" s="65"/>
    </row>
    <row r="503" ht="15.75" customHeight="1">
      <c r="C503" s="65"/>
      <c r="D503" s="65"/>
      <c r="E503" s="65"/>
      <c r="F503" s="65"/>
      <c r="H503" s="65"/>
      <c r="J503" s="65"/>
      <c r="K503" s="65"/>
      <c r="L503" s="65"/>
    </row>
    <row r="504" ht="15.75" customHeight="1">
      <c r="C504" s="65"/>
      <c r="D504" s="65"/>
      <c r="E504" s="65"/>
      <c r="F504" s="65"/>
      <c r="H504" s="65"/>
      <c r="J504" s="65"/>
      <c r="K504" s="65"/>
      <c r="L504" s="65"/>
    </row>
    <row r="505" ht="15.75" customHeight="1">
      <c r="C505" s="65"/>
      <c r="D505" s="65"/>
      <c r="E505" s="65"/>
      <c r="F505" s="65"/>
      <c r="H505" s="65"/>
      <c r="J505" s="65"/>
      <c r="K505" s="65"/>
      <c r="L505" s="65"/>
    </row>
    <row r="506" ht="15.75" customHeight="1">
      <c r="C506" s="65"/>
      <c r="D506" s="65"/>
      <c r="E506" s="65"/>
      <c r="F506" s="65"/>
      <c r="H506" s="65"/>
      <c r="J506" s="65"/>
      <c r="K506" s="65"/>
      <c r="L506" s="65"/>
    </row>
    <row r="507" ht="15.75" customHeight="1">
      <c r="C507" s="65"/>
      <c r="D507" s="65"/>
      <c r="E507" s="65"/>
      <c r="F507" s="65"/>
      <c r="H507" s="65"/>
      <c r="J507" s="65"/>
      <c r="K507" s="65"/>
      <c r="L507" s="65"/>
    </row>
    <row r="508" ht="15.75" customHeight="1">
      <c r="C508" s="65"/>
      <c r="D508" s="65"/>
      <c r="E508" s="65"/>
      <c r="F508" s="65"/>
      <c r="H508" s="65"/>
      <c r="J508" s="65"/>
      <c r="K508" s="65"/>
      <c r="L508" s="65"/>
    </row>
    <row r="509" ht="15.75" customHeight="1">
      <c r="C509" s="65"/>
      <c r="D509" s="65"/>
      <c r="E509" s="65"/>
      <c r="F509" s="65"/>
      <c r="H509" s="65"/>
      <c r="J509" s="65"/>
      <c r="K509" s="65"/>
      <c r="L509" s="65"/>
    </row>
    <row r="510" ht="15.75" customHeight="1">
      <c r="C510" s="65"/>
      <c r="D510" s="65"/>
      <c r="E510" s="65"/>
      <c r="F510" s="65"/>
      <c r="H510" s="65"/>
      <c r="J510" s="65"/>
      <c r="K510" s="65"/>
      <c r="L510" s="65"/>
    </row>
    <row r="511" ht="15.75" customHeight="1">
      <c r="C511" s="65"/>
      <c r="D511" s="65"/>
      <c r="E511" s="65"/>
      <c r="F511" s="65"/>
      <c r="H511" s="65"/>
      <c r="J511" s="65"/>
      <c r="K511" s="65"/>
      <c r="L511" s="65"/>
    </row>
    <row r="512" ht="15.75" customHeight="1">
      <c r="C512" s="65"/>
      <c r="D512" s="65"/>
      <c r="E512" s="65"/>
      <c r="F512" s="65"/>
      <c r="H512" s="65"/>
      <c r="J512" s="65"/>
      <c r="K512" s="65"/>
      <c r="L512" s="65"/>
    </row>
    <row r="513" ht="15.75" customHeight="1">
      <c r="C513" s="65"/>
      <c r="D513" s="65"/>
      <c r="E513" s="65"/>
      <c r="F513" s="65"/>
      <c r="H513" s="65"/>
      <c r="J513" s="65"/>
      <c r="K513" s="65"/>
      <c r="L513" s="65"/>
    </row>
    <row r="514" ht="15.75" customHeight="1">
      <c r="C514" s="65"/>
      <c r="D514" s="65"/>
      <c r="E514" s="65"/>
      <c r="F514" s="65"/>
      <c r="H514" s="65"/>
      <c r="J514" s="65"/>
      <c r="K514" s="65"/>
      <c r="L514" s="65"/>
    </row>
    <row r="515" ht="15.75" customHeight="1">
      <c r="C515" s="65"/>
      <c r="D515" s="65"/>
      <c r="E515" s="65"/>
      <c r="F515" s="65"/>
      <c r="H515" s="65"/>
      <c r="J515" s="65"/>
      <c r="K515" s="65"/>
      <c r="L515" s="65"/>
    </row>
    <row r="516" ht="15.75" customHeight="1">
      <c r="C516" s="65"/>
      <c r="D516" s="65"/>
      <c r="E516" s="65"/>
      <c r="F516" s="65"/>
      <c r="H516" s="65"/>
      <c r="J516" s="65"/>
      <c r="K516" s="65"/>
      <c r="L516" s="65"/>
    </row>
    <row r="517" ht="15.75" customHeight="1">
      <c r="C517" s="65"/>
      <c r="D517" s="65"/>
      <c r="E517" s="65"/>
      <c r="F517" s="65"/>
      <c r="H517" s="65"/>
      <c r="J517" s="65"/>
      <c r="K517" s="65"/>
      <c r="L517" s="65"/>
    </row>
    <row r="518" ht="15.75" customHeight="1">
      <c r="C518" s="65"/>
      <c r="D518" s="65"/>
      <c r="E518" s="65"/>
      <c r="F518" s="65"/>
      <c r="H518" s="65"/>
      <c r="J518" s="65"/>
      <c r="K518" s="65"/>
      <c r="L518" s="65"/>
    </row>
    <row r="519" ht="15.75" customHeight="1">
      <c r="C519" s="65"/>
      <c r="D519" s="65"/>
      <c r="E519" s="65"/>
      <c r="F519" s="65"/>
      <c r="H519" s="65"/>
      <c r="J519" s="65"/>
      <c r="K519" s="65"/>
      <c r="L519" s="65"/>
    </row>
    <row r="520" ht="15.75" customHeight="1">
      <c r="C520" s="65"/>
      <c r="D520" s="65"/>
      <c r="E520" s="65"/>
      <c r="F520" s="65"/>
      <c r="H520" s="65"/>
      <c r="J520" s="65"/>
      <c r="K520" s="65"/>
      <c r="L520" s="65"/>
    </row>
    <row r="521" ht="15.75" customHeight="1">
      <c r="C521" s="65"/>
      <c r="D521" s="65"/>
      <c r="E521" s="65"/>
      <c r="F521" s="65"/>
      <c r="H521" s="65"/>
      <c r="J521" s="65"/>
      <c r="K521" s="65"/>
      <c r="L521" s="65"/>
    </row>
    <row r="522" ht="15.75" customHeight="1">
      <c r="C522" s="65"/>
      <c r="D522" s="65"/>
      <c r="E522" s="65"/>
      <c r="F522" s="65"/>
      <c r="H522" s="65"/>
      <c r="J522" s="65"/>
      <c r="K522" s="65"/>
      <c r="L522" s="65"/>
    </row>
    <row r="523" ht="15.75" customHeight="1">
      <c r="C523" s="65"/>
      <c r="D523" s="65"/>
      <c r="E523" s="65"/>
      <c r="F523" s="65"/>
      <c r="H523" s="65"/>
      <c r="J523" s="65"/>
      <c r="K523" s="65"/>
      <c r="L523" s="65"/>
    </row>
    <row r="524" ht="15.75" customHeight="1">
      <c r="C524" s="65"/>
      <c r="D524" s="65"/>
      <c r="E524" s="65"/>
      <c r="F524" s="65"/>
      <c r="H524" s="65"/>
      <c r="J524" s="65"/>
      <c r="K524" s="65"/>
      <c r="L524" s="65"/>
    </row>
    <row r="525" ht="15.75" customHeight="1">
      <c r="C525" s="65"/>
      <c r="D525" s="65"/>
      <c r="E525" s="65"/>
      <c r="F525" s="65"/>
      <c r="H525" s="65"/>
      <c r="J525" s="65"/>
      <c r="K525" s="65"/>
      <c r="L525" s="65"/>
    </row>
    <row r="526" ht="15.75" customHeight="1">
      <c r="C526" s="65"/>
      <c r="D526" s="65"/>
      <c r="E526" s="65"/>
      <c r="F526" s="65"/>
      <c r="H526" s="65"/>
      <c r="J526" s="65"/>
      <c r="K526" s="65"/>
      <c r="L526" s="65"/>
    </row>
    <row r="527" ht="15.75" customHeight="1">
      <c r="C527" s="65"/>
      <c r="D527" s="65"/>
      <c r="E527" s="65"/>
      <c r="F527" s="65"/>
      <c r="H527" s="65"/>
      <c r="J527" s="65"/>
      <c r="K527" s="65"/>
      <c r="L527" s="65"/>
    </row>
    <row r="528" ht="15.75" customHeight="1">
      <c r="C528" s="65"/>
      <c r="D528" s="65"/>
      <c r="E528" s="65"/>
      <c r="F528" s="65"/>
      <c r="H528" s="65"/>
      <c r="J528" s="65"/>
      <c r="K528" s="65"/>
      <c r="L528" s="65"/>
    </row>
    <row r="529" ht="15.75" customHeight="1">
      <c r="C529" s="65"/>
      <c r="D529" s="65"/>
      <c r="E529" s="65"/>
      <c r="F529" s="65"/>
      <c r="H529" s="65"/>
      <c r="J529" s="65"/>
      <c r="K529" s="65"/>
      <c r="L529" s="65"/>
    </row>
    <row r="530" ht="15.75" customHeight="1">
      <c r="C530" s="65"/>
      <c r="D530" s="65"/>
      <c r="E530" s="65"/>
      <c r="F530" s="65"/>
      <c r="H530" s="65"/>
      <c r="J530" s="65"/>
      <c r="K530" s="65"/>
      <c r="L530" s="65"/>
    </row>
    <row r="531" ht="15.75" customHeight="1">
      <c r="C531" s="65"/>
      <c r="D531" s="65"/>
      <c r="E531" s="65"/>
      <c r="F531" s="65"/>
      <c r="H531" s="65"/>
      <c r="J531" s="65"/>
      <c r="K531" s="65"/>
      <c r="L531" s="65"/>
    </row>
    <row r="532" ht="15.75" customHeight="1">
      <c r="C532" s="65"/>
      <c r="D532" s="65"/>
      <c r="E532" s="65"/>
      <c r="F532" s="65"/>
      <c r="H532" s="65"/>
      <c r="J532" s="65"/>
      <c r="K532" s="65"/>
      <c r="L532" s="65"/>
    </row>
    <row r="533" ht="15.75" customHeight="1">
      <c r="C533" s="65"/>
      <c r="D533" s="65"/>
      <c r="E533" s="65"/>
      <c r="F533" s="65"/>
      <c r="H533" s="65"/>
      <c r="J533" s="65"/>
      <c r="K533" s="65"/>
      <c r="L533" s="65"/>
    </row>
    <row r="534" ht="15.75" customHeight="1">
      <c r="C534" s="65"/>
      <c r="D534" s="65"/>
      <c r="E534" s="65"/>
      <c r="F534" s="65"/>
      <c r="H534" s="65"/>
      <c r="J534" s="65"/>
      <c r="K534" s="65"/>
      <c r="L534" s="65"/>
    </row>
    <row r="535" ht="15.75" customHeight="1">
      <c r="C535" s="65"/>
      <c r="D535" s="65"/>
      <c r="E535" s="65"/>
      <c r="F535" s="65"/>
      <c r="H535" s="65"/>
      <c r="J535" s="65"/>
      <c r="K535" s="65"/>
      <c r="L535" s="65"/>
    </row>
    <row r="536" ht="15.75" customHeight="1">
      <c r="C536" s="65"/>
      <c r="D536" s="65"/>
      <c r="E536" s="65"/>
      <c r="F536" s="65"/>
      <c r="H536" s="65"/>
      <c r="J536" s="65"/>
      <c r="K536" s="65"/>
      <c r="L536" s="65"/>
    </row>
    <row r="537" ht="15.75" customHeight="1">
      <c r="C537" s="65"/>
      <c r="D537" s="65"/>
      <c r="E537" s="65"/>
      <c r="F537" s="65"/>
      <c r="H537" s="65"/>
      <c r="J537" s="65"/>
      <c r="K537" s="65"/>
      <c r="L537" s="65"/>
    </row>
    <row r="538" ht="15.75" customHeight="1">
      <c r="C538" s="65"/>
      <c r="D538" s="65"/>
      <c r="E538" s="65"/>
      <c r="F538" s="65"/>
      <c r="H538" s="65"/>
      <c r="J538" s="65"/>
      <c r="K538" s="65"/>
      <c r="L538" s="65"/>
    </row>
    <row r="539" ht="15.75" customHeight="1">
      <c r="C539" s="65"/>
      <c r="D539" s="65"/>
      <c r="E539" s="65"/>
      <c r="F539" s="65"/>
      <c r="H539" s="65"/>
      <c r="J539" s="65"/>
      <c r="K539" s="65"/>
      <c r="L539" s="65"/>
    </row>
    <row r="540" ht="15.75" customHeight="1">
      <c r="C540" s="65"/>
      <c r="D540" s="65"/>
      <c r="E540" s="65"/>
      <c r="F540" s="65"/>
      <c r="H540" s="65"/>
      <c r="J540" s="65"/>
      <c r="K540" s="65"/>
      <c r="L540" s="65"/>
    </row>
    <row r="541" ht="15.75" customHeight="1">
      <c r="C541" s="65"/>
      <c r="D541" s="65"/>
      <c r="E541" s="65"/>
      <c r="F541" s="65"/>
      <c r="H541" s="65"/>
      <c r="J541" s="65"/>
      <c r="K541" s="65"/>
      <c r="L541" s="65"/>
    </row>
    <row r="542" ht="15.75" customHeight="1">
      <c r="C542" s="65"/>
      <c r="D542" s="65"/>
      <c r="E542" s="65"/>
      <c r="F542" s="65"/>
      <c r="H542" s="65"/>
      <c r="J542" s="65"/>
      <c r="K542" s="65"/>
      <c r="L542" s="65"/>
    </row>
    <row r="543" ht="15.75" customHeight="1">
      <c r="C543" s="65"/>
      <c r="D543" s="65"/>
      <c r="E543" s="65"/>
      <c r="F543" s="65"/>
      <c r="H543" s="65"/>
      <c r="J543" s="65"/>
      <c r="K543" s="65"/>
      <c r="L543" s="65"/>
    </row>
    <row r="544" ht="15.75" customHeight="1">
      <c r="C544" s="65"/>
      <c r="D544" s="65"/>
      <c r="E544" s="65"/>
      <c r="F544" s="65"/>
      <c r="H544" s="65"/>
      <c r="J544" s="65"/>
      <c r="K544" s="65"/>
      <c r="L544" s="65"/>
    </row>
    <row r="545" ht="15.75" customHeight="1">
      <c r="C545" s="65"/>
      <c r="D545" s="65"/>
      <c r="E545" s="65"/>
      <c r="F545" s="65"/>
      <c r="H545" s="65"/>
      <c r="J545" s="65"/>
      <c r="K545" s="65"/>
      <c r="L545" s="65"/>
    </row>
    <row r="546" ht="15.75" customHeight="1">
      <c r="C546" s="65"/>
      <c r="D546" s="65"/>
      <c r="E546" s="65"/>
      <c r="F546" s="65"/>
      <c r="H546" s="65"/>
      <c r="J546" s="65"/>
      <c r="K546" s="65"/>
      <c r="L546" s="65"/>
    </row>
    <row r="547" ht="15.75" customHeight="1">
      <c r="C547" s="65"/>
      <c r="D547" s="65"/>
      <c r="E547" s="65"/>
      <c r="F547" s="65"/>
      <c r="H547" s="65"/>
      <c r="J547" s="65"/>
      <c r="K547" s="65"/>
      <c r="L547" s="65"/>
    </row>
    <row r="548" ht="15.75" customHeight="1">
      <c r="C548" s="65"/>
      <c r="D548" s="65"/>
      <c r="E548" s="65"/>
      <c r="F548" s="65"/>
      <c r="H548" s="65"/>
      <c r="J548" s="65"/>
      <c r="K548" s="65"/>
      <c r="L548" s="65"/>
    </row>
    <row r="549" ht="15.75" customHeight="1">
      <c r="C549" s="65"/>
      <c r="D549" s="65"/>
      <c r="E549" s="65"/>
      <c r="F549" s="65"/>
      <c r="H549" s="65"/>
      <c r="J549" s="65"/>
      <c r="K549" s="65"/>
      <c r="L549" s="65"/>
    </row>
    <row r="550" ht="15.75" customHeight="1">
      <c r="C550" s="65"/>
      <c r="D550" s="65"/>
      <c r="E550" s="65"/>
      <c r="F550" s="65"/>
      <c r="H550" s="65"/>
      <c r="J550" s="65"/>
      <c r="K550" s="65"/>
      <c r="L550" s="65"/>
    </row>
    <row r="551" ht="15.75" customHeight="1">
      <c r="C551" s="65"/>
      <c r="D551" s="65"/>
      <c r="E551" s="65"/>
      <c r="F551" s="65"/>
      <c r="H551" s="65"/>
      <c r="J551" s="65"/>
      <c r="K551" s="65"/>
      <c r="L551" s="65"/>
    </row>
    <row r="552" ht="15.75" customHeight="1">
      <c r="C552" s="65"/>
      <c r="D552" s="65"/>
      <c r="E552" s="65"/>
      <c r="F552" s="65"/>
      <c r="H552" s="65"/>
      <c r="J552" s="65"/>
      <c r="K552" s="65"/>
      <c r="L552" s="65"/>
    </row>
    <row r="553" ht="15.75" customHeight="1">
      <c r="C553" s="65"/>
      <c r="D553" s="65"/>
      <c r="E553" s="65"/>
      <c r="F553" s="65"/>
      <c r="H553" s="65"/>
      <c r="J553" s="65"/>
      <c r="K553" s="65"/>
      <c r="L553" s="65"/>
    </row>
    <row r="554" ht="15.75" customHeight="1">
      <c r="C554" s="65"/>
      <c r="D554" s="65"/>
      <c r="E554" s="65"/>
      <c r="F554" s="65"/>
      <c r="H554" s="65"/>
      <c r="J554" s="65"/>
      <c r="K554" s="65"/>
      <c r="L554" s="65"/>
    </row>
    <row r="555" ht="15.75" customHeight="1">
      <c r="C555" s="65"/>
      <c r="D555" s="65"/>
      <c r="E555" s="65"/>
      <c r="F555" s="65"/>
      <c r="H555" s="65"/>
      <c r="J555" s="65"/>
      <c r="K555" s="65"/>
      <c r="L555" s="65"/>
    </row>
    <row r="556" ht="15.75" customHeight="1">
      <c r="C556" s="65"/>
      <c r="D556" s="65"/>
      <c r="E556" s="65"/>
      <c r="F556" s="65"/>
      <c r="H556" s="65"/>
      <c r="J556" s="65"/>
      <c r="K556" s="65"/>
      <c r="L556" s="65"/>
    </row>
    <row r="557" ht="15.75" customHeight="1">
      <c r="C557" s="65"/>
      <c r="D557" s="65"/>
      <c r="E557" s="65"/>
      <c r="F557" s="65"/>
      <c r="H557" s="65"/>
      <c r="J557" s="65"/>
      <c r="K557" s="65"/>
      <c r="L557" s="65"/>
    </row>
    <row r="558" ht="15.75" customHeight="1">
      <c r="C558" s="65"/>
      <c r="D558" s="65"/>
      <c r="E558" s="65"/>
      <c r="F558" s="65"/>
      <c r="H558" s="65"/>
      <c r="J558" s="65"/>
      <c r="K558" s="65"/>
      <c r="L558" s="65"/>
    </row>
    <row r="559" ht="15.75" customHeight="1">
      <c r="C559" s="65"/>
      <c r="D559" s="65"/>
      <c r="E559" s="65"/>
      <c r="F559" s="65"/>
      <c r="H559" s="65"/>
      <c r="J559" s="65"/>
      <c r="K559" s="65"/>
      <c r="L559" s="65"/>
    </row>
    <row r="560" ht="15.75" customHeight="1">
      <c r="C560" s="65"/>
      <c r="D560" s="65"/>
      <c r="E560" s="65"/>
      <c r="F560" s="65"/>
      <c r="H560" s="65"/>
      <c r="J560" s="65"/>
      <c r="K560" s="65"/>
      <c r="L560" s="65"/>
    </row>
    <row r="561" ht="15.75" customHeight="1">
      <c r="C561" s="65"/>
      <c r="D561" s="65"/>
      <c r="E561" s="65"/>
      <c r="F561" s="65"/>
      <c r="H561" s="65"/>
      <c r="J561" s="65"/>
      <c r="K561" s="65"/>
      <c r="L561" s="65"/>
    </row>
    <row r="562" ht="15.75" customHeight="1">
      <c r="C562" s="65"/>
      <c r="D562" s="65"/>
      <c r="E562" s="65"/>
      <c r="F562" s="65"/>
      <c r="H562" s="65"/>
      <c r="J562" s="65"/>
      <c r="K562" s="65"/>
      <c r="L562" s="65"/>
    </row>
    <row r="563" ht="15.75" customHeight="1">
      <c r="C563" s="65"/>
      <c r="D563" s="65"/>
      <c r="E563" s="65"/>
      <c r="F563" s="65"/>
      <c r="H563" s="65"/>
      <c r="J563" s="65"/>
      <c r="K563" s="65"/>
      <c r="L563" s="65"/>
    </row>
    <row r="564" ht="15.75" customHeight="1">
      <c r="C564" s="65"/>
      <c r="D564" s="65"/>
      <c r="E564" s="65"/>
      <c r="F564" s="65"/>
      <c r="H564" s="65"/>
      <c r="J564" s="65"/>
      <c r="K564" s="65"/>
      <c r="L564" s="65"/>
    </row>
    <row r="565" ht="15.75" customHeight="1">
      <c r="C565" s="65"/>
      <c r="D565" s="65"/>
      <c r="E565" s="65"/>
      <c r="F565" s="65"/>
      <c r="H565" s="65"/>
      <c r="J565" s="65"/>
      <c r="K565" s="65"/>
      <c r="L565" s="65"/>
    </row>
    <row r="566" ht="15.75" customHeight="1">
      <c r="C566" s="65"/>
      <c r="D566" s="65"/>
      <c r="E566" s="65"/>
      <c r="F566" s="65"/>
      <c r="H566" s="65"/>
      <c r="J566" s="65"/>
      <c r="K566" s="65"/>
      <c r="L566" s="65"/>
    </row>
    <row r="567" ht="15.75" customHeight="1">
      <c r="C567" s="65"/>
      <c r="D567" s="65"/>
      <c r="E567" s="65"/>
      <c r="F567" s="65"/>
      <c r="H567" s="65"/>
      <c r="J567" s="65"/>
      <c r="K567" s="65"/>
      <c r="L567" s="65"/>
    </row>
    <row r="568" ht="15.75" customHeight="1">
      <c r="C568" s="65"/>
      <c r="D568" s="65"/>
      <c r="E568" s="65"/>
      <c r="F568" s="65"/>
      <c r="H568" s="65"/>
      <c r="J568" s="65"/>
      <c r="K568" s="65"/>
      <c r="L568" s="65"/>
    </row>
    <row r="569" ht="15.75" customHeight="1">
      <c r="C569" s="65"/>
      <c r="D569" s="65"/>
      <c r="E569" s="65"/>
      <c r="F569" s="65"/>
      <c r="H569" s="65"/>
      <c r="J569" s="65"/>
      <c r="K569" s="65"/>
      <c r="L569" s="65"/>
    </row>
    <row r="570" ht="15.75" customHeight="1">
      <c r="C570" s="65"/>
      <c r="D570" s="65"/>
      <c r="E570" s="65"/>
      <c r="F570" s="65"/>
      <c r="H570" s="65"/>
      <c r="J570" s="65"/>
      <c r="K570" s="65"/>
      <c r="L570" s="65"/>
    </row>
    <row r="571" ht="15.75" customHeight="1">
      <c r="C571" s="65"/>
      <c r="D571" s="65"/>
      <c r="E571" s="65"/>
      <c r="F571" s="65"/>
      <c r="H571" s="65"/>
      <c r="J571" s="65"/>
      <c r="K571" s="65"/>
      <c r="L571" s="65"/>
    </row>
    <row r="572" ht="15.75" customHeight="1">
      <c r="C572" s="65"/>
      <c r="D572" s="65"/>
      <c r="E572" s="65"/>
      <c r="F572" s="65"/>
      <c r="H572" s="65"/>
      <c r="J572" s="65"/>
      <c r="K572" s="65"/>
      <c r="L572" s="65"/>
    </row>
    <row r="573" ht="15.75" customHeight="1">
      <c r="C573" s="65"/>
      <c r="D573" s="65"/>
      <c r="E573" s="65"/>
      <c r="F573" s="65"/>
      <c r="H573" s="65"/>
      <c r="J573" s="65"/>
      <c r="K573" s="65"/>
      <c r="L573" s="65"/>
    </row>
    <row r="574" ht="15.75" customHeight="1">
      <c r="C574" s="65"/>
      <c r="D574" s="65"/>
      <c r="E574" s="65"/>
      <c r="F574" s="65"/>
      <c r="H574" s="65"/>
      <c r="J574" s="65"/>
      <c r="K574" s="65"/>
      <c r="L574" s="65"/>
    </row>
    <row r="575" ht="15.75" customHeight="1">
      <c r="C575" s="65"/>
      <c r="D575" s="65"/>
      <c r="E575" s="65"/>
      <c r="F575" s="65"/>
      <c r="H575" s="65"/>
      <c r="J575" s="65"/>
      <c r="K575" s="65"/>
      <c r="L575" s="65"/>
    </row>
    <row r="576" ht="15.75" customHeight="1">
      <c r="C576" s="65"/>
      <c r="D576" s="65"/>
      <c r="E576" s="65"/>
      <c r="F576" s="65"/>
      <c r="H576" s="65"/>
      <c r="J576" s="65"/>
      <c r="K576" s="65"/>
      <c r="L576" s="65"/>
    </row>
    <row r="577" ht="15.75" customHeight="1">
      <c r="C577" s="65"/>
      <c r="D577" s="65"/>
      <c r="E577" s="65"/>
      <c r="F577" s="65"/>
      <c r="H577" s="65"/>
      <c r="J577" s="65"/>
      <c r="K577" s="65"/>
      <c r="L577" s="65"/>
    </row>
    <row r="578" ht="15.75" customHeight="1">
      <c r="C578" s="65"/>
      <c r="D578" s="65"/>
      <c r="E578" s="65"/>
      <c r="F578" s="65"/>
      <c r="H578" s="65"/>
      <c r="J578" s="65"/>
      <c r="K578" s="65"/>
      <c r="L578" s="65"/>
    </row>
    <row r="579" ht="15.75" customHeight="1">
      <c r="C579" s="65"/>
      <c r="D579" s="65"/>
      <c r="E579" s="65"/>
      <c r="F579" s="65"/>
      <c r="H579" s="65"/>
      <c r="J579" s="65"/>
      <c r="K579" s="65"/>
      <c r="L579" s="65"/>
    </row>
    <row r="580" ht="15.75" customHeight="1">
      <c r="C580" s="65"/>
      <c r="D580" s="65"/>
      <c r="E580" s="65"/>
      <c r="F580" s="65"/>
      <c r="H580" s="65"/>
      <c r="J580" s="65"/>
      <c r="K580" s="65"/>
      <c r="L580" s="65"/>
    </row>
    <row r="581" ht="15.75" customHeight="1">
      <c r="C581" s="65"/>
      <c r="D581" s="65"/>
      <c r="E581" s="65"/>
      <c r="F581" s="65"/>
      <c r="H581" s="65"/>
      <c r="J581" s="65"/>
      <c r="K581" s="65"/>
      <c r="L581" s="65"/>
    </row>
    <row r="582" ht="15.75" customHeight="1">
      <c r="C582" s="65"/>
      <c r="D582" s="65"/>
      <c r="E582" s="65"/>
      <c r="F582" s="65"/>
      <c r="H582" s="65"/>
      <c r="J582" s="65"/>
      <c r="K582" s="65"/>
      <c r="L582" s="65"/>
    </row>
    <row r="583" ht="15.75" customHeight="1">
      <c r="C583" s="65"/>
      <c r="D583" s="65"/>
      <c r="E583" s="65"/>
      <c r="F583" s="65"/>
      <c r="H583" s="65"/>
      <c r="J583" s="65"/>
      <c r="K583" s="65"/>
      <c r="L583" s="65"/>
    </row>
    <row r="584" ht="15.75" customHeight="1">
      <c r="C584" s="65"/>
      <c r="D584" s="65"/>
      <c r="E584" s="65"/>
      <c r="F584" s="65"/>
      <c r="H584" s="65"/>
      <c r="J584" s="65"/>
      <c r="K584" s="65"/>
      <c r="L584" s="65"/>
    </row>
    <row r="585" ht="15.75" customHeight="1">
      <c r="C585" s="65"/>
      <c r="D585" s="65"/>
      <c r="E585" s="65"/>
      <c r="F585" s="65"/>
      <c r="H585" s="65"/>
      <c r="J585" s="65"/>
      <c r="K585" s="65"/>
      <c r="L585" s="65"/>
    </row>
    <row r="586" ht="15.75" customHeight="1">
      <c r="C586" s="65"/>
      <c r="D586" s="65"/>
      <c r="E586" s="65"/>
      <c r="F586" s="65"/>
      <c r="H586" s="65"/>
      <c r="J586" s="65"/>
      <c r="K586" s="65"/>
      <c r="L586" s="65"/>
    </row>
    <row r="587" ht="15.75" customHeight="1">
      <c r="C587" s="65"/>
      <c r="D587" s="65"/>
      <c r="E587" s="65"/>
      <c r="F587" s="65"/>
      <c r="H587" s="65"/>
      <c r="J587" s="65"/>
      <c r="K587" s="65"/>
      <c r="L587" s="65"/>
    </row>
    <row r="588" ht="15.75" customHeight="1">
      <c r="C588" s="65"/>
      <c r="D588" s="65"/>
      <c r="E588" s="65"/>
      <c r="F588" s="65"/>
      <c r="H588" s="65"/>
      <c r="J588" s="65"/>
      <c r="K588" s="65"/>
      <c r="L588" s="65"/>
    </row>
    <row r="589" ht="15.75" customHeight="1">
      <c r="C589" s="65"/>
      <c r="D589" s="65"/>
      <c r="E589" s="65"/>
      <c r="F589" s="65"/>
      <c r="H589" s="65"/>
      <c r="J589" s="65"/>
      <c r="K589" s="65"/>
      <c r="L589" s="65"/>
    </row>
    <row r="590" ht="15.75" customHeight="1">
      <c r="C590" s="65"/>
      <c r="D590" s="65"/>
      <c r="E590" s="65"/>
      <c r="F590" s="65"/>
      <c r="H590" s="65"/>
      <c r="J590" s="65"/>
      <c r="K590" s="65"/>
      <c r="L590" s="65"/>
    </row>
    <row r="591" ht="15.75" customHeight="1">
      <c r="C591" s="65"/>
      <c r="D591" s="65"/>
      <c r="E591" s="65"/>
      <c r="F591" s="65"/>
      <c r="H591" s="65"/>
      <c r="J591" s="65"/>
      <c r="K591" s="65"/>
      <c r="L591" s="65"/>
    </row>
    <row r="592" ht="15.75" customHeight="1">
      <c r="C592" s="65"/>
      <c r="D592" s="65"/>
      <c r="E592" s="65"/>
      <c r="F592" s="65"/>
      <c r="H592" s="65"/>
      <c r="J592" s="65"/>
      <c r="K592" s="65"/>
      <c r="L592" s="65"/>
    </row>
    <row r="593" ht="15.75" customHeight="1">
      <c r="C593" s="65"/>
      <c r="D593" s="65"/>
      <c r="E593" s="65"/>
      <c r="F593" s="65"/>
      <c r="H593" s="65"/>
      <c r="J593" s="65"/>
      <c r="K593" s="65"/>
      <c r="L593" s="65"/>
    </row>
    <row r="594" ht="15.75" customHeight="1">
      <c r="C594" s="65"/>
      <c r="D594" s="65"/>
      <c r="E594" s="65"/>
      <c r="F594" s="65"/>
      <c r="H594" s="65"/>
      <c r="J594" s="65"/>
      <c r="K594" s="65"/>
      <c r="L594" s="65"/>
    </row>
    <row r="595" ht="15.75" customHeight="1">
      <c r="C595" s="65"/>
      <c r="D595" s="65"/>
      <c r="E595" s="65"/>
      <c r="F595" s="65"/>
      <c r="H595" s="65"/>
      <c r="J595" s="65"/>
      <c r="K595" s="65"/>
      <c r="L595" s="65"/>
    </row>
    <row r="596" ht="15.75" customHeight="1">
      <c r="C596" s="65"/>
      <c r="D596" s="65"/>
      <c r="E596" s="65"/>
      <c r="F596" s="65"/>
      <c r="H596" s="65"/>
      <c r="J596" s="65"/>
      <c r="K596" s="65"/>
      <c r="L596" s="65"/>
    </row>
    <row r="597" ht="15.75" customHeight="1">
      <c r="C597" s="65"/>
      <c r="D597" s="65"/>
      <c r="E597" s="65"/>
      <c r="F597" s="65"/>
      <c r="H597" s="65"/>
      <c r="J597" s="65"/>
      <c r="K597" s="65"/>
      <c r="L597" s="65"/>
    </row>
    <row r="598" ht="15.75" customHeight="1">
      <c r="C598" s="65"/>
      <c r="D598" s="65"/>
      <c r="E598" s="65"/>
      <c r="F598" s="65"/>
      <c r="H598" s="65"/>
      <c r="J598" s="65"/>
      <c r="K598" s="65"/>
      <c r="L598" s="65"/>
    </row>
    <row r="599" ht="15.75" customHeight="1">
      <c r="C599" s="65"/>
      <c r="D599" s="65"/>
      <c r="E599" s="65"/>
      <c r="F599" s="65"/>
      <c r="H599" s="65"/>
      <c r="J599" s="65"/>
      <c r="K599" s="65"/>
      <c r="L599" s="65"/>
    </row>
    <row r="600" ht="15.75" customHeight="1">
      <c r="C600" s="65"/>
      <c r="D600" s="65"/>
      <c r="E600" s="65"/>
      <c r="F600" s="65"/>
      <c r="H600" s="65"/>
      <c r="J600" s="65"/>
      <c r="K600" s="65"/>
      <c r="L600" s="65"/>
    </row>
    <row r="601" ht="15.75" customHeight="1">
      <c r="C601" s="65"/>
      <c r="D601" s="65"/>
      <c r="E601" s="65"/>
      <c r="F601" s="65"/>
      <c r="H601" s="65"/>
      <c r="J601" s="65"/>
      <c r="K601" s="65"/>
      <c r="L601" s="65"/>
    </row>
    <row r="602" ht="15.75" customHeight="1">
      <c r="C602" s="65"/>
      <c r="D602" s="65"/>
      <c r="E602" s="65"/>
      <c r="F602" s="65"/>
      <c r="H602" s="65"/>
      <c r="J602" s="65"/>
      <c r="K602" s="65"/>
      <c r="L602" s="65"/>
    </row>
    <row r="603" ht="15.75" customHeight="1">
      <c r="C603" s="65"/>
      <c r="D603" s="65"/>
      <c r="E603" s="65"/>
      <c r="F603" s="65"/>
      <c r="H603" s="65"/>
      <c r="J603" s="65"/>
      <c r="K603" s="65"/>
      <c r="L603" s="65"/>
    </row>
    <row r="604" ht="15.75" customHeight="1">
      <c r="C604" s="65"/>
      <c r="D604" s="65"/>
      <c r="E604" s="65"/>
      <c r="F604" s="65"/>
      <c r="H604" s="65"/>
      <c r="J604" s="65"/>
      <c r="K604" s="65"/>
      <c r="L604" s="65"/>
    </row>
    <row r="605" ht="15.75" customHeight="1">
      <c r="C605" s="65"/>
      <c r="D605" s="65"/>
      <c r="E605" s="65"/>
      <c r="F605" s="65"/>
      <c r="H605" s="65"/>
      <c r="J605" s="65"/>
      <c r="K605" s="65"/>
      <c r="L605" s="65"/>
    </row>
    <row r="606" ht="15.75" customHeight="1">
      <c r="C606" s="65"/>
      <c r="D606" s="65"/>
      <c r="E606" s="65"/>
      <c r="F606" s="65"/>
      <c r="H606" s="65"/>
      <c r="J606" s="65"/>
      <c r="K606" s="65"/>
      <c r="L606" s="65"/>
    </row>
    <row r="607" ht="15.75" customHeight="1">
      <c r="C607" s="65"/>
      <c r="D607" s="65"/>
      <c r="E607" s="65"/>
      <c r="F607" s="65"/>
      <c r="H607" s="65"/>
      <c r="J607" s="65"/>
      <c r="K607" s="65"/>
      <c r="L607" s="65"/>
    </row>
    <row r="608" ht="15.75" customHeight="1">
      <c r="C608" s="65"/>
      <c r="D608" s="65"/>
      <c r="E608" s="65"/>
      <c r="F608" s="65"/>
      <c r="H608" s="65"/>
      <c r="J608" s="65"/>
      <c r="K608" s="65"/>
      <c r="L608" s="65"/>
    </row>
    <row r="609" ht="15.75" customHeight="1">
      <c r="C609" s="65"/>
      <c r="D609" s="65"/>
      <c r="E609" s="65"/>
      <c r="F609" s="65"/>
      <c r="H609" s="65"/>
      <c r="J609" s="65"/>
      <c r="K609" s="65"/>
      <c r="L609" s="65"/>
    </row>
    <row r="610" ht="15.75" customHeight="1">
      <c r="C610" s="65"/>
      <c r="D610" s="65"/>
      <c r="E610" s="65"/>
      <c r="F610" s="65"/>
      <c r="H610" s="65"/>
      <c r="J610" s="65"/>
      <c r="K610" s="65"/>
      <c r="L610" s="65"/>
    </row>
    <row r="611" ht="15.75" customHeight="1">
      <c r="C611" s="65"/>
      <c r="D611" s="65"/>
      <c r="E611" s="65"/>
      <c r="F611" s="65"/>
      <c r="H611" s="65"/>
      <c r="J611" s="65"/>
      <c r="K611" s="65"/>
      <c r="L611" s="65"/>
    </row>
    <row r="612" ht="15.75" customHeight="1">
      <c r="C612" s="65"/>
      <c r="D612" s="65"/>
      <c r="E612" s="65"/>
      <c r="F612" s="65"/>
      <c r="H612" s="65"/>
      <c r="J612" s="65"/>
      <c r="K612" s="65"/>
      <c r="L612" s="65"/>
    </row>
    <row r="613" ht="15.75" customHeight="1">
      <c r="C613" s="65"/>
      <c r="D613" s="65"/>
      <c r="E613" s="65"/>
      <c r="F613" s="65"/>
      <c r="H613" s="65"/>
      <c r="J613" s="65"/>
      <c r="K613" s="65"/>
      <c r="L613" s="65"/>
    </row>
    <row r="614" ht="15.75" customHeight="1">
      <c r="C614" s="65"/>
      <c r="D614" s="65"/>
      <c r="E614" s="65"/>
      <c r="F614" s="65"/>
      <c r="H614" s="65"/>
      <c r="J614" s="65"/>
      <c r="K614" s="65"/>
      <c r="L614" s="65"/>
    </row>
    <row r="615" ht="15.75" customHeight="1">
      <c r="C615" s="65"/>
      <c r="D615" s="65"/>
      <c r="E615" s="65"/>
      <c r="F615" s="65"/>
      <c r="H615" s="65"/>
      <c r="J615" s="65"/>
      <c r="K615" s="65"/>
      <c r="L615" s="65"/>
    </row>
    <row r="616" ht="15.75" customHeight="1">
      <c r="C616" s="65"/>
      <c r="D616" s="65"/>
      <c r="E616" s="65"/>
      <c r="F616" s="65"/>
      <c r="H616" s="65"/>
      <c r="J616" s="65"/>
      <c r="K616" s="65"/>
      <c r="L616" s="65"/>
    </row>
    <row r="617" ht="15.75" customHeight="1">
      <c r="C617" s="65"/>
      <c r="D617" s="65"/>
      <c r="E617" s="65"/>
      <c r="F617" s="65"/>
      <c r="H617" s="65"/>
      <c r="J617" s="65"/>
      <c r="K617" s="65"/>
      <c r="L617" s="65"/>
    </row>
    <row r="618" ht="15.75" customHeight="1">
      <c r="C618" s="65"/>
      <c r="D618" s="65"/>
      <c r="E618" s="65"/>
      <c r="F618" s="65"/>
      <c r="H618" s="65"/>
      <c r="J618" s="65"/>
      <c r="K618" s="65"/>
      <c r="L618" s="65"/>
    </row>
    <row r="619" ht="15.75" customHeight="1">
      <c r="C619" s="65"/>
      <c r="D619" s="65"/>
      <c r="E619" s="65"/>
      <c r="F619" s="65"/>
      <c r="H619" s="65"/>
      <c r="J619" s="65"/>
      <c r="K619" s="65"/>
      <c r="L619" s="65"/>
    </row>
    <row r="620" ht="15.75" customHeight="1">
      <c r="C620" s="65"/>
      <c r="D620" s="65"/>
      <c r="E620" s="65"/>
      <c r="F620" s="65"/>
      <c r="H620" s="65"/>
      <c r="J620" s="65"/>
      <c r="K620" s="65"/>
      <c r="L620" s="65"/>
    </row>
    <row r="621" ht="15.75" customHeight="1">
      <c r="C621" s="65"/>
      <c r="D621" s="65"/>
      <c r="E621" s="65"/>
      <c r="F621" s="65"/>
      <c r="H621" s="65"/>
      <c r="J621" s="65"/>
      <c r="K621" s="65"/>
      <c r="L621" s="65"/>
    </row>
    <row r="622" ht="15.75" customHeight="1">
      <c r="C622" s="65"/>
      <c r="D622" s="65"/>
      <c r="E622" s="65"/>
      <c r="F622" s="65"/>
      <c r="H622" s="65"/>
      <c r="J622" s="65"/>
      <c r="K622" s="65"/>
      <c r="L622" s="65"/>
    </row>
    <row r="623" ht="15.75" customHeight="1">
      <c r="C623" s="65"/>
      <c r="D623" s="65"/>
      <c r="E623" s="65"/>
      <c r="F623" s="65"/>
      <c r="H623" s="65"/>
      <c r="J623" s="65"/>
      <c r="K623" s="65"/>
      <c r="L623" s="65"/>
    </row>
    <row r="624" ht="15.75" customHeight="1">
      <c r="C624" s="65"/>
      <c r="D624" s="65"/>
      <c r="E624" s="65"/>
      <c r="F624" s="65"/>
      <c r="H624" s="65"/>
      <c r="J624" s="65"/>
      <c r="K624" s="65"/>
      <c r="L624" s="65"/>
    </row>
    <row r="625" ht="15.75" customHeight="1">
      <c r="C625" s="65"/>
      <c r="D625" s="65"/>
      <c r="E625" s="65"/>
      <c r="F625" s="65"/>
      <c r="H625" s="65"/>
      <c r="J625" s="65"/>
      <c r="K625" s="65"/>
      <c r="L625" s="65"/>
    </row>
    <row r="626" ht="15.75" customHeight="1">
      <c r="C626" s="65"/>
      <c r="D626" s="65"/>
      <c r="E626" s="65"/>
      <c r="F626" s="65"/>
      <c r="H626" s="65"/>
      <c r="J626" s="65"/>
      <c r="K626" s="65"/>
      <c r="L626" s="65"/>
    </row>
    <row r="627" ht="15.75" customHeight="1">
      <c r="C627" s="65"/>
      <c r="D627" s="65"/>
      <c r="E627" s="65"/>
      <c r="F627" s="65"/>
      <c r="H627" s="65"/>
      <c r="J627" s="65"/>
      <c r="K627" s="65"/>
      <c r="L627" s="65"/>
    </row>
    <row r="628" ht="15.75" customHeight="1">
      <c r="C628" s="65"/>
      <c r="D628" s="65"/>
      <c r="E628" s="65"/>
      <c r="F628" s="65"/>
      <c r="H628" s="65"/>
      <c r="J628" s="65"/>
      <c r="K628" s="65"/>
      <c r="L628" s="65"/>
    </row>
    <row r="629" ht="15.75" customHeight="1">
      <c r="C629" s="65"/>
      <c r="D629" s="65"/>
      <c r="E629" s="65"/>
      <c r="F629" s="65"/>
      <c r="H629" s="65"/>
      <c r="J629" s="65"/>
      <c r="K629" s="65"/>
      <c r="L629" s="65"/>
    </row>
    <row r="630" ht="15.75" customHeight="1">
      <c r="C630" s="65"/>
      <c r="D630" s="65"/>
      <c r="E630" s="65"/>
      <c r="F630" s="65"/>
      <c r="H630" s="65"/>
      <c r="J630" s="65"/>
      <c r="K630" s="65"/>
      <c r="L630" s="65"/>
    </row>
    <row r="631" ht="15.75" customHeight="1">
      <c r="C631" s="65"/>
      <c r="D631" s="65"/>
      <c r="E631" s="65"/>
      <c r="F631" s="65"/>
      <c r="H631" s="65"/>
      <c r="J631" s="65"/>
      <c r="K631" s="65"/>
      <c r="L631" s="65"/>
    </row>
    <row r="632" ht="15.75" customHeight="1">
      <c r="C632" s="65"/>
      <c r="D632" s="65"/>
      <c r="E632" s="65"/>
      <c r="F632" s="65"/>
      <c r="H632" s="65"/>
      <c r="J632" s="65"/>
      <c r="K632" s="65"/>
      <c r="L632" s="65"/>
    </row>
    <row r="633" ht="15.75" customHeight="1">
      <c r="C633" s="65"/>
      <c r="D633" s="65"/>
      <c r="E633" s="65"/>
      <c r="F633" s="65"/>
      <c r="H633" s="65"/>
      <c r="J633" s="65"/>
      <c r="K633" s="65"/>
      <c r="L633" s="65"/>
    </row>
    <row r="634" ht="15.75" customHeight="1">
      <c r="C634" s="65"/>
      <c r="D634" s="65"/>
      <c r="E634" s="65"/>
      <c r="F634" s="65"/>
      <c r="H634" s="65"/>
      <c r="J634" s="65"/>
      <c r="K634" s="65"/>
      <c r="L634" s="65"/>
    </row>
    <row r="635" ht="15.75" customHeight="1">
      <c r="C635" s="65"/>
      <c r="D635" s="65"/>
      <c r="E635" s="65"/>
      <c r="F635" s="65"/>
      <c r="H635" s="65"/>
      <c r="J635" s="65"/>
      <c r="K635" s="65"/>
      <c r="L635" s="65"/>
    </row>
    <row r="636" ht="15.75" customHeight="1">
      <c r="C636" s="65"/>
      <c r="D636" s="65"/>
      <c r="E636" s="65"/>
      <c r="F636" s="65"/>
      <c r="H636" s="65"/>
      <c r="J636" s="65"/>
      <c r="K636" s="65"/>
      <c r="L636" s="65"/>
    </row>
    <row r="637" ht="15.75" customHeight="1">
      <c r="C637" s="65"/>
      <c r="D637" s="65"/>
      <c r="E637" s="65"/>
      <c r="F637" s="65"/>
      <c r="H637" s="65"/>
      <c r="J637" s="65"/>
      <c r="K637" s="65"/>
      <c r="L637" s="65"/>
    </row>
    <row r="638" ht="15.75" customHeight="1">
      <c r="C638" s="65"/>
      <c r="D638" s="65"/>
      <c r="E638" s="65"/>
      <c r="F638" s="65"/>
      <c r="H638" s="65"/>
      <c r="J638" s="65"/>
      <c r="K638" s="65"/>
      <c r="L638" s="65"/>
    </row>
    <row r="639" ht="15.75" customHeight="1">
      <c r="C639" s="65"/>
      <c r="D639" s="65"/>
      <c r="E639" s="65"/>
      <c r="F639" s="65"/>
      <c r="H639" s="65"/>
      <c r="J639" s="65"/>
      <c r="K639" s="65"/>
      <c r="L639" s="65"/>
    </row>
    <row r="640" ht="15.75" customHeight="1">
      <c r="C640" s="65"/>
      <c r="D640" s="65"/>
      <c r="E640" s="65"/>
      <c r="F640" s="65"/>
      <c r="H640" s="65"/>
      <c r="J640" s="65"/>
      <c r="K640" s="65"/>
      <c r="L640" s="65"/>
    </row>
    <row r="641" ht="15.75" customHeight="1">
      <c r="C641" s="65"/>
      <c r="D641" s="65"/>
      <c r="E641" s="65"/>
      <c r="F641" s="65"/>
      <c r="H641" s="65"/>
      <c r="J641" s="65"/>
      <c r="K641" s="65"/>
      <c r="L641" s="65"/>
    </row>
    <row r="642" ht="15.75" customHeight="1">
      <c r="C642" s="65"/>
      <c r="D642" s="65"/>
      <c r="E642" s="65"/>
      <c r="F642" s="65"/>
      <c r="H642" s="65"/>
      <c r="J642" s="65"/>
      <c r="K642" s="65"/>
      <c r="L642" s="65"/>
    </row>
    <row r="643" ht="15.75" customHeight="1">
      <c r="C643" s="65"/>
      <c r="D643" s="65"/>
      <c r="E643" s="65"/>
      <c r="F643" s="65"/>
      <c r="H643" s="65"/>
      <c r="J643" s="65"/>
      <c r="K643" s="65"/>
      <c r="L643" s="65"/>
    </row>
    <row r="644" ht="15.75" customHeight="1">
      <c r="C644" s="65"/>
      <c r="D644" s="65"/>
      <c r="E644" s="65"/>
      <c r="F644" s="65"/>
      <c r="H644" s="65"/>
      <c r="J644" s="65"/>
      <c r="K644" s="65"/>
      <c r="L644" s="65"/>
    </row>
    <row r="645" ht="15.75" customHeight="1">
      <c r="C645" s="65"/>
      <c r="D645" s="65"/>
      <c r="E645" s="65"/>
      <c r="F645" s="65"/>
      <c r="H645" s="65"/>
      <c r="J645" s="65"/>
      <c r="K645" s="65"/>
      <c r="L645" s="65"/>
    </row>
    <row r="646" ht="15.75" customHeight="1">
      <c r="C646" s="65"/>
      <c r="D646" s="65"/>
      <c r="E646" s="65"/>
      <c r="F646" s="65"/>
      <c r="H646" s="65"/>
      <c r="J646" s="65"/>
      <c r="K646" s="65"/>
      <c r="L646" s="65"/>
    </row>
    <row r="647" ht="15.75" customHeight="1">
      <c r="C647" s="65"/>
      <c r="D647" s="65"/>
      <c r="E647" s="65"/>
      <c r="F647" s="65"/>
      <c r="H647" s="65"/>
      <c r="J647" s="65"/>
      <c r="K647" s="65"/>
      <c r="L647" s="65"/>
    </row>
    <row r="648" ht="15.75" customHeight="1">
      <c r="C648" s="65"/>
      <c r="D648" s="65"/>
      <c r="E648" s="65"/>
      <c r="F648" s="65"/>
      <c r="H648" s="65"/>
      <c r="J648" s="65"/>
      <c r="K648" s="65"/>
      <c r="L648" s="65"/>
    </row>
    <row r="649" ht="15.75" customHeight="1">
      <c r="C649" s="65"/>
      <c r="D649" s="65"/>
      <c r="E649" s="65"/>
      <c r="F649" s="65"/>
      <c r="H649" s="65"/>
      <c r="J649" s="65"/>
      <c r="K649" s="65"/>
      <c r="L649" s="65"/>
    </row>
    <row r="650" ht="15.75" customHeight="1">
      <c r="C650" s="65"/>
      <c r="D650" s="65"/>
      <c r="E650" s="65"/>
      <c r="F650" s="65"/>
      <c r="H650" s="65"/>
      <c r="J650" s="65"/>
      <c r="K650" s="65"/>
      <c r="L650" s="65"/>
    </row>
    <row r="651" ht="15.75" customHeight="1">
      <c r="C651" s="65"/>
      <c r="D651" s="65"/>
      <c r="E651" s="65"/>
      <c r="F651" s="65"/>
      <c r="H651" s="65"/>
      <c r="J651" s="65"/>
      <c r="K651" s="65"/>
      <c r="L651" s="65"/>
    </row>
    <row r="652" ht="15.75" customHeight="1">
      <c r="C652" s="65"/>
      <c r="D652" s="65"/>
      <c r="E652" s="65"/>
      <c r="F652" s="65"/>
      <c r="H652" s="65"/>
      <c r="J652" s="65"/>
      <c r="K652" s="65"/>
      <c r="L652" s="65"/>
    </row>
    <row r="653" ht="15.75" customHeight="1">
      <c r="C653" s="65"/>
      <c r="D653" s="65"/>
      <c r="E653" s="65"/>
      <c r="F653" s="65"/>
      <c r="H653" s="65"/>
      <c r="J653" s="65"/>
      <c r="K653" s="65"/>
      <c r="L653" s="65"/>
    </row>
    <row r="654" ht="15.75" customHeight="1">
      <c r="C654" s="65"/>
      <c r="D654" s="65"/>
      <c r="E654" s="65"/>
      <c r="F654" s="65"/>
      <c r="H654" s="65"/>
      <c r="J654" s="65"/>
      <c r="K654" s="65"/>
      <c r="L654" s="65"/>
    </row>
    <row r="655" ht="15.75" customHeight="1">
      <c r="C655" s="65"/>
      <c r="D655" s="65"/>
      <c r="E655" s="65"/>
      <c r="F655" s="65"/>
      <c r="H655" s="65"/>
      <c r="J655" s="65"/>
      <c r="K655" s="65"/>
      <c r="L655" s="65"/>
    </row>
    <row r="656" ht="15.75" customHeight="1">
      <c r="C656" s="65"/>
      <c r="D656" s="65"/>
      <c r="E656" s="65"/>
      <c r="F656" s="65"/>
      <c r="H656" s="65"/>
      <c r="J656" s="65"/>
      <c r="K656" s="65"/>
      <c r="L656" s="65"/>
    </row>
    <row r="657" ht="15.75" customHeight="1">
      <c r="C657" s="65"/>
      <c r="D657" s="65"/>
      <c r="E657" s="65"/>
      <c r="F657" s="65"/>
      <c r="H657" s="65"/>
      <c r="J657" s="65"/>
      <c r="K657" s="65"/>
      <c r="L657" s="65"/>
    </row>
    <row r="658" ht="15.75" customHeight="1">
      <c r="C658" s="65"/>
      <c r="D658" s="65"/>
      <c r="E658" s="65"/>
      <c r="F658" s="65"/>
      <c r="H658" s="65"/>
      <c r="J658" s="65"/>
      <c r="K658" s="65"/>
      <c r="L658" s="65"/>
    </row>
    <row r="659" ht="15.75" customHeight="1">
      <c r="C659" s="65"/>
      <c r="D659" s="65"/>
      <c r="E659" s="65"/>
      <c r="F659" s="65"/>
      <c r="H659" s="65"/>
      <c r="J659" s="65"/>
      <c r="K659" s="65"/>
      <c r="L659" s="65"/>
    </row>
    <row r="660" ht="15.75" customHeight="1">
      <c r="C660" s="65"/>
      <c r="D660" s="65"/>
      <c r="E660" s="65"/>
      <c r="F660" s="65"/>
      <c r="H660" s="65"/>
      <c r="J660" s="65"/>
      <c r="K660" s="65"/>
      <c r="L660" s="65"/>
    </row>
    <row r="661" ht="15.75" customHeight="1">
      <c r="C661" s="65"/>
      <c r="D661" s="65"/>
      <c r="E661" s="65"/>
      <c r="F661" s="65"/>
      <c r="H661" s="65"/>
      <c r="J661" s="65"/>
      <c r="K661" s="65"/>
      <c r="L661" s="65"/>
    </row>
    <row r="662" ht="15.75" customHeight="1">
      <c r="C662" s="65"/>
      <c r="D662" s="65"/>
      <c r="E662" s="65"/>
      <c r="F662" s="65"/>
      <c r="H662" s="65"/>
      <c r="J662" s="65"/>
      <c r="K662" s="65"/>
      <c r="L662" s="65"/>
    </row>
    <row r="663" ht="15.75" customHeight="1">
      <c r="C663" s="65"/>
      <c r="D663" s="65"/>
      <c r="E663" s="65"/>
      <c r="F663" s="65"/>
      <c r="H663" s="65"/>
      <c r="J663" s="65"/>
      <c r="K663" s="65"/>
      <c r="L663" s="65"/>
    </row>
    <row r="664" ht="15.75" customHeight="1">
      <c r="C664" s="65"/>
      <c r="D664" s="65"/>
      <c r="E664" s="65"/>
      <c r="F664" s="65"/>
      <c r="H664" s="65"/>
      <c r="J664" s="65"/>
      <c r="K664" s="65"/>
      <c r="L664" s="65"/>
    </row>
    <row r="665" ht="15.75" customHeight="1">
      <c r="C665" s="65"/>
      <c r="D665" s="65"/>
      <c r="E665" s="65"/>
      <c r="F665" s="65"/>
      <c r="H665" s="65"/>
      <c r="J665" s="65"/>
      <c r="K665" s="65"/>
      <c r="L665" s="65"/>
    </row>
    <row r="666" ht="15.75" customHeight="1">
      <c r="C666" s="65"/>
      <c r="D666" s="65"/>
      <c r="E666" s="65"/>
      <c r="F666" s="65"/>
      <c r="H666" s="65"/>
      <c r="J666" s="65"/>
      <c r="K666" s="65"/>
      <c r="L666" s="65"/>
    </row>
    <row r="667" ht="15.75" customHeight="1">
      <c r="C667" s="65"/>
      <c r="D667" s="65"/>
      <c r="E667" s="65"/>
      <c r="F667" s="65"/>
      <c r="H667" s="65"/>
      <c r="J667" s="65"/>
      <c r="K667" s="65"/>
      <c r="L667" s="65"/>
    </row>
    <row r="668" ht="15.75" customHeight="1">
      <c r="C668" s="65"/>
      <c r="D668" s="65"/>
      <c r="E668" s="65"/>
      <c r="F668" s="65"/>
      <c r="H668" s="65"/>
      <c r="J668" s="65"/>
      <c r="K668" s="65"/>
      <c r="L668" s="65"/>
    </row>
    <row r="669" ht="15.75" customHeight="1">
      <c r="C669" s="65"/>
      <c r="D669" s="65"/>
      <c r="E669" s="65"/>
      <c r="F669" s="65"/>
      <c r="H669" s="65"/>
      <c r="J669" s="65"/>
      <c r="K669" s="65"/>
      <c r="L669" s="65"/>
    </row>
    <row r="670" ht="15.75" customHeight="1">
      <c r="C670" s="65"/>
      <c r="D670" s="65"/>
      <c r="E670" s="65"/>
      <c r="F670" s="65"/>
      <c r="H670" s="65"/>
      <c r="J670" s="65"/>
      <c r="K670" s="65"/>
      <c r="L670" s="65"/>
    </row>
    <row r="671" ht="15.75" customHeight="1">
      <c r="C671" s="65"/>
      <c r="D671" s="65"/>
      <c r="E671" s="65"/>
      <c r="F671" s="65"/>
      <c r="H671" s="65"/>
      <c r="J671" s="65"/>
      <c r="K671" s="65"/>
      <c r="L671" s="65"/>
    </row>
    <row r="672" ht="15.75" customHeight="1">
      <c r="C672" s="65"/>
      <c r="D672" s="65"/>
      <c r="E672" s="65"/>
      <c r="F672" s="65"/>
      <c r="H672" s="65"/>
      <c r="J672" s="65"/>
      <c r="K672" s="65"/>
      <c r="L672" s="65"/>
    </row>
    <row r="673" ht="15.75" customHeight="1">
      <c r="C673" s="65"/>
      <c r="D673" s="65"/>
      <c r="E673" s="65"/>
      <c r="F673" s="65"/>
      <c r="H673" s="65"/>
      <c r="J673" s="65"/>
      <c r="K673" s="65"/>
      <c r="L673" s="65"/>
    </row>
    <row r="674" ht="15.75" customHeight="1">
      <c r="C674" s="65"/>
      <c r="D674" s="65"/>
      <c r="E674" s="65"/>
      <c r="F674" s="65"/>
      <c r="H674" s="65"/>
      <c r="J674" s="65"/>
      <c r="K674" s="65"/>
      <c r="L674" s="65"/>
    </row>
    <row r="675" ht="15.75" customHeight="1">
      <c r="C675" s="65"/>
      <c r="D675" s="65"/>
      <c r="E675" s="65"/>
      <c r="F675" s="65"/>
      <c r="H675" s="65"/>
      <c r="J675" s="65"/>
      <c r="K675" s="65"/>
      <c r="L675" s="65"/>
    </row>
    <row r="676" ht="15.75" customHeight="1">
      <c r="C676" s="65"/>
      <c r="D676" s="65"/>
      <c r="E676" s="65"/>
      <c r="F676" s="65"/>
      <c r="H676" s="65"/>
      <c r="J676" s="65"/>
      <c r="K676" s="65"/>
      <c r="L676" s="65"/>
    </row>
    <row r="677" ht="15.75" customHeight="1">
      <c r="C677" s="65"/>
      <c r="D677" s="65"/>
      <c r="E677" s="65"/>
      <c r="F677" s="65"/>
      <c r="H677" s="65"/>
      <c r="J677" s="65"/>
      <c r="K677" s="65"/>
      <c r="L677" s="65"/>
    </row>
    <row r="678" ht="15.75" customHeight="1">
      <c r="C678" s="65"/>
      <c r="D678" s="65"/>
      <c r="E678" s="65"/>
      <c r="F678" s="65"/>
      <c r="H678" s="65"/>
      <c r="J678" s="65"/>
      <c r="K678" s="65"/>
      <c r="L678" s="65"/>
    </row>
    <row r="679" ht="15.75" customHeight="1">
      <c r="C679" s="65"/>
      <c r="D679" s="65"/>
      <c r="E679" s="65"/>
      <c r="F679" s="65"/>
      <c r="H679" s="65"/>
      <c r="J679" s="65"/>
      <c r="K679" s="65"/>
      <c r="L679" s="65"/>
    </row>
    <row r="680" ht="15.75" customHeight="1">
      <c r="C680" s="65"/>
      <c r="D680" s="65"/>
      <c r="E680" s="65"/>
      <c r="F680" s="65"/>
      <c r="H680" s="65"/>
      <c r="J680" s="65"/>
      <c r="K680" s="65"/>
      <c r="L680" s="65"/>
    </row>
    <row r="681" ht="15.75" customHeight="1">
      <c r="C681" s="65"/>
      <c r="D681" s="65"/>
      <c r="E681" s="65"/>
      <c r="F681" s="65"/>
      <c r="H681" s="65"/>
      <c r="J681" s="65"/>
      <c r="K681" s="65"/>
      <c r="L681" s="65"/>
    </row>
    <row r="682" ht="15.75" customHeight="1">
      <c r="C682" s="65"/>
      <c r="D682" s="65"/>
      <c r="E682" s="65"/>
      <c r="F682" s="65"/>
      <c r="H682" s="65"/>
      <c r="J682" s="65"/>
      <c r="K682" s="65"/>
      <c r="L682" s="65"/>
    </row>
    <row r="683" ht="15.75" customHeight="1">
      <c r="C683" s="65"/>
      <c r="D683" s="65"/>
      <c r="E683" s="65"/>
      <c r="F683" s="65"/>
      <c r="H683" s="65"/>
      <c r="J683" s="65"/>
      <c r="K683" s="65"/>
      <c r="L683" s="65"/>
    </row>
    <row r="684" ht="15.75" customHeight="1">
      <c r="C684" s="65"/>
      <c r="D684" s="65"/>
      <c r="E684" s="65"/>
      <c r="F684" s="65"/>
      <c r="H684" s="65"/>
      <c r="J684" s="65"/>
      <c r="K684" s="65"/>
      <c r="L684" s="65"/>
    </row>
    <row r="685" ht="15.75" customHeight="1">
      <c r="C685" s="65"/>
      <c r="D685" s="65"/>
      <c r="E685" s="65"/>
      <c r="F685" s="65"/>
      <c r="H685" s="65"/>
      <c r="J685" s="65"/>
      <c r="K685" s="65"/>
      <c r="L685" s="65"/>
    </row>
    <row r="686" ht="15.75" customHeight="1">
      <c r="C686" s="65"/>
      <c r="D686" s="65"/>
      <c r="E686" s="65"/>
      <c r="F686" s="65"/>
      <c r="H686" s="65"/>
      <c r="J686" s="65"/>
      <c r="K686" s="65"/>
      <c r="L686" s="65"/>
    </row>
    <row r="687" ht="15.75" customHeight="1">
      <c r="C687" s="65"/>
      <c r="D687" s="65"/>
      <c r="E687" s="65"/>
      <c r="F687" s="65"/>
      <c r="H687" s="65"/>
      <c r="J687" s="65"/>
      <c r="K687" s="65"/>
      <c r="L687" s="65"/>
    </row>
    <row r="688" ht="15.75" customHeight="1">
      <c r="C688" s="65"/>
      <c r="D688" s="65"/>
      <c r="E688" s="65"/>
      <c r="F688" s="65"/>
      <c r="H688" s="65"/>
      <c r="J688" s="65"/>
      <c r="K688" s="65"/>
      <c r="L688" s="65"/>
    </row>
    <row r="689" ht="15.75" customHeight="1">
      <c r="C689" s="65"/>
      <c r="D689" s="65"/>
      <c r="E689" s="65"/>
      <c r="F689" s="65"/>
      <c r="H689" s="65"/>
      <c r="J689" s="65"/>
      <c r="K689" s="65"/>
      <c r="L689" s="65"/>
    </row>
    <row r="690" ht="15.75" customHeight="1">
      <c r="C690" s="65"/>
      <c r="D690" s="65"/>
      <c r="E690" s="65"/>
      <c r="F690" s="65"/>
      <c r="H690" s="65"/>
      <c r="J690" s="65"/>
      <c r="K690" s="65"/>
      <c r="L690" s="65"/>
    </row>
    <row r="691" ht="15.75" customHeight="1">
      <c r="C691" s="65"/>
      <c r="D691" s="65"/>
      <c r="E691" s="65"/>
      <c r="F691" s="65"/>
      <c r="H691" s="65"/>
      <c r="J691" s="65"/>
      <c r="K691" s="65"/>
      <c r="L691" s="65"/>
    </row>
    <row r="692" ht="15.75" customHeight="1">
      <c r="C692" s="65"/>
      <c r="D692" s="65"/>
      <c r="E692" s="65"/>
      <c r="F692" s="65"/>
      <c r="H692" s="65"/>
      <c r="J692" s="65"/>
      <c r="K692" s="65"/>
      <c r="L692" s="65"/>
    </row>
    <row r="693" ht="15.75" customHeight="1">
      <c r="C693" s="65"/>
      <c r="D693" s="65"/>
      <c r="E693" s="65"/>
      <c r="F693" s="65"/>
      <c r="H693" s="65"/>
      <c r="J693" s="65"/>
      <c r="K693" s="65"/>
      <c r="L693" s="65"/>
    </row>
    <row r="694" ht="15.75" customHeight="1">
      <c r="C694" s="65"/>
      <c r="D694" s="65"/>
      <c r="E694" s="65"/>
      <c r="F694" s="65"/>
      <c r="H694" s="65"/>
      <c r="J694" s="65"/>
      <c r="K694" s="65"/>
      <c r="L694" s="65"/>
    </row>
    <row r="695" ht="15.75" customHeight="1">
      <c r="C695" s="65"/>
      <c r="D695" s="65"/>
      <c r="E695" s="65"/>
      <c r="F695" s="65"/>
      <c r="H695" s="65"/>
      <c r="J695" s="65"/>
      <c r="K695" s="65"/>
      <c r="L695" s="65"/>
    </row>
    <row r="696" ht="15.75" customHeight="1">
      <c r="C696" s="65"/>
      <c r="D696" s="65"/>
      <c r="E696" s="65"/>
      <c r="F696" s="65"/>
      <c r="H696" s="65"/>
      <c r="J696" s="65"/>
      <c r="K696" s="65"/>
      <c r="L696" s="65"/>
    </row>
    <row r="697" ht="15.75" customHeight="1">
      <c r="C697" s="65"/>
      <c r="D697" s="65"/>
      <c r="E697" s="65"/>
      <c r="F697" s="65"/>
      <c r="H697" s="65"/>
      <c r="J697" s="65"/>
      <c r="K697" s="65"/>
      <c r="L697" s="65"/>
    </row>
    <row r="698" ht="15.75" customHeight="1">
      <c r="C698" s="65"/>
      <c r="D698" s="65"/>
      <c r="E698" s="65"/>
      <c r="F698" s="65"/>
      <c r="H698" s="65"/>
      <c r="J698" s="65"/>
      <c r="K698" s="65"/>
      <c r="L698" s="65"/>
    </row>
    <row r="699" ht="15.75" customHeight="1">
      <c r="C699" s="65"/>
      <c r="D699" s="65"/>
      <c r="E699" s="65"/>
      <c r="F699" s="65"/>
      <c r="H699" s="65"/>
      <c r="J699" s="65"/>
      <c r="K699" s="65"/>
      <c r="L699" s="65"/>
    </row>
    <row r="700" ht="15.75" customHeight="1">
      <c r="C700" s="65"/>
      <c r="D700" s="65"/>
      <c r="E700" s="65"/>
      <c r="F700" s="65"/>
      <c r="H700" s="65"/>
      <c r="J700" s="65"/>
      <c r="K700" s="65"/>
      <c r="L700" s="65"/>
    </row>
    <row r="701" ht="15.75" customHeight="1">
      <c r="C701" s="65"/>
      <c r="D701" s="65"/>
      <c r="E701" s="65"/>
      <c r="F701" s="65"/>
      <c r="H701" s="65"/>
      <c r="J701" s="65"/>
      <c r="K701" s="65"/>
      <c r="L701" s="65"/>
    </row>
    <row r="702" ht="15.75" customHeight="1">
      <c r="C702" s="65"/>
      <c r="D702" s="65"/>
      <c r="E702" s="65"/>
      <c r="F702" s="65"/>
      <c r="H702" s="65"/>
      <c r="J702" s="65"/>
      <c r="K702" s="65"/>
      <c r="L702" s="65"/>
    </row>
    <row r="703" ht="15.75" customHeight="1">
      <c r="C703" s="65"/>
      <c r="D703" s="65"/>
      <c r="E703" s="65"/>
      <c r="F703" s="65"/>
      <c r="H703" s="65"/>
      <c r="J703" s="65"/>
      <c r="K703" s="65"/>
      <c r="L703" s="65"/>
    </row>
    <row r="704" ht="15.75" customHeight="1">
      <c r="C704" s="65"/>
      <c r="D704" s="65"/>
      <c r="E704" s="65"/>
      <c r="F704" s="65"/>
      <c r="H704" s="65"/>
      <c r="J704" s="65"/>
      <c r="K704" s="65"/>
      <c r="L704" s="65"/>
    </row>
    <row r="705" ht="15.75" customHeight="1">
      <c r="C705" s="65"/>
      <c r="D705" s="65"/>
      <c r="E705" s="65"/>
      <c r="F705" s="65"/>
      <c r="H705" s="65"/>
      <c r="J705" s="65"/>
      <c r="K705" s="65"/>
      <c r="L705" s="65"/>
    </row>
    <row r="706" ht="15.75" customHeight="1">
      <c r="C706" s="65"/>
      <c r="D706" s="65"/>
      <c r="E706" s="65"/>
      <c r="F706" s="65"/>
      <c r="H706" s="65"/>
      <c r="J706" s="65"/>
      <c r="K706" s="65"/>
      <c r="L706" s="65"/>
    </row>
    <row r="707" ht="15.75" customHeight="1">
      <c r="C707" s="65"/>
      <c r="D707" s="65"/>
      <c r="E707" s="65"/>
      <c r="F707" s="65"/>
      <c r="H707" s="65"/>
      <c r="J707" s="65"/>
      <c r="K707" s="65"/>
      <c r="L707" s="65"/>
    </row>
    <row r="708" ht="15.75" customHeight="1">
      <c r="C708" s="65"/>
      <c r="D708" s="65"/>
      <c r="E708" s="65"/>
      <c r="F708" s="65"/>
      <c r="H708" s="65"/>
      <c r="J708" s="65"/>
      <c r="K708" s="65"/>
      <c r="L708" s="65"/>
    </row>
    <row r="709" ht="15.75" customHeight="1">
      <c r="C709" s="65"/>
      <c r="D709" s="65"/>
      <c r="E709" s="65"/>
      <c r="F709" s="65"/>
      <c r="H709" s="65"/>
      <c r="J709" s="65"/>
      <c r="K709" s="65"/>
      <c r="L709" s="65"/>
    </row>
    <row r="710" ht="15.75" customHeight="1">
      <c r="C710" s="65"/>
      <c r="D710" s="65"/>
      <c r="E710" s="65"/>
      <c r="F710" s="65"/>
      <c r="H710" s="65"/>
      <c r="J710" s="65"/>
      <c r="K710" s="65"/>
      <c r="L710" s="65"/>
    </row>
    <row r="711" ht="15.75" customHeight="1">
      <c r="C711" s="65"/>
      <c r="D711" s="65"/>
      <c r="E711" s="65"/>
      <c r="F711" s="65"/>
      <c r="H711" s="65"/>
      <c r="J711" s="65"/>
      <c r="K711" s="65"/>
      <c r="L711" s="65"/>
    </row>
    <row r="712" ht="15.75" customHeight="1">
      <c r="C712" s="65"/>
      <c r="D712" s="65"/>
      <c r="E712" s="65"/>
      <c r="F712" s="65"/>
      <c r="H712" s="65"/>
      <c r="J712" s="65"/>
      <c r="K712" s="65"/>
      <c r="L712" s="65"/>
    </row>
    <row r="713" ht="15.75" customHeight="1">
      <c r="C713" s="65"/>
      <c r="D713" s="65"/>
      <c r="E713" s="65"/>
      <c r="F713" s="65"/>
      <c r="H713" s="65"/>
      <c r="J713" s="65"/>
      <c r="K713" s="65"/>
      <c r="L713" s="65"/>
    </row>
    <row r="714" ht="15.75" customHeight="1">
      <c r="C714" s="65"/>
      <c r="D714" s="65"/>
      <c r="E714" s="65"/>
      <c r="F714" s="65"/>
      <c r="H714" s="65"/>
      <c r="J714" s="65"/>
      <c r="K714" s="65"/>
      <c r="L714" s="65"/>
    </row>
    <row r="715" ht="15.75" customHeight="1">
      <c r="C715" s="65"/>
      <c r="D715" s="65"/>
      <c r="E715" s="65"/>
      <c r="F715" s="65"/>
      <c r="H715" s="65"/>
      <c r="J715" s="65"/>
      <c r="K715" s="65"/>
      <c r="L715" s="65"/>
    </row>
    <row r="716" ht="15.75" customHeight="1">
      <c r="C716" s="65"/>
      <c r="D716" s="65"/>
      <c r="E716" s="65"/>
      <c r="F716" s="65"/>
      <c r="H716" s="65"/>
      <c r="J716" s="65"/>
      <c r="K716" s="65"/>
      <c r="L716" s="65"/>
    </row>
    <row r="717" ht="15.75" customHeight="1">
      <c r="C717" s="65"/>
      <c r="D717" s="65"/>
      <c r="E717" s="65"/>
      <c r="F717" s="65"/>
      <c r="H717" s="65"/>
      <c r="J717" s="65"/>
      <c r="K717" s="65"/>
      <c r="L717" s="65"/>
    </row>
    <row r="718" ht="15.75" customHeight="1">
      <c r="C718" s="65"/>
      <c r="D718" s="65"/>
      <c r="E718" s="65"/>
      <c r="F718" s="65"/>
      <c r="H718" s="65"/>
      <c r="J718" s="65"/>
      <c r="K718" s="65"/>
      <c r="L718" s="65"/>
    </row>
    <row r="719" ht="15.75" customHeight="1">
      <c r="C719" s="65"/>
      <c r="D719" s="65"/>
      <c r="E719" s="65"/>
      <c r="F719" s="65"/>
      <c r="H719" s="65"/>
      <c r="J719" s="65"/>
      <c r="K719" s="65"/>
      <c r="L719" s="65"/>
    </row>
    <row r="720" ht="15.75" customHeight="1">
      <c r="C720" s="65"/>
      <c r="D720" s="65"/>
      <c r="E720" s="65"/>
      <c r="F720" s="65"/>
      <c r="H720" s="65"/>
      <c r="J720" s="65"/>
      <c r="K720" s="65"/>
      <c r="L720" s="65"/>
    </row>
    <row r="721" ht="15.75" customHeight="1">
      <c r="C721" s="65"/>
      <c r="D721" s="65"/>
      <c r="E721" s="65"/>
      <c r="F721" s="65"/>
      <c r="H721" s="65"/>
      <c r="J721" s="65"/>
      <c r="K721" s="65"/>
      <c r="L721" s="65"/>
    </row>
    <row r="722" ht="15.75" customHeight="1">
      <c r="C722" s="65"/>
      <c r="D722" s="65"/>
      <c r="E722" s="65"/>
      <c r="F722" s="65"/>
      <c r="H722" s="65"/>
      <c r="J722" s="65"/>
      <c r="K722" s="65"/>
      <c r="L722" s="65"/>
    </row>
    <row r="723" ht="15.75" customHeight="1">
      <c r="C723" s="65"/>
      <c r="D723" s="65"/>
      <c r="E723" s="65"/>
      <c r="F723" s="65"/>
      <c r="H723" s="65"/>
      <c r="J723" s="65"/>
      <c r="K723" s="65"/>
      <c r="L723" s="65"/>
    </row>
    <row r="724" ht="15.75" customHeight="1">
      <c r="C724" s="65"/>
      <c r="D724" s="65"/>
      <c r="E724" s="65"/>
      <c r="F724" s="65"/>
      <c r="H724" s="65"/>
      <c r="J724" s="65"/>
      <c r="K724" s="65"/>
      <c r="L724" s="65"/>
    </row>
    <row r="725" ht="15.75" customHeight="1">
      <c r="C725" s="65"/>
      <c r="D725" s="65"/>
      <c r="E725" s="65"/>
      <c r="F725" s="65"/>
      <c r="H725" s="65"/>
      <c r="J725" s="65"/>
      <c r="K725" s="65"/>
      <c r="L725" s="65"/>
    </row>
    <row r="726" ht="15.75" customHeight="1">
      <c r="C726" s="65"/>
      <c r="D726" s="65"/>
      <c r="E726" s="65"/>
      <c r="F726" s="65"/>
      <c r="H726" s="65"/>
      <c r="J726" s="65"/>
      <c r="K726" s="65"/>
      <c r="L726" s="65"/>
    </row>
    <row r="727" ht="15.75" customHeight="1">
      <c r="C727" s="65"/>
      <c r="D727" s="65"/>
      <c r="E727" s="65"/>
      <c r="F727" s="65"/>
      <c r="H727" s="65"/>
      <c r="J727" s="65"/>
      <c r="K727" s="65"/>
      <c r="L727" s="65"/>
    </row>
    <row r="728" ht="15.75" customHeight="1">
      <c r="C728" s="65"/>
      <c r="D728" s="65"/>
      <c r="E728" s="65"/>
      <c r="F728" s="65"/>
      <c r="H728" s="65"/>
      <c r="J728" s="65"/>
      <c r="K728" s="65"/>
      <c r="L728" s="65"/>
    </row>
    <row r="729" ht="15.75" customHeight="1">
      <c r="C729" s="65"/>
      <c r="D729" s="65"/>
      <c r="E729" s="65"/>
      <c r="F729" s="65"/>
      <c r="H729" s="65"/>
      <c r="J729" s="65"/>
      <c r="K729" s="65"/>
      <c r="L729" s="65"/>
    </row>
    <row r="730" ht="15.75" customHeight="1">
      <c r="C730" s="65"/>
      <c r="D730" s="65"/>
      <c r="E730" s="65"/>
      <c r="F730" s="65"/>
      <c r="H730" s="65"/>
      <c r="J730" s="65"/>
      <c r="K730" s="65"/>
      <c r="L730" s="65"/>
    </row>
    <row r="731" ht="15.75" customHeight="1">
      <c r="C731" s="65"/>
      <c r="D731" s="65"/>
      <c r="E731" s="65"/>
      <c r="F731" s="65"/>
      <c r="H731" s="65"/>
      <c r="J731" s="65"/>
      <c r="K731" s="65"/>
      <c r="L731" s="65"/>
    </row>
    <row r="732" ht="15.75" customHeight="1">
      <c r="C732" s="65"/>
      <c r="D732" s="65"/>
      <c r="E732" s="65"/>
      <c r="F732" s="65"/>
      <c r="H732" s="65"/>
      <c r="J732" s="65"/>
      <c r="K732" s="65"/>
      <c r="L732" s="65"/>
    </row>
    <row r="733" ht="15.75" customHeight="1">
      <c r="C733" s="65"/>
      <c r="D733" s="65"/>
      <c r="E733" s="65"/>
      <c r="F733" s="65"/>
      <c r="H733" s="65"/>
      <c r="J733" s="65"/>
      <c r="K733" s="65"/>
      <c r="L733" s="65"/>
    </row>
    <row r="734" ht="15.75" customHeight="1">
      <c r="C734" s="65"/>
      <c r="D734" s="65"/>
      <c r="E734" s="65"/>
      <c r="F734" s="65"/>
      <c r="H734" s="65"/>
      <c r="J734" s="65"/>
      <c r="K734" s="65"/>
      <c r="L734" s="65"/>
    </row>
    <row r="735" ht="15.75" customHeight="1">
      <c r="C735" s="65"/>
      <c r="D735" s="65"/>
      <c r="E735" s="65"/>
      <c r="F735" s="65"/>
      <c r="H735" s="65"/>
      <c r="J735" s="65"/>
      <c r="K735" s="65"/>
      <c r="L735" s="65"/>
    </row>
    <row r="736" ht="15.75" customHeight="1">
      <c r="C736" s="65"/>
      <c r="D736" s="65"/>
      <c r="E736" s="65"/>
      <c r="F736" s="65"/>
      <c r="H736" s="65"/>
      <c r="J736" s="65"/>
      <c r="K736" s="65"/>
      <c r="L736" s="65"/>
    </row>
    <row r="737" ht="15.75" customHeight="1">
      <c r="C737" s="65"/>
      <c r="D737" s="65"/>
      <c r="E737" s="65"/>
      <c r="F737" s="65"/>
      <c r="H737" s="65"/>
      <c r="J737" s="65"/>
      <c r="K737" s="65"/>
      <c r="L737" s="65"/>
    </row>
    <row r="738" ht="15.75" customHeight="1">
      <c r="C738" s="65"/>
      <c r="D738" s="65"/>
      <c r="E738" s="65"/>
      <c r="F738" s="65"/>
      <c r="H738" s="65"/>
      <c r="J738" s="65"/>
      <c r="K738" s="65"/>
      <c r="L738" s="65"/>
    </row>
    <row r="739" ht="15.75" customHeight="1">
      <c r="C739" s="65"/>
      <c r="D739" s="65"/>
      <c r="E739" s="65"/>
      <c r="F739" s="65"/>
      <c r="H739" s="65"/>
      <c r="J739" s="65"/>
      <c r="K739" s="65"/>
      <c r="L739" s="65"/>
    </row>
    <row r="740" ht="15.75" customHeight="1">
      <c r="C740" s="65"/>
      <c r="D740" s="65"/>
      <c r="E740" s="65"/>
      <c r="F740" s="65"/>
      <c r="H740" s="65"/>
      <c r="J740" s="65"/>
      <c r="K740" s="65"/>
      <c r="L740" s="65"/>
    </row>
    <row r="741" ht="15.75" customHeight="1">
      <c r="C741" s="65"/>
      <c r="D741" s="65"/>
      <c r="E741" s="65"/>
      <c r="F741" s="65"/>
      <c r="H741" s="65"/>
      <c r="J741" s="65"/>
      <c r="K741" s="65"/>
      <c r="L741" s="65"/>
    </row>
    <row r="742" ht="15.75" customHeight="1">
      <c r="C742" s="65"/>
      <c r="D742" s="65"/>
      <c r="E742" s="65"/>
      <c r="F742" s="65"/>
      <c r="H742" s="65"/>
      <c r="J742" s="65"/>
      <c r="K742" s="65"/>
      <c r="L742" s="65"/>
    </row>
    <row r="743" ht="15.75" customHeight="1">
      <c r="C743" s="65"/>
      <c r="D743" s="65"/>
      <c r="E743" s="65"/>
      <c r="F743" s="65"/>
      <c r="H743" s="65"/>
      <c r="J743" s="65"/>
      <c r="K743" s="65"/>
      <c r="L743" s="65"/>
    </row>
    <row r="744" ht="15.75" customHeight="1">
      <c r="C744" s="65"/>
      <c r="D744" s="65"/>
      <c r="E744" s="65"/>
      <c r="F744" s="65"/>
      <c r="H744" s="65"/>
      <c r="J744" s="65"/>
      <c r="K744" s="65"/>
      <c r="L744" s="65"/>
    </row>
    <row r="745" ht="15.75" customHeight="1">
      <c r="C745" s="65"/>
      <c r="D745" s="65"/>
      <c r="E745" s="65"/>
      <c r="F745" s="65"/>
      <c r="H745" s="65"/>
      <c r="J745" s="65"/>
      <c r="K745" s="65"/>
      <c r="L745" s="65"/>
    </row>
    <row r="746" ht="15.75" customHeight="1">
      <c r="C746" s="65"/>
      <c r="D746" s="65"/>
      <c r="E746" s="65"/>
      <c r="F746" s="65"/>
      <c r="H746" s="65"/>
      <c r="J746" s="65"/>
      <c r="K746" s="65"/>
      <c r="L746" s="65"/>
    </row>
    <row r="747" ht="15.75" customHeight="1">
      <c r="C747" s="65"/>
      <c r="D747" s="65"/>
      <c r="E747" s="65"/>
      <c r="F747" s="65"/>
      <c r="H747" s="65"/>
      <c r="J747" s="65"/>
      <c r="K747" s="65"/>
      <c r="L747" s="65"/>
    </row>
    <row r="748" ht="15.75" customHeight="1">
      <c r="C748" s="65"/>
      <c r="D748" s="65"/>
      <c r="E748" s="65"/>
      <c r="F748" s="65"/>
      <c r="H748" s="65"/>
      <c r="J748" s="65"/>
      <c r="K748" s="65"/>
      <c r="L748" s="65"/>
    </row>
    <row r="749" ht="15.75" customHeight="1">
      <c r="C749" s="65"/>
      <c r="D749" s="65"/>
      <c r="E749" s="65"/>
      <c r="F749" s="65"/>
      <c r="H749" s="65"/>
      <c r="J749" s="65"/>
      <c r="K749" s="65"/>
      <c r="L749" s="65"/>
    </row>
    <row r="750" ht="15.75" customHeight="1">
      <c r="C750" s="65"/>
      <c r="D750" s="65"/>
      <c r="E750" s="65"/>
      <c r="F750" s="65"/>
      <c r="H750" s="65"/>
      <c r="J750" s="65"/>
      <c r="K750" s="65"/>
      <c r="L750" s="65"/>
    </row>
    <row r="751" ht="15.75" customHeight="1">
      <c r="C751" s="65"/>
      <c r="D751" s="65"/>
      <c r="E751" s="65"/>
      <c r="F751" s="65"/>
      <c r="H751" s="65"/>
      <c r="J751" s="65"/>
      <c r="K751" s="65"/>
      <c r="L751" s="65"/>
    </row>
    <row r="752" ht="15.75" customHeight="1">
      <c r="C752" s="65"/>
      <c r="D752" s="65"/>
      <c r="E752" s="65"/>
      <c r="F752" s="65"/>
      <c r="H752" s="65"/>
      <c r="J752" s="65"/>
      <c r="K752" s="65"/>
      <c r="L752" s="65"/>
    </row>
    <row r="753" ht="15.75" customHeight="1">
      <c r="C753" s="65"/>
      <c r="D753" s="65"/>
      <c r="E753" s="65"/>
      <c r="F753" s="65"/>
      <c r="H753" s="65"/>
      <c r="J753" s="65"/>
      <c r="K753" s="65"/>
      <c r="L753" s="65"/>
    </row>
    <row r="754" ht="15.75" customHeight="1">
      <c r="C754" s="65"/>
      <c r="D754" s="65"/>
      <c r="E754" s="65"/>
      <c r="F754" s="65"/>
      <c r="H754" s="65"/>
      <c r="J754" s="65"/>
      <c r="K754" s="65"/>
      <c r="L754" s="65"/>
    </row>
    <row r="755" ht="15.75" customHeight="1">
      <c r="C755" s="65"/>
      <c r="D755" s="65"/>
      <c r="E755" s="65"/>
      <c r="F755" s="65"/>
      <c r="H755" s="65"/>
      <c r="J755" s="65"/>
      <c r="K755" s="65"/>
      <c r="L755" s="65"/>
    </row>
    <row r="756" ht="15.75" customHeight="1">
      <c r="C756" s="65"/>
      <c r="D756" s="65"/>
      <c r="E756" s="65"/>
      <c r="F756" s="65"/>
      <c r="H756" s="65"/>
      <c r="J756" s="65"/>
      <c r="K756" s="65"/>
      <c r="L756" s="65"/>
    </row>
    <row r="757" ht="15.75" customHeight="1">
      <c r="C757" s="65"/>
      <c r="D757" s="65"/>
      <c r="E757" s="65"/>
      <c r="F757" s="65"/>
      <c r="H757" s="65"/>
      <c r="J757" s="65"/>
      <c r="K757" s="65"/>
      <c r="L757" s="65"/>
    </row>
    <row r="758" ht="15.75" customHeight="1">
      <c r="C758" s="65"/>
      <c r="D758" s="65"/>
      <c r="E758" s="65"/>
      <c r="F758" s="65"/>
      <c r="H758" s="65"/>
      <c r="J758" s="65"/>
      <c r="K758" s="65"/>
      <c r="L758" s="65"/>
    </row>
    <row r="759" ht="15.75" customHeight="1">
      <c r="C759" s="65"/>
      <c r="D759" s="65"/>
      <c r="E759" s="65"/>
      <c r="F759" s="65"/>
      <c r="H759" s="65"/>
      <c r="J759" s="65"/>
      <c r="K759" s="65"/>
      <c r="L759" s="65"/>
    </row>
    <row r="760" ht="15.75" customHeight="1">
      <c r="C760" s="65"/>
      <c r="D760" s="65"/>
      <c r="E760" s="65"/>
      <c r="F760" s="65"/>
      <c r="H760" s="65"/>
      <c r="J760" s="65"/>
      <c r="K760" s="65"/>
      <c r="L760" s="65"/>
    </row>
    <row r="761" ht="15.75" customHeight="1">
      <c r="C761" s="65"/>
      <c r="D761" s="65"/>
      <c r="E761" s="65"/>
      <c r="F761" s="65"/>
      <c r="H761" s="65"/>
      <c r="J761" s="65"/>
      <c r="K761" s="65"/>
      <c r="L761" s="65"/>
    </row>
    <row r="762" ht="15.75" customHeight="1">
      <c r="C762" s="65"/>
      <c r="D762" s="65"/>
      <c r="E762" s="65"/>
      <c r="F762" s="65"/>
      <c r="H762" s="65"/>
      <c r="J762" s="65"/>
      <c r="K762" s="65"/>
      <c r="L762" s="65"/>
    </row>
    <row r="763" ht="15.75" customHeight="1">
      <c r="C763" s="65"/>
      <c r="D763" s="65"/>
      <c r="E763" s="65"/>
      <c r="F763" s="65"/>
      <c r="H763" s="65"/>
      <c r="J763" s="65"/>
      <c r="K763" s="65"/>
      <c r="L763" s="65"/>
    </row>
    <row r="764" ht="15.75" customHeight="1">
      <c r="C764" s="65"/>
      <c r="D764" s="65"/>
      <c r="E764" s="65"/>
      <c r="F764" s="65"/>
      <c r="H764" s="65"/>
      <c r="J764" s="65"/>
      <c r="K764" s="65"/>
      <c r="L764" s="65"/>
    </row>
    <row r="765" ht="15.75" customHeight="1">
      <c r="C765" s="65"/>
      <c r="D765" s="65"/>
      <c r="E765" s="65"/>
      <c r="F765" s="65"/>
      <c r="H765" s="65"/>
      <c r="J765" s="65"/>
      <c r="K765" s="65"/>
      <c r="L765" s="65"/>
    </row>
    <row r="766" ht="15.75" customHeight="1">
      <c r="C766" s="65"/>
      <c r="D766" s="65"/>
      <c r="E766" s="65"/>
      <c r="F766" s="65"/>
      <c r="H766" s="65"/>
      <c r="J766" s="65"/>
      <c r="K766" s="65"/>
      <c r="L766" s="65"/>
    </row>
    <row r="767" ht="15.75" customHeight="1">
      <c r="C767" s="65"/>
      <c r="D767" s="65"/>
      <c r="E767" s="65"/>
      <c r="F767" s="65"/>
      <c r="H767" s="65"/>
      <c r="J767" s="65"/>
      <c r="K767" s="65"/>
      <c r="L767" s="65"/>
    </row>
    <row r="768" ht="15.75" customHeight="1">
      <c r="C768" s="65"/>
      <c r="D768" s="65"/>
      <c r="E768" s="65"/>
      <c r="F768" s="65"/>
      <c r="H768" s="65"/>
      <c r="J768" s="65"/>
      <c r="K768" s="65"/>
      <c r="L768" s="65"/>
    </row>
    <row r="769" ht="15.75" customHeight="1">
      <c r="C769" s="65"/>
      <c r="D769" s="65"/>
      <c r="E769" s="65"/>
      <c r="F769" s="65"/>
      <c r="H769" s="65"/>
      <c r="J769" s="65"/>
      <c r="K769" s="65"/>
      <c r="L769" s="65"/>
    </row>
    <row r="770" ht="15.75" customHeight="1">
      <c r="C770" s="65"/>
      <c r="D770" s="65"/>
      <c r="E770" s="65"/>
      <c r="F770" s="65"/>
      <c r="H770" s="65"/>
      <c r="J770" s="65"/>
      <c r="K770" s="65"/>
      <c r="L770" s="65"/>
    </row>
    <row r="771" ht="15.75" customHeight="1">
      <c r="C771" s="65"/>
      <c r="D771" s="65"/>
      <c r="E771" s="65"/>
      <c r="F771" s="65"/>
      <c r="H771" s="65"/>
      <c r="J771" s="65"/>
      <c r="K771" s="65"/>
      <c r="L771" s="65"/>
    </row>
    <row r="772" ht="15.75" customHeight="1">
      <c r="C772" s="65"/>
      <c r="D772" s="65"/>
      <c r="E772" s="65"/>
      <c r="F772" s="65"/>
      <c r="H772" s="65"/>
      <c r="J772" s="65"/>
      <c r="K772" s="65"/>
      <c r="L772" s="65"/>
    </row>
    <row r="773" ht="15.75" customHeight="1">
      <c r="C773" s="65"/>
      <c r="D773" s="65"/>
      <c r="E773" s="65"/>
      <c r="F773" s="65"/>
      <c r="H773" s="65"/>
      <c r="J773" s="65"/>
      <c r="K773" s="65"/>
      <c r="L773" s="65"/>
    </row>
    <row r="774" ht="15.75" customHeight="1">
      <c r="C774" s="65"/>
      <c r="D774" s="65"/>
      <c r="E774" s="65"/>
      <c r="F774" s="65"/>
      <c r="H774" s="65"/>
      <c r="J774" s="65"/>
      <c r="K774" s="65"/>
      <c r="L774" s="65"/>
    </row>
    <row r="775" ht="15.75" customHeight="1">
      <c r="C775" s="65"/>
      <c r="D775" s="65"/>
      <c r="E775" s="65"/>
      <c r="F775" s="65"/>
      <c r="H775" s="65"/>
      <c r="J775" s="65"/>
      <c r="K775" s="65"/>
      <c r="L775" s="65"/>
    </row>
    <row r="776" ht="15.75" customHeight="1">
      <c r="C776" s="65"/>
      <c r="D776" s="65"/>
      <c r="E776" s="65"/>
      <c r="F776" s="65"/>
      <c r="H776" s="65"/>
      <c r="J776" s="65"/>
      <c r="K776" s="65"/>
      <c r="L776" s="65"/>
    </row>
    <row r="777" ht="15.75" customHeight="1">
      <c r="C777" s="65"/>
      <c r="D777" s="65"/>
      <c r="E777" s="65"/>
      <c r="F777" s="65"/>
      <c r="H777" s="65"/>
      <c r="J777" s="65"/>
      <c r="K777" s="65"/>
      <c r="L777" s="65"/>
    </row>
    <row r="778" ht="15.75" customHeight="1">
      <c r="C778" s="65"/>
      <c r="D778" s="65"/>
      <c r="E778" s="65"/>
      <c r="F778" s="65"/>
      <c r="H778" s="65"/>
      <c r="J778" s="65"/>
      <c r="K778" s="65"/>
      <c r="L778" s="65"/>
    </row>
    <row r="779" ht="15.75" customHeight="1">
      <c r="C779" s="65"/>
      <c r="D779" s="65"/>
      <c r="E779" s="65"/>
      <c r="F779" s="65"/>
      <c r="H779" s="65"/>
      <c r="J779" s="65"/>
      <c r="K779" s="65"/>
      <c r="L779" s="65"/>
    </row>
    <row r="780" ht="15.75" customHeight="1">
      <c r="C780" s="65"/>
      <c r="D780" s="65"/>
      <c r="E780" s="65"/>
      <c r="F780" s="65"/>
      <c r="H780" s="65"/>
      <c r="J780" s="65"/>
      <c r="K780" s="65"/>
      <c r="L780" s="65"/>
    </row>
    <row r="781" ht="15.75" customHeight="1">
      <c r="C781" s="65"/>
      <c r="D781" s="65"/>
      <c r="E781" s="65"/>
      <c r="F781" s="65"/>
      <c r="H781" s="65"/>
      <c r="J781" s="65"/>
      <c r="K781" s="65"/>
      <c r="L781" s="65"/>
    </row>
    <row r="782" ht="15.75" customHeight="1">
      <c r="C782" s="65"/>
      <c r="D782" s="65"/>
      <c r="E782" s="65"/>
      <c r="F782" s="65"/>
      <c r="H782" s="65"/>
      <c r="J782" s="65"/>
      <c r="K782" s="65"/>
      <c r="L782" s="65"/>
    </row>
    <row r="783" ht="15.75" customHeight="1">
      <c r="C783" s="65"/>
      <c r="D783" s="65"/>
      <c r="E783" s="65"/>
      <c r="F783" s="65"/>
      <c r="H783" s="65"/>
      <c r="J783" s="65"/>
      <c r="K783" s="65"/>
      <c r="L783" s="65"/>
    </row>
    <row r="784" ht="15.75" customHeight="1">
      <c r="C784" s="65"/>
      <c r="D784" s="65"/>
      <c r="E784" s="65"/>
      <c r="F784" s="65"/>
      <c r="H784" s="65"/>
      <c r="J784" s="65"/>
      <c r="K784" s="65"/>
      <c r="L784" s="65"/>
    </row>
    <row r="785" ht="15.75" customHeight="1">
      <c r="C785" s="65"/>
      <c r="D785" s="65"/>
      <c r="E785" s="65"/>
      <c r="F785" s="65"/>
      <c r="H785" s="65"/>
      <c r="J785" s="65"/>
      <c r="K785" s="65"/>
      <c r="L785" s="65"/>
    </row>
    <row r="786" ht="15.75" customHeight="1">
      <c r="C786" s="65"/>
      <c r="D786" s="65"/>
      <c r="E786" s="65"/>
      <c r="F786" s="65"/>
      <c r="H786" s="65"/>
      <c r="J786" s="65"/>
      <c r="K786" s="65"/>
      <c r="L786" s="65"/>
    </row>
    <row r="787" ht="15.75" customHeight="1">
      <c r="C787" s="65"/>
      <c r="D787" s="65"/>
      <c r="E787" s="65"/>
      <c r="F787" s="65"/>
      <c r="H787" s="65"/>
      <c r="J787" s="65"/>
      <c r="K787" s="65"/>
      <c r="L787" s="65"/>
    </row>
    <row r="788" ht="15.75" customHeight="1">
      <c r="C788" s="65"/>
      <c r="D788" s="65"/>
      <c r="E788" s="65"/>
      <c r="F788" s="65"/>
      <c r="H788" s="65"/>
      <c r="J788" s="65"/>
      <c r="K788" s="65"/>
      <c r="L788" s="65"/>
    </row>
    <row r="789" ht="15.75" customHeight="1">
      <c r="C789" s="65"/>
      <c r="D789" s="65"/>
      <c r="E789" s="65"/>
      <c r="F789" s="65"/>
      <c r="H789" s="65"/>
      <c r="J789" s="65"/>
      <c r="K789" s="65"/>
      <c r="L789" s="65"/>
    </row>
    <row r="790" ht="15.75" customHeight="1">
      <c r="C790" s="65"/>
      <c r="D790" s="65"/>
      <c r="E790" s="65"/>
      <c r="F790" s="65"/>
      <c r="H790" s="65"/>
      <c r="J790" s="65"/>
      <c r="K790" s="65"/>
      <c r="L790" s="65"/>
    </row>
    <row r="791" ht="15.75" customHeight="1">
      <c r="C791" s="65"/>
      <c r="D791" s="65"/>
      <c r="E791" s="65"/>
      <c r="F791" s="65"/>
      <c r="H791" s="65"/>
      <c r="J791" s="65"/>
      <c r="K791" s="65"/>
      <c r="L791" s="65"/>
    </row>
    <row r="792" ht="15.75" customHeight="1">
      <c r="C792" s="65"/>
      <c r="D792" s="65"/>
      <c r="E792" s="65"/>
      <c r="F792" s="65"/>
      <c r="H792" s="65"/>
      <c r="J792" s="65"/>
      <c r="K792" s="65"/>
      <c r="L792" s="65"/>
    </row>
    <row r="793" ht="15.75" customHeight="1">
      <c r="C793" s="65"/>
      <c r="D793" s="65"/>
      <c r="E793" s="65"/>
      <c r="F793" s="65"/>
      <c r="H793" s="65"/>
      <c r="J793" s="65"/>
      <c r="K793" s="65"/>
      <c r="L793" s="65"/>
    </row>
    <row r="794" ht="15.75" customHeight="1">
      <c r="C794" s="65"/>
      <c r="D794" s="65"/>
      <c r="E794" s="65"/>
      <c r="F794" s="65"/>
      <c r="H794" s="65"/>
      <c r="J794" s="65"/>
      <c r="K794" s="65"/>
      <c r="L794" s="65"/>
    </row>
    <row r="795" ht="15.75" customHeight="1">
      <c r="C795" s="65"/>
      <c r="D795" s="65"/>
      <c r="E795" s="65"/>
      <c r="F795" s="65"/>
      <c r="H795" s="65"/>
      <c r="J795" s="65"/>
      <c r="K795" s="65"/>
      <c r="L795" s="65"/>
    </row>
    <row r="796" ht="15.75" customHeight="1">
      <c r="C796" s="65"/>
      <c r="D796" s="65"/>
      <c r="E796" s="65"/>
      <c r="F796" s="65"/>
      <c r="H796" s="65"/>
      <c r="J796" s="65"/>
      <c r="K796" s="65"/>
      <c r="L796" s="65"/>
    </row>
    <row r="797" ht="15.75" customHeight="1">
      <c r="C797" s="65"/>
      <c r="D797" s="65"/>
      <c r="E797" s="65"/>
      <c r="F797" s="65"/>
      <c r="H797" s="65"/>
      <c r="J797" s="65"/>
      <c r="K797" s="65"/>
      <c r="L797" s="65"/>
    </row>
    <row r="798" ht="15.75" customHeight="1">
      <c r="C798" s="65"/>
      <c r="D798" s="65"/>
      <c r="E798" s="65"/>
      <c r="F798" s="65"/>
      <c r="H798" s="65"/>
      <c r="J798" s="65"/>
      <c r="K798" s="65"/>
      <c r="L798" s="65"/>
    </row>
    <row r="799" ht="15.75" customHeight="1">
      <c r="C799" s="65"/>
      <c r="D799" s="65"/>
      <c r="E799" s="65"/>
      <c r="F799" s="65"/>
      <c r="H799" s="65"/>
      <c r="J799" s="65"/>
      <c r="K799" s="65"/>
      <c r="L799" s="65"/>
    </row>
    <row r="800" ht="15.75" customHeight="1">
      <c r="C800" s="65"/>
      <c r="D800" s="65"/>
      <c r="E800" s="65"/>
      <c r="F800" s="65"/>
      <c r="H800" s="65"/>
      <c r="J800" s="65"/>
      <c r="K800" s="65"/>
      <c r="L800" s="65"/>
    </row>
    <row r="801" ht="15.75" customHeight="1">
      <c r="C801" s="65"/>
      <c r="D801" s="65"/>
      <c r="E801" s="65"/>
      <c r="F801" s="65"/>
      <c r="H801" s="65"/>
      <c r="J801" s="65"/>
      <c r="K801" s="65"/>
      <c r="L801" s="65"/>
    </row>
    <row r="802" ht="15.75" customHeight="1">
      <c r="C802" s="65"/>
      <c r="D802" s="65"/>
      <c r="E802" s="65"/>
      <c r="F802" s="65"/>
      <c r="H802" s="65"/>
      <c r="J802" s="65"/>
      <c r="K802" s="65"/>
      <c r="L802" s="65"/>
    </row>
    <row r="803" ht="15.75" customHeight="1">
      <c r="C803" s="65"/>
      <c r="D803" s="65"/>
      <c r="E803" s="65"/>
      <c r="F803" s="65"/>
      <c r="H803" s="65"/>
      <c r="J803" s="65"/>
      <c r="K803" s="65"/>
      <c r="L803" s="65"/>
    </row>
    <row r="804" ht="15.75" customHeight="1">
      <c r="C804" s="65"/>
      <c r="D804" s="65"/>
      <c r="E804" s="65"/>
      <c r="F804" s="65"/>
      <c r="H804" s="65"/>
      <c r="J804" s="65"/>
      <c r="K804" s="65"/>
      <c r="L804" s="65"/>
    </row>
    <row r="805" ht="15.75" customHeight="1">
      <c r="C805" s="65"/>
      <c r="D805" s="65"/>
      <c r="E805" s="65"/>
      <c r="F805" s="65"/>
      <c r="H805" s="65"/>
      <c r="J805" s="65"/>
      <c r="K805" s="65"/>
      <c r="L805" s="65"/>
    </row>
    <row r="806" ht="15.75" customHeight="1">
      <c r="C806" s="65"/>
      <c r="D806" s="65"/>
      <c r="E806" s="65"/>
      <c r="F806" s="65"/>
      <c r="H806" s="65"/>
      <c r="J806" s="65"/>
      <c r="K806" s="65"/>
      <c r="L806" s="65"/>
    </row>
    <row r="807" ht="15.75" customHeight="1">
      <c r="C807" s="65"/>
      <c r="D807" s="65"/>
      <c r="E807" s="65"/>
      <c r="F807" s="65"/>
      <c r="H807" s="65"/>
      <c r="J807" s="65"/>
      <c r="K807" s="65"/>
      <c r="L807" s="65"/>
    </row>
    <row r="808" ht="15.75" customHeight="1">
      <c r="C808" s="65"/>
      <c r="D808" s="65"/>
      <c r="E808" s="65"/>
      <c r="F808" s="65"/>
      <c r="H808" s="65"/>
      <c r="J808" s="65"/>
      <c r="K808" s="65"/>
      <c r="L808" s="65"/>
    </row>
    <row r="809" ht="15.75" customHeight="1">
      <c r="C809" s="65"/>
      <c r="D809" s="65"/>
      <c r="E809" s="65"/>
      <c r="F809" s="65"/>
      <c r="H809" s="65"/>
      <c r="J809" s="65"/>
      <c r="K809" s="65"/>
      <c r="L809" s="65"/>
    </row>
    <row r="810" ht="15.75" customHeight="1">
      <c r="C810" s="65"/>
      <c r="D810" s="65"/>
      <c r="E810" s="65"/>
      <c r="F810" s="65"/>
      <c r="H810" s="65"/>
      <c r="J810" s="65"/>
      <c r="K810" s="65"/>
      <c r="L810" s="65"/>
    </row>
    <row r="811" ht="15.75" customHeight="1">
      <c r="C811" s="65"/>
      <c r="D811" s="65"/>
      <c r="E811" s="65"/>
      <c r="F811" s="65"/>
      <c r="H811" s="65"/>
      <c r="J811" s="65"/>
      <c r="K811" s="65"/>
      <c r="L811" s="65"/>
    </row>
    <row r="812" ht="15.75" customHeight="1">
      <c r="C812" s="65"/>
      <c r="D812" s="65"/>
      <c r="E812" s="65"/>
      <c r="F812" s="65"/>
      <c r="H812" s="65"/>
      <c r="J812" s="65"/>
      <c r="K812" s="65"/>
      <c r="L812" s="65"/>
    </row>
    <row r="813" ht="15.75" customHeight="1">
      <c r="C813" s="65"/>
      <c r="D813" s="65"/>
      <c r="E813" s="65"/>
      <c r="F813" s="65"/>
      <c r="H813" s="65"/>
      <c r="J813" s="65"/>
      <c r="K813" s="65"/>
      <c r="L813" s="65"/>
    </row>
    <row r="814" ht="15.75" customHeight="1">
      <c r="C814" s="65"/>
      <c r="D814" s="65"/>
      <c r="E814" s="65"/>
      <c r="F814" s="65"/>
      <c r="H814" s="65"/>
      <c r="J814" s="65"/>
      <c r="K814" s="65"/>
      <c r="L814" s="65"/>
    </row>
    <row r="815" ht="15.75" customHeight="1">
      <c r="C815" s="65"/>
      <c r="D815" s="65"/>
      <c r="E815" s="65"/>
      <c r="F815" s="65"/>
      <c r="H815" s="65"/>
      <c r="J815" s="65"/>
      <c r="K815" s="65"/>
      <c r="L815" s="65"/>
    </row>
    <row r="816" ht="15.75" customHeight="1">
      <c r="C816" s="65"/>
      <c r="D816" s="65"/>
      <c r="E816" s="65"/>
      <c r="F816" s="65"/>
      <c r="H816" s="65"/>
      <c r="J816" s="65"/>
      <c r="K816" s="65"/>
      <c r="L816" s="65"/>
    </row>
    <row r="817" ht="15.75" customHeight="1">
      <c r="C817" s="65"/>
      <c r="D817" s="65"/>
      <c r="E817" s="65"/>
      <c r="F817" s="65"/>
      <c r="H817" s="65"/>
      <c r="J817" s="65"/>
      <c r="K817" s="65"/>
      <c r="L817" s="65"/>
    </row>
    <row r="818" ht="15.75" customHeight="1">
      <c r="C818" s="65"/>
      <c r="D818" s="65"/>
      <c r="E818" s="65"/>
      <c r="F818" s="65"/>
      <c r="H818" s="65"/>
      <c r="J818" s="65"/>
      <c r="K818" s="65"/>
      <c r="L818" s="65"/>
    </row>
    <row r="819" ht="15.75" customHeight="1">
      <c r="C819" s="65"/>
      <c r="D819" s="65"/>
      <c r="E819" s="65"/>
      <c r="F819" s="65"/>
      <c r="H819" s="65"/>
      <c r="J819" s="65"/>
      <c r="K819" s="65"/>
      <c r="L819" s="65"/>
    </row>
    <row r="820" ht="15.75" customHeight="1">
      <c r="C820" s="65"/>
      <c r="D820" s="65"/>
      <c r="E820" s="65"/>
      <c r="F820" s="65"/>
      <c r="H820" s="65"/>
      <c r="J820" s="65"/>
      <c r="K820" s="65"/>
      <c r="L820" s="65"/>
    </row>
    <row r="821" ht="15.75" customHeight="1">
      <c r="C821" s="65"/>
      <c r="D821" s="65"/>
      <c r="E821" s="65"/>
      <c r="F821" s="65"/>
      <c r="H821" s="65"/>
      <c r="J821" s="65"/>
      <c r="K821" s="65"/>
      <c r="L821" s="65"/>
    </row>
    <row r="822" ht="15.75" customHeight="1">
      <c r="C822" s="65"/>
      <c r="D822" s="65"/>
      <c r="E822" s="65"/>
      <c r="F822" s="65"/>
      <c r="H822" s="65"/>
      <c r="J822" s="65"/>
      <c r="K822" s="65"/>
      <c r="L822" s="65"/>
    </row>
    <row r="823" ht="15.75" customHeight="1">
      <c r="C823" s="65"/>
      <c r="D823" s="65"/>
      <c r="E823" s="65"/>
      <c r="F823" s="65"/>
      <c r="H823" s="65"/>
      <c r="J823" s="65"/>
      <c r="K823" s="65"/>
      <c r="L823" s="65"/>
    </row>
    <row r="824" ht="15.75" customHeight="1">
      <c r="C824" s="65"/>
      <c r="D824" s="65"/>
      <c r="E824" s="65"/>
      <c r="F824" s="65"/>
      <c r="H824" s="65"/>
      <c r="J824" s="65"/>
      <c r="K824" s="65"/>
      <c r="L824" s="65"/>
    </row>
    <row r="825" ht="15.75" customHeight="1">
      <c r="C825" s="65"/>
      <c r="D825" s="65"/>
      <c r="E825" s="65"/>
      <c r="F825" s="65"/>
      <c r="H825" s="65"/>
      <c r="J825" s="65"/>
      <c r="K825" s="65"/>
      <c r="L825" s="65"/>
    </row>
    <row r="826" ht="15.75" customHeight="1">
      <c r="C826" s="65"/>
      <c r="D826" s="65"/>
      <c r="E826" s="65"/>
      <c r="F826" s="65"/>
      <c r="H826" s="65"/>
      <c r="J826" s="65"/>
      <c r="K826" s="65"/>
      <c r="L826" s="65"/>
    </row>
    <row r="827" ht="15.75" customHeight="1">
      <c r="C827" s="65"/>
      <c r="D827" s="65"/>
      <c r="E827" s="65"/>
      <c r="F827" s="65"/>
      <c r="H827" s="65"/>
      <c r="J827" s="65"/>
      <c r="K827" s="65"/>
      <c r="L827" s="65"/>
    </row>
    <row r="828" ht="15.75" customHeight="1">
      <c r="C828" s="65"/>
      <c r="D828" s="65"/>
      <c r="E828" s="65"/>
      <c r="F828" s="65"/>
      <c r="H828" s="65"/>
      <c r="J828" s="65"/>
      <c r="K828" s="65"/>
      <c r="L828" s="65"/>
    </row>
    <row r="829" ht="15.75" customHeight="1">
      <c r="C829" s="65"/>
      <c r="D829" s="65"/>
      <c r="E829" s="65"/>
      <c r="F829" s="65"/>
      <c r="H829" s="65"/>
      <c r="J829" s="65"/>
      <c r="K829" s="65"/>
      <c r="L829" s="65"/>
    </row>
    <row r="830" ht="15.75" customHeight="1">
      <c r="C830" s="65"/>
      <c r="D830" s="65"/>
      <c r="E830" s="65"/>
      <c r="F830" s="65"/>
      <c r="H830" s="65"/>
      <c r="J830" s="65"/>
      <c r="K830" s="65"/>
      <c r="L830" s="65"/>
    </row>
    <row r="831" ht="15.75" customHeight="1">
      <c r="C831" s="65"/>
      <c r="D831" s="65"/>
      <c r="E831" s="65"/>
      <c r="F831" s="65"/>
      <c r="H831" s="65"/>
      <c r="J831" s="65"/>
      <c r="K831" s="65"/>
      <c r="L831" s="65"/>
    </row>
    <row r="832" ht="15.75" customHeight="1">
      <c r="C832" s="65"/>
      <c r="D832" s="65"/>
      <c r="E832" s="65"/>
      <c r="F832" s="65"/>
      <c r="H832" s="65"/>
      <c r="J832" s="65"/>
      <c r="K832" s="65"/>
      <c r="L832" s="65"/>
    </row>
    <row r="833" ht="15.75" customHeight="1">
      <c r="C833" s="65"/>
      <c r="D833" s="65"/>
      <c r="E833" s="65"/>
      <c r="F833" s="65"/>
      <c r="H833" s="65"/>
      <c r="J833" s="65"/>
      <c r="K833" s="65"/>
      <c r="L833" s="65"/>
    </row>
    <row r="834" ht="15.75" customHeight="1">
      <c r="C834" s="65"/>
      <c r="D834" s="65"/>
      <c r="E834" s="65"/>
      <c r="F834" s="65"/>
      <c r="H834" s="65"/>
      <c r="J834" s="65"/>
      <c r="K834" s="65"/>
      <c r="L834" s="65"/>
    </row>
    <row r="835" ht="15.75" customHeight="1">
      <c r="C835" s="65"/>
      <c r="D835" s="65"/>
      <c r="E835" s="65"/>
      <c r="F835" s="65"/>
      <c r="H835" s="65"/>
      <c r="J835" s="65"/>
      <c r="K835" s="65"/>
      <c r="L835" s="65"/>
    </row>
    <row r="836" ht="15.75" customHeight="1">
      <c r="C836" s="65"/>
      <c r="D836" s="65"/>
      <c r="E836" s="65"/>
      <c r="F836" s="65"/>
      <c r="H836" s="65"/>
      <c r="J836" s="65"/>
      <c r="K836" s="65"/>
      <c r="L836" s="65"/>
    </row>
    <row r="837" ht="15.75" customHeight="1">
      <c r="C837" s="65"/>
      <c r="D837" s="65"/>
      <c r="E837" s="65"/>
      <c r="F837" s="65"/>
      <c r="H837" s="65"/>
      <c r="J837" s="65"/>
      <c r="K837" s="65"/>
      <c r="L837" s="65"/>
    </row>
    <row r="838" ht="15.75" customHeight="1">
      <c r="C838" s="65"/>
      <c r="D838" s="65"/>
      <c r="E838" s="65"/>
      <c r="F838" s="65"/>
      <c r="H838" s="65"/>
      <c r="J838" s="65"/>
      <c r="K838" s="65"/>
      <c r="L838" s="65"/>
    </row>
    <row r="839" ht="15.75" customHeight="1">
      <c r="C839" s="65"/>
      <c r="D839" s="65"/>
      <c r="E839" s="65"/>
      <c r="F839" s="65"/>
      <c r="H839" s="65"/>
      <c r="J839" s="65"/>
      <c r="K839" s="65"/>
      <c r="L839" s="65"/>
    </row>
    <row r="840" ht="15.75" customHeight="1">
      <c r="C840" s="65"/>
      <c r="D840" s="65"/>
      <c r="E840" s="65"/>
      <c r="F840" s="65"/>
      <c r="H840" s="65"/>
      <c r="J840" s="65"/>
      <c r="K840" s="65"/>
      <c r="L840" s="65"/>
    </row>
    <row r="841" ht="15.75" customHeight="1">
      <c r="C841" s="65"/>
      <c r="D841" s="65"/>
      <c r="E841" s="65"/>
      <c r="F841" s="65"/>
      <c r="H841" s="65"/>
      <c r="J841" s="65"/>
      <c r="K841" s="65"/>
      <c r="L841" s="65"/>
    </row>
    <row r="842" ht="15.75" customHeight="1">
      <c r="C842" s="65"/>
      <c r="D842" s="65"/>
      <c r="E842" s="65"/>
      <c r="F842" s="65"/>
      <c r="H842" s="65"/>
      <c r="J842" s="65"/>
      <c r="K842" s="65"/>
      <c r="L842" s="65"/>
    </row>
    <row r="843" ht="15.75" customHeight="1">
      <c r="C843" s="65"/>
      <c r="D843" s="65"/>
      <c r="E843" s="65"/>
      <c r="F843" s="65"/>
      <c r="H843" s="65"/>
      <c r="J843" s="65"/>
      <c r="K843" s="65"/>
      <c r="L843" s="65"/>
    </row>
    <row r="844" ht="15.75" customHeight="1">
      <c r="C844" s="65"/>
      <c r="D844" s="65"/>
      <c r="E844" s="65"/>
      <c r="F844" s="65"/>
      <c r="H844" s="65"/>
      <c r="J844" s="65"/>
      <c r="K844" s="65"/>
      <c r="L844" s="65"/>
    </row>
    <row r="845" ht="15.75" customHeight="1">
      <c r="C845" s="65"/>
      <c r="D845" s="65"/>
      <c r="E845" s="65"/>
      <c r="F845" s="65"/>
      <c r="H845" s="65"/>
      <c r="J845" s="65"/>
      <c r="K845" s="65"/>
      <c r="L845" s="65"/>
    </row>
    <row r="846" ht="15.75" customHeight="1">
      <c r="C846" s="65"/>
      <c r="D846" s="65"/>
      <c r="E846" s="65"/>
      <c r="F846" s="65"/>
      <c r="H846" s="65"/>
      <c r="J846" s="65"/>
      <c r="K846" s="65"/>
      <c r="L846" s="65"/>
    </row>
    <row r="847" ht="15.75" customHeight="1">
      <c r="C847" s="65"/>
      <c r="D847" s="65"/>
      <c r="E847" s="65"/>
      <c r="F847" s="65"/>
      <c r="H847" s="65"/>
      <c r="J847" s="65"/>
      <c r="K847" s="65"/>
      <c r="L847" s="65"/>
    </row>
    <row r="848" ht="15.75" customHeight="1">
      <c r="C848" s="65"/>
      <c r="D848" s="65"/>
      <c r="E848" s="65"/>
      <c r="F848" s="65"/>
      <c r="H848" s="65"/>
      <c r="J848" s="65"/>
      <c r="K848" s="65"/>
      <c r="L848" s="65"/>
    </row>
    <row r="849" ht="15.75" customHeight="1">
      <c r="C849" s="65"/>
      <c r="D849" s="65"/>
      <c r="E849" s="65"/>
      <c r="F849" s="65"/>
      <c r="H849" s="65"/>
      <c r="J849" s="65"/>
      <c r="K849" s="65"/>
      <c r="L849" s="65"/>
    </row>
    <row r="850" ht="15.75" customHeight="1">
      <c r="C850" s="65"/>
      <c r="D850" s="65"/>
      <c r="E850" s="65"/>
      <c r="F850" s="65"/>
      <c r="H850" s="65"/>
      <c r="J850" s="65"/>
      <c r="K850" s="65"/>
      <c r="L850" s="65"/>
    </row>
    <row r="851" ht="15.75" customHeight="1">
      <c r="C851" s="65"/>
      <c r="D851" s="65"/>
      <c r="E851" s="65"/>
      <c r="F851" s="65"/>
      <c r="H851" s="65"/>
      <c r="J851" s="65"/>
      <c r="K851" s="65"/>
      <c r="L851" s="65"/>
    </row>
    <row r="852" ht="15.75" customHeight="1">
      <c r="C852" s="65"/>
      <c r="D852" s="65"/>
      <c r="E852" s="65"/>
      <c r="F852" s="65"/>
      <c r="H852" s="65"/>
      <c r="J852" s="65"/>
      <c r="K852" s="65"/>
      <c r="L852" s="65"/>
    </row>
    <row r="853" ht="15.75" customHeight="1">
      <c r="C853" s="65"/>
      <c r="D853" s="65"/>
      <c r="E853" s="65"/>
      <c r="F853" s="65"/>
      <c r="H853" s="65"/>
      <c r="J853" s="65"/>
      <c r="K853" s="65"/>
      <c r="L853" s="65"/>
    </row>
    <row r="854" ht="15.75" customHeight="1">
      <c r="C854" s="65"/>
      <c r="D854" s="65"/>
      <c r="E854" s="65"/>
      <c r="F854" s="65"/>
      <c r="H854" s="65"/>
      <c r="J854" s="65"/>
      <c r="K854" s="65"/>
      <c r="L854" s="65"/>
    </row>
    <row r="855" ht="15.75" customHeight="1">
      <c r="C855" s="65"/>
      <c r="D855" s="65"/>
      <c r="E855" s="65"/>
      <c r="F855" s="65"/>
      <c r="H855" s="65"/>
      <c r="J855" s="65"/>
      <c r="K855" s="65"/>
      <c r="L855" s="65"/>
    </row>
    <row r="856" ht="15.75" customHeight="1">
      <c r="C856" s="65"/>
      <c r="D856" s="65"/>
      <c r="E856" s="65"/>
      <c r="F856" s="65"/>
      <c r="H856" s="65"/>
      <c r="J856" s="65"/>
      <c r="K856" s="65"/>
      <c r="L856" s="65"/>
    </row>
    <row r="857" ht="15.75" customHeight="1">
      <c r="C857" s="65"/>
      <c r="D857" s="65"/>
      <c r="E857" s="65"/>
      <c r="F857" s="65"/>
      <c r="H857" s="65"/>
      <c r="J857" s="65"/>
      <c r="K857" s="65"/>
      <c r="L857" s="65"/>
    </row>
    <row r="858" ht="15.75" customHeight="1">
      <c r="C858" s="65"/>
      <c r="D858" s="65"/>
      <c r="E858" s="65"/>
      <c r="F858" s="65"/>
      <c r="H858" s="65"/>
      <c r="J858" s="65"/>
      <c r="K858" s="65"/>
      <c r="L858" s="65"/>
    </row>
    <row r="859" ht="15.75" customHeight="1">
      <c r="C859" s="65"/>
      <c r="D859" s="65"/>
      <c r="E859" s="65"/>
      <c r="F859" s="65"/>
      <c r="H859" s="65"/>
      <c r="J859" s="65"/>
      <c r="K859" s="65"/>
      <c r="L859" s="65"/>
    </row>
    <row r="860" ht="15.75" customHeight="1">
      <c r="C860" s="65"/>
      <c r="D860" s="65"/>
      <c r="E860" s="65"/>
      <c r="F860" s="65"/>
      <c r="H860" s="65"/>
      <c r="J860" s="65"/>
      <c r="K860" s="65"/>
      <c r="L860" s="65"/>
    </row>
    <row r="861" ht="15.75" customHeight="1">
      <c r="C861" s="65"/>
      <c r="D861" s="65"/>
      <c r="E861" s="65"/>
      <c r="F861" s="65"/>
      <c r="H861" s="65"/>
      <c r="J861" s="65"/>
      <c r="K861" s="65"/>
      <c r="L861" s="65"/>
    </row>
    <row r="862" ht="15.75" customHeight="1">
      <c r="C862" s="65"/>
      <c r="D862" s="65"/>
      <c r="E862" s="65"/>
      <c r="F862" s="65"/>
      <c r="H862" s="65"/>
      <c r="J862" s="65"/>
      <c r="K862" s="65"/>
      <c r="L862" s="65"/>
    </row>
    <row r="863" ht="15.75" customHeight="1">
      <c r="C863" s="65"/>
      <c r="D863" s="65"/>
      <c r="E863" s="65"/>
      <c r="F863" s="65"/>
      <c r="H863" s="65"/>
      <c r="J863" s="65"/>
      <c r="K863" s="65"/>
      <c r="L863" s="65"/>
    </row>
    <row r="864" ht="15.75" customHeight="1">
      <c r="C864" s="65"/>
      <c r="D864" s="65"/>
      <c r="E864" s="65"/>
      <c r="F864" s="65"/>
      <c r="H864" s="65"/>
      <c r="J864" s="65"/>
      <c r="K864" s="65"/>
      <c r="L864" s="65"/>
    </row>
    <row r="865" ht="15.75" customHeight="1">
      <c r="C865" s="65"/>
      <c r="D865" s="65"/>
      <c r="E865" s="65"/>
      <c r="F865" s="65"/>
      <c r="H865" s="65"/>
      <c r="J865" s="65"/>
      <c r="K865" s="65"/>
      <c r="L865" s="65"/>
    </row>
    <row r="866" ht="15.75" customHeight="1">
      <c r="C866" s="65"/>
      <c r="D866" s="65"/>
      <c r="E866" s="65"/>
      <c r="F866" s="65"/>
      <c r="H866" s="65"/>
      <c r="J866" s="65"/>
      <c r="K866" s="65"/>
      <c r="L866" s="65"/>
    </row>
    <row r="867" ht="15.75" customHeight="1">
      <c r="C867" s="65"/>
      <c r="D867" s="65"/>
      <c r="E867" s="65"/>
      <c r="F867" s="65"/>
      <c r="H867" s="65"/>
      <c r="J867" s="65"/>
      <c r="K867" s="65"/>
      <c r="L867" s="65"/>
    </row>
    <row r="868" ht="15.75" customHeight="1">
      <c r="C868" s="65"/>
      <c r="D868" s="65"/>
      <c r="E868" s="65"/>
      <c r="F868" s="65"/>
      <c r="H868" s="65"/>
      <c r="J868" s="65"/>
      <c r="K868" s="65"/>
      <c r="L868" s="65"/>
    </row>
    <row r="869" ht="15.75" customHeight="1">
      <c r="C869" s="65"/>
      <c r="D869" s="65"/>
      <c r="E869" s="65"/>
      <c r="F869" s="65"/>
      <c r="H869" s="65"/>
      <c r="J869" s="65"/>
      <c r="K869" s="65"/>
      <c r="L869" s="65"/>
    </row>
    <row r="870" ht="15.75" customHeight="1">
      <c r="C870" s="65"/>
      <c r="D870" s="65"/>
      <c r="E870" s="65"/>
      <c r="F870" s="65"/>
      <c r="H870" s="65"/>
      <c r="J870" s="65"/>
      <c r="K870" s="65"/>
      <c r="L870" s="65"/>
    </row>
    <row r="871" ht="15.75" customHeight="1">
      <c r="C871" s="65"/>
      <c r="D871" s="65"/>
      <c r="E871" s="65"/>
      <c r="F871" s="65"/>
      <c r="H871" s="65"/>
      <c r="J871" s="65"/>
      <c r="K871" s="65"/>
      <c r="L871" s="65"/>
    </row>
    <row r="872" ht="15.75" customHeight="1">
      <c r="C872" s="65"/>
      <c r="D872" s="65"/>
      <c r="E872" s="65"/>
      <c r="F872" s="65"/>
      <c r="H872" s="65"/>
      <c r="J872" s="65"/>
      <c r="K872" s="65"/>
      <c r="L872" s="65"/>
    </row>
    <row r="873" ht="15.75" customHeight="1">
      <c r="C873" s="65"/>
      <c r="D873" s="65"/>
      <c r="E873" s="65"/>
      <c r="F873" s="65"/>
      <c r="H873" s="65"/>
      <c r="J873" s="65"/>
      <c r="K873" s="65"/>
      <c r="L873" s="65"/>
    </row>
    <row r="874" ht="15.75" customHeight="1">
      <c r="C874" s="65"/>
      <c r="D874" s="65"/>
      <c r="E874" s="65"/>
      <c r="F874" s="65"/>
      <c r="H874" s="65"/>
      <c r="J874" s="65"/>
      <c r="K874" s="65"/>
      <c r="L874" s="65"/>
    </row>
    <row r="875" ht="15.75" customHeight="1">
      <c r="C875" s="65"/>
      <c r="D875" s="65"/>
      <c r="E875" s="65"/>
      <c r="F875" s="65"/>
      <c r="H875" s="65"/>
      <c r="J875" s="65"/>
      <c r="K875" s="65"/>
      <c r="L875" s="65"/>
    </row>
    <row r="876" ht="15.75" customHeight="1">
      <c r="C876" s="65"/>
      <c r="D876" s="65"/>
      <c r="E876" s="65"/>
      <c r="F876" s="65"/>
      <c r="H876" s="65"/>
      <c r="J876" s="65"/>
      <c r="K876" s="65"/>
      <c r="L876" s="65"/>
    </row>
    <row r="877" ht="15.75" customHeight="1">
      <c r="C877" s="65"/>
      <c r="D877" s="65"/>
      <c r="E877" s="65"/>
      <c r="F877" s="65"/>
      <c r="H877" s="65"/>
      <c r="J877" s="65"/>
      <c r="K877" s="65"/>
      <c r="L877" s="65"/>
    </row>
    <row r="878" ht="15.75" customHeight="1">
      <c r="C878" s="65"/>
      <c r="D878" s="65"/>
      <c r="E878" s="65"/>
      <c r="F878" s="65"/>
      <c r="H878" s="65"/>
      <c r="J878" s="65"/>
      <c r="K878" s="65"/>
      <c r="L878" s="65"/>
    </row>
    <row r="879" ht="15.75" customHeight="1">
      <c r="C879" s="65"/>
      <c r="D879" s="65"/>
      <c r="E879" s="65"/>
      <c r="F879" s="65"/>
      <c r="H879" s="65"/>
      <c r="J879" s="65"/>
      <c r="K879" s="65"/>
      <c r="L879" s="65"/>
    </row>
    <row r="880" ht="15.75" customHeight="1">
      <c r="C880" s="65"/>
      <c r="D880" s="65"/>
      <c r="E880" s="65"/>
      <c r="F880" s="65"/>
      <c r="H880" s="65"/>
      <c r="J880" s="65"/>
      <c r="K880" s="65"/>
      <c r="L880" s="65"/>
    </row>
    <row r="881" ht="15.75" customHeight="1">
      <c r="C881" s="65"/>
      <c r="D881" s="65"/>
      <c r="E881" s="65"/>
      <c r="F881" s="65"/>
      <c r="H881" s="65"/>
      <c r="J881" s="65"/>
      <c r="K881" s="65"/>
      <c r="L881" s="65"/>
    </row>
    <row r="882" ht="15.75" customHeight="1">
      <c r="C882" s="65"/>
      <c r="D882" s="65"/>
      <c r="E882" s="65"/>
      <c r="F882" s="65"/>
      <c r="H882" s="65"/>
      <c r="J882" s="65"/>
      <c r="K882" s="65"/>
      <c r="L882" s="65"/>
    </row>
    <row r="883" ht="15.75" customHeight="1">
      <c r="C883" s="65"/>
      <c r="D883" s="65"/>
      <c r="E883" s="65"/>
      <c r="F883" s="65"/>
      <c r="H883" s="65"/>
      <c r="J883" s="65"/>
      <c r="K883" s="65"/>
      <c r="L883" s="65"/>
    </row>
    <row r="884" ht="15.75" customHeight="1">
      <c r="C884" s="65"/>
      <c r="D884" s="65"/>
      <c r="E884" s="65"/>
      <c r="F884" s="65"/>
      <c r="H884" s="65"/>
      <c r="J884" s="65"/>
      <c r="K884" s="65"/>
      <c r="L884" s="65"/>
    </row>
    <row r="885" ht="15.75" customHeight="1">
      <c r="C885" s="65"/>
      <c r="D885" s="65"/>
      <c r="E885" s="65"/>
      <c r="F885" s="65"/>
      <c r="H885" s="65"/>
      <c r="J885" s="65"/>
      <c r="K885" s="65"/>
      <c r="L885" s="65"/>
    </row>
    <row r="886" ht="15.75" customHeight="1">
      <c r="C886" s="65"/>
      <c r="D886" s="65"/>
      <c r="E886" s="65"/>
      <c r="F886" s="65"/>
      <c r="H886" s="65"/>
      <c r="J886" s="65"/>
      <c r="K886" s="65"/>
      <c r="L886" s="65"/>
    </row>
    <row r="887" ht="15.75" customHeight="1">
      <c r="C887" s="65"/>
      <c r="D887" s="65"/>
      <c r="E887" s="65"/>
      <c r="F887" s="65"/>
      <c r="H887" s="65"/>
      <c r="J887" s="65"/>
      <c r="K887" s="65"/>
      <c r="L887" s="65"/>
    </row>
    <row r="888" ht="15.75" customHeight="1">
      <c r="C888" s="65"/>
      <c r="D888" s="65"/>
      <c r="E888" s="65"/>
      <c r="F888" s="65"/>
      <c r="H888" s="65"/>
      <c r="J888" s="65"/>
      <c r="K888" s="65"/>
      <c r="L888" s="65"/>
    </row>
    <row r="889" ht="15.75" customHeight="1">
      <c r="C889" s="65"/>
      <c r="D889" s="65"/>
      <c r="E889" s="65"/>
      <c r="F889" s="65"/>
      <c r="H889" s="65"/>
      <c r="J889" s="65"/>
      <c r="K889" s="65"/>
      <c r="L889" s="65"/>
    </row>
    <row r="890" ht="15.75" customHeight="1">
      <c r="C890" s="65"/>
      <c r="D890" s="65"/>
      <c r="E890" s="65"/>
      <c r="F890" s="65"/>
      <c r="H890" s="65"/>
      <c r="J890" s="65"/>
      <c r="K890" s="65"/>
      <c r="L890" s="65"/>
    </row>
    <row r="891" ht="15.75" customHeight="1">
      <c r="C891" s="65"/>
      <c r="D891" s="65"/>
      <c r="E891" s="65"/>
      <c r="F891" s="65"/>
      <c r="H891" s="65"/>
      <c r="J891" s="65"/>
      <c r="K891" s="65"/>
      <c r="L891" s="65"/>
    </row>
    <row r="892" ht="15.75" customHeight="1">
      <c r="C892" s="65"/>
      <c r="D892" s="65"/>
      <c r="E892" s="65"/>
      <c r="F892" s="65"/>
      <c r="H892" s="65"/>
      <c r="J892" s="65"/>
      <c r="K892" s="65"/>
      <c r="L892" s="65"/>
    </row>
    <row r="893" ht="15.75" customHeight="1">
      <c r="C893" s="65"/>
      <c r="D893" s="65"/>
      <c r="E893" s="65"/>
      <c r="F893" s="65"/>
      <c r="H893" s="65"/>
      <c r="J893" s="65"/>
      <c r="K893" s="65"/>
      <c r="L893" s="65"/>
    </row>
    <row r="894" ht="15.75" customHeight="1">
      <c r="C894" s="65"/>
      <c r="D894" s="65"/>
      <c r="E894" s="65"/>
      <c r="F894" s="65"/>
      <c r="H894" s="65"/>
      <c r="J894" s="65"/>
      <c r="K894" s="65"/>
      <c r="L894" s="65"/>
    </row>
    <row r="895" ht="15.75" customHeight="1">
      <c r="C895" s="65"/>
      <c r="D895" s="65"/>
      <c r="E895" s="65"/>
      <c r="F895" s="65"/>
      <c r="H895" s="65"/>
      <c r="J895" s="65"/>
      <c r="K895" s="65"/>
      <c r="L895" s="65"/>
    </row>
    <row r="896" ht="15.75" customHeight="1">
      <c r="C896" s="65"/>
      <c r="D896" s="65"/>
      <c r="E896" s="65"/>
      <c r="F896" s="65"/>
      <c r="H896" s="65"/>
      <c r="J896" s="65"/>
      <c r="K896" s="65"/>
      <c r="L896" s="65"/>
    </row>
    <row r="897" ht="15.75" customHeight="1">
      <c r="C897" s="65"/>
      <c r="D897" s="65"/>
      <c r="E897" s="65"/>
      <c r="F897" s="65"/>
      <c r="H897" s="65"/>
      <c r="J897" s="65"/>
      <c r="K897" s="65"/>
      <c r="L897" s="65"/>
    </row>
    <row r="898" ht="15.75" customHeight="1">
      <c r="C898" s="65"/>
      <c r="D898" s="65"/>
      <c r="E898" s="65"/>
      <c r="F898" s="65"/>
      <c r="H898" s="65"/>
      <c r="J898" s="65"/>
      <c r="K898" s="65"/>
      <c r="L898" s="65"/>
    </row>
    <row r="899" ht="15.75" customHeight="1">
      <c r="C899" s="65"/>
      <c r="D899" s="65"/>
      <c r="E899" s="65"/>
      <c r="F899" s="65"/>
      <c r="H899" s="65"/>
      <c r="J899" s="65"/>
      <c r="K899" s="65"/>
      <c r="L899" s="65"/>
    </row>
    <row r="900" ht="15.75" customHeight="1">
      <c r="C900" s="65"/>
      <c r="D900" s="65"/>
      <c r="E900" s="65"/>
      <c r="F900" s="65"/>
      <c r="H900" s="65"/>
      <c r="J900" s="65"/>
      <c r="K900" s="65"/>
      <c r="L900" s="65"/>
    </row>
    <row r="901" ht="15.75" customHeight="1">
      <c r="C901" s="65"/>
      <c r="D901" s="65"/>
      <c r="E901" s="65"/>
      <c r="F901" s="65"/>
      <c r="H901" s="65"/>
      <c r="J901" s="65"/>
      <c r="K901" s="65"/>
      <c r="L901" s="65"/>
    </row>
    <row r="902" ht="15.75" customHeight="1">
      <c r="C902" s="65"/>
      <c r="D902" s="65"/>
      <c r="E902" s="65"/>
      <c r="F902" s="65"/>
      <c r="H902" s="65"/>
      <c r="J902" s="65"/>
      <c r="K902" s="65"/>
      <c r="L902" s="65"/>
    </row>
    <row r="903" ht="15.75" customHeight="1">
      <c r="C903" s="65"/>
      <c r="D903" s="65"/>
      <c r="E903" s="65"/>
      <c r="F903" s="65"/>
      <c r="H903" s="65"/>
      <c r="J903" s="65"/>
      <c r="K903" s="65"/>
      <c r="L903" s="65"/>
    </row>
    <row r="904" ht="15.75" customHeight="1">
      <c r="C904" s="65"/>
      <c r="D904" s="65"/>
      <c r="E904" s="65"/>
      <c r="F904" s="65"/>
      <c r="H904" s="65"/>
      <c r="J904" s="65"/>
      <c r="K904" s="65"/>
      <c r="L904" s="65"/>
    </row>
    <row r="905" ht="15.75" customHeight="1">
      <c r="C905" s="65"/>
      <c r="D905" s="65"/>
      <c r="E905" s="65"/>
      <c r="F905" s="65"/>
      <c r="H905" s="65"/>
      <c r="J905" s="65"/>
      <c r="K905" s="65"/>
      <c r="L905" s="65"/>
    </row>
    <row r="906" ht="15.75" customHeight="1">
      <c r="C906" s="65"/>
      <c r="D906" s="65"/>
      <c r="E906" s="65"/>
      <c r="F906" s="65"/>
      <c r="H906" s="65"/>
      <c r="J906" s="65"/>
      <c r="K906" s="65"/>
      <c r="L906" s="65"/>
    </row>
    <row r="907" ht="15.75" customHeight="1">
      <c r="C907" s="65"/>
      <c r="D907" s="65"/>
      <c r="E907" s="65"/>
      <c r="F907" s="65"/>
      <c r="H907" s="65"/>
      <c r="J907" s="65"/>
      <c r="K907" s="65"/>
      <c r="L907" s="65"/>
    </row>
    <row r="908" ht="15.75" customHeight="1">
      <c r="C908" s="65"/>
      <c r="D908" s="65"/>
      <c r="E908" s="65"/>
      <c r="F908" s="65"/>
      <c r="H908" s="65"/>
      <c r="J908" s="65"/>
      <c r="K908" s="65"/>
      <c r="L908" s="65"/>
    </row>
    <row r="909" ht="15.75" customHeight="1">
      <c r="C909" s="65"/>
      <c r="D909" s="65"/>
      <c r="E909" s="65"/>
      <c r="F909" s="65"/>
      <c r="H909" s="65"/>
      <c r="J909" s="65"/>
      <c r="K909" s="65"/>
      <c r="L909" s="65"/>
    </row>
    <row r="910" ht="15.75" customHeight="1">
      <c r="C910" s="65"/>
      <c r="D910" s="65"/>
      <c r="E910" s="65"/>
      <c r="F910" s="65"/>
      <c r="H910" s="65"/>
      <c r="J910" s="65"/>
      <c r="K910" s="65"/>
      <c r="L910" s="65"/>
    </row>
    <row r="911" ht="15.75" customHeight="1">
      <c r="C911" s="65"/>
      <c r="D911" s="65"/>
      <c r="E911" s="65"/>
      <c r="F911" s="65"/>
      <c r="H911" s="65"/>
      <c r="J911" s="65"/>
      <c r="K911" s="65"/>
      <c r="L911" s="65"/>
    </row>
    <row r="912" ht="15.75" customHeight="1">
      <c r="C912" s="65"/>
      <c r="D912" s="65"/>
      <c r="E912" s="65"/>
      <c r="F912" s="65"/>
      <c r="H912" s="65"/>
      <c r="J912" s="65"/>
      <c r="K912" s="65"/>
      <c r="L912" s="65"/>
    </row>
    <row r="913" ht="15.75" customHeight="1">
      <c r="C913" s="65"/>
      <c r="D913" s="65"/>
      <c r="E913" s="65"/>
      <c r="F913" s="65"/>
      <c r="H913" s="65"/>
      <c r="J913" s="65"/>
      <c r="K913" s="65"/>
      <c r="L913" s="65"/>
    </row>
    <row r="914" ht="15.75" customHeight="1">
      <c r="C914" s="65"/>
      <c r="D914" s="65"/>
      <c r="E914" s="65"/>
      <c r="F914" s="65"/>
      <c r="H914" s="65"/>
      <c r="J914" s="65"/>
      <c r="K914" s="65"/>
      <c r="L914" s="65"/>
    </row>
    <row r="915" ht="15.75" customHeight="1">
      <c r="C915" s="65"/>
      <c r="D915" s="65"/>
      <c r="E915" s="65"/>
      <c r="F915" s="65"/>
      <c r="H915" s="65"/>
      <c r="J915" s="65"/>
      <c r="K915" s="65"/>
      <c r="L915" s="65"/>
    </row>
    <row r="916" ht="15.75" customHeight="1">
      <c r="C916" s="65"/>
      <c r="D916" s="65"/>
      <c r="E916" s="65"/>
      <c r="F916" s="65"/>
      <c r="H916" s="65"/>
      <c r="J916" s="65"/>
      <c r="K916" s="65"/>
      <c r="L916" s="65"/>
    </row>
    <row r="917" ht="15.75" customHeight="1">
      <c r="C917" s="65"/>
      <c r="D917" s="65"/>
      <c r="E917" s="65"/>
      <c r="F917" s="65"/>
      <c r="H917" s="65"/>
      <c r="J917" s="65"/>
      <c r="K917" s="65"/>
      <c r="L917" s="65"/>
    </row>
    <row r="918" ht="15.75" customHeight="1">
      <c r="C918" s="65"/>
      <c r="D918" s="65"/>
      <c r="E918" s="65"/>
      <c r="F918" s="65"/>
      <c r="H918" s="65"/>
      <c r="J918" s="65"/>
      <c r="K918" s="65"/>
      <c r="L918" s="65"/>
    </row>
    <row r="919" ht="15.75" customHeight="1">
      <c r="C919" s="65"/>
      <c r="D919" s="65"/>
      <c r="E919" s="65"/>
      <c r="F919" s="65"/>
      <c r="H919" s="65"/>
      <c r="J919" s="65"/>
      <c r="K919" s="65"/>
      <c r="L919" s="65"/>
    </row>
    <row r="920" ht="15.75" customHeight="1">
      <c r="C920" s="65"/>
      <c r="D920" s="65"/>
      <c r="E920" s="65"/>
      <c r="F920" s="65"/>
      <c r="H920" s="65"/>
      <c r="J920" s="65"/>
      <c r="K920" s="65"/>
      <c r="L920" s="65"/>
    </row>
    <row r="921" ht="15.75" customHeight="1">
      <c r="C921" s="65"/>
      <c r="D921" s="65"/>
      <c r="E921" s="65"/>
      <c r="F921" s="65"/>
      <c r="H921" s="65"/>
      <c r="J921" s="65"/>
      <c r="K921" s="65"/>
      <c r="L921" s="65"/>
    </row>
    <row r="922" ht="15.75" customHeight="1">
      <c r="C922" s="65"/>
      <c r="D922" s="65"/>
      <c r="E922" s="65"/>
      <c r="F922" s="65"/>
      <c r="H922" s="65"/>
      <c r="J922" s="65"/>
      <c r="K922" s="65"/>
      <c r="L922" s="65"/>
    </row>
    <row r="923" ht="15.75" customHeight="1">
      <c r="C923" s="65"/>
      <c r="D923" s="65"/>
      <c r="E923" s="65"/>
      <c r="F923" s="65"/>
      <c r="H923" s="65"/>
      <c r="J923" s="65"/>
      <c r="K923" s="65"/>
      <c r="L923" s="65"/>
    </row>
    <row r="924" ht="15.75" customHeight="1">
      <c r="C924" s="65"/>
      <c r="D924" s="65"/>
      <c r="E924" s="65"/>
      <c r="F924" s="65"/>
      <c r="H924" s="65"/>
      <c r="J924" s="65"/>
      <c r="K924" s="65"/>
      <c r="L924" s="65"/>
    </row>
    <row r="925" ht="15.75" customHeight="1">
      <c r="C925" s="65"/>
      <c r="D925" s="65"/>
      <c r="E925" s="65"/>
      <c r="F925" s="65"/>
      <c r="H925" s="65"/>
      <c r="J925" s="65"/>
      <c r="K925" s="65"/>
      <c r="L925" s="65"/>
    </row>
    <row r="926" ht="15.75" customHeight="1">
      <c r="C926" s="65"/>
      <c r="D926" s="65"/>
      <c r="E926" s="65"/>
      <c r="F926" s="65"/>
      <c r="H926" s="65"/>
      <c r="J926" s="65"/>
      <c r="K926" s="65"/>
      <c r="L926" s="65"/>
    </row>
    <row r="927" ht="15.75" customHeight="1">
      <c r="C927" s="65"/>
      <c r="D927" s="65"/>
      <c r="E927" s="65"/>
      <c r="F927" s="65"/>
      <c r="H927" s="65"/>
      <c r="J927" s="65"/>
      <c r="K927" s="65"/>
      <c r="L927" s="65"/>
    </row>
    <row r="928" ht="15.75" customHeight="1">
      <c r="C928" s="65"/>
      <c r="D928" s="65"/>
      <c r="E928" s="65"/>
      <c r="F928" s="65"/>
      <c r="H928" s="65"/>
      <c r="J928" s="65"/>
      <c r="K928" s="65"/>
      <c r="L928" s="65"/>
    </row>
    <row r="929" ht="15.75" customHeight="1">
      <c r="C929" s="65"/>
      <c r="D929" s="65"/>
      <c r="E929" s="65"/>
      <c r="F929" s="65"/>
      <c r="H929" s="65"/>
      <c r="J929" s="65"/>
      <c r="K929" s="65"/>
      <c r="L929" s="65"/>
    </row>
    <row r="930" ht="15.75" customHeight="1">
      <c r="C930" s="65"/>
      <c r="D930" s="65"/>
      <c r="E930" s="65"/>
      <c r="F930" s="65"/>
      <c r="H930" s="65"/>
      <c r="J930" s="65"/>
      <c r="K930" s="65"/>
      <c r="L930" s="65"/>
    </row>
    <row r="931" ht="15.75" customHeight="1">
      <c r="C931" s="65"/>
      <c r="D931" s="65"/>
      <c r="E931" s="65"/>
      <c r="F931" s="65"/>
      <c r="H931" s="65"/>
      <c r="J931" s="65"/>
      <c r="K931" s="65"/>
      <c r="L931" s="65"/>
    </row>
    <row r="932" ht="15.75" customHeight="1">
      <c r="C932" s="65"/>
      <c r="D932" s="65"/>
      <c r="E932" s="65"/>
      <c r="F932" s="65"/>
      <c r="H932" s="65"/>
      <c r="J932" s="65"/>
      <c r="K932" s="65"/>
      <c r="L932" s="65"/>
    </row>
    <row r="933" ht="15.75" customHeight="1">
      <c r="C933" s="65"/>
      <c r="D933" s="65"/>
      <c r="E933" s="65"/>
      <c r="F933" s="65"/>
      <c r="H933" s="65"/>
      <c r="J933" s="65"/>
      <c r="K933" s="65"/>
      <c r="L933" s="65"/>
    </row>
    <row r="934" ht="15.75" customHeight="1">
      <c r="C934" s="65"/>
      <c r="D934" s="65"/>
      <c r="E934" s="65"/>
      <c r="F934" s="65"/>
      <c r="H934" s="65"/>
      <c r="J934" s="65"/>
      <c r="K934" s="65"/>
      <c r="L934" s="65"/>
    </row>
    <row r="935" ht="15.75" customHeight="1">
      <c r="C935" s="65"/>
      <c r="D935" s="65"/>
      <c r="E935" s="65"/>
      <c r="F935" s="65"/>
      <c r="H935" s="65"/>
      <c r="J935" s="65"/>
      <c r="K935" s="65"/>
      <c r="L935" s="65"/>
    </row>
    <row r="936" ht="15.75" customHeight="1">
      <c r="C936" s="65"/>
      <c r="D936" s="65"/>
      <c r="E936" s="65"/>
      <c r="F936" s="65"/>
      <c r="H936" s="65"/>
      <c r="J936" s="65"/>
      <c r="K936" s="65"/>
      <c r="L936" s="65"/>
    </row>
    <row r="937" ht="15.75" customHeight="1">
      <c r="C937" s="65"/>
      <c r="D937" s="65"/>
      <c r="E937" s="65"/>
      <c r="F937" s="65"/>
      <c r="H937" s="65"/>
      <c r="J937" s="65"/>
      <c r="K937" s="65"/>
      <c r="L937" s="65"/>
    </row>
    <row r="938" ht="15.75" customHeight="1">
      <c r="C938" s="65"/>
      <c r="D938" s="65"/>
      <c r="E938" s="65"/>
      <c r="F938" s="65"/>
      <c r="H938" s="65"/>
      <c r="J938" s="65"/>
      <c r="K938" s="65"/>
      <c r="L938" s="65"/>
    </row>
    <row r="939" ht="15.75" customHeight="1">
      <c r="C939" s="65"/>
      <c r="D939" s="65"/>
      <c r="E939" s="65"/>
      <c r="F939" s="65"/>
      <c r="H939" s="65"/>
      <c r="J939" s="65"/>
      <c r="K939" s="65"/>
      <c r="L939" s="65"/>
    </row>
    <row r="940" ht="15.75" customHeight="1">
      <c r="C940" s="65"/>
      <c r="D940" s="65"/>
      <c r="E940" s="65"/>
      <c r="F940" s="65"/>
      <c r="H940" s="65"/>
      <c r="J940" s="65"/>
      <c r="K940" s="65"/>
      <c r="L940" s="65"/>
    </row>
    <row r="941" ht="15.75" customHeight="1">
      <c r="C941" s="65"/>
      <c r="D941" s="65"/>
      <c r="E941" s="65"/>
      <c r="F941" s="65"/>
      <c r="H941" s="65"/>
      <c r="J941" s="65"/>
      <c r="K941" s="65"/>
      <c r="L941" s="65"/>
    </row>
    <row r="942" ht="15.75" customHeight="1">
      <c r="C942" s="65"/>
      <c r="D942" s="65"/>
      <c r="E942" s="65"/>
      <c r="F942" s="65"/>
      <c r="H942" s="65"/>
      <c r="J942" s="65"/>
      <c r="K942" s="65"/>
      <c r="L942" s="65"/>
    </row>
    <row r="943" ht="15.75" customHeight="1">
      <c r="C943" s="65"/>
      <c r="D943" s="65"/>
      <c r="E943" s="65"/>
      <c r="F943" s="65"/>
      <c r="H943" s="65"/>
      <c r="J943" s="65"/>
      <c r="K943" s="65"/>
      <c r="L943" s="65"/>
    </row>
    <row r="944" ht="15.75" customHeight="1">
      <c r="C944" s="65"/>
      <c r="D944" s="65"/>
      <c r="E944" s="65"/>
      <c r="F944" s="65"/>
      <c r="H944" s="65"/>
      <c r="J944" s="65"/>
      <c r="K944" s="65"/>
      <c r="L944" s="65"/>
    </row>
    <row r="945" ht="15.75" customHeight="1">
      <c r="C945" s="65"/>
      <c r="D945" s="65"/>
      <c r="E945" s="65"/>
      <c r="F945" s="65"/>
      <c r="H945" s="65"/>
      <c r="J945" s="65"/>
      <c r="K945" s="65"/>
      <c r="L945" s="65"/>
    </row>
    <row r="946" ht="15.75" customHeight="1">
      <c r="C946" s="65"/>
      <c r="D946" s="65"/>
      <c r="E946" s="65"/>
      <c r="F946" s="65"/>
      <c r="H946" s="65"/>
      <c r="J946" s="65"/>
      <c r="K946" s="65"/>
      <c r="L946" s="65"/>
    </row>
    <row r="947" ht="15.75" customHeight="1">
      <c r="C947" s="65"/>
      <c r="D947" s="65"/>
      <c r="E947" s="65"/>
      <c r="F947" s="65"/>
      <c r="H947" s="65"/>
      <c r="J947" s="65"/>
      <c r="K947" s="65"/>
      <c r="L947" s="65"/>
    </row>
    <row r="948" ht="15.75" customHeight="1">
      <c r="C948" s="65"/>
      <c r="D948" s="65"/>
      <c r="E948" s="65"/>
      <c r="F948" s="65"/>
      <c r="H948" s="65"/>
      <c r="J948" s="65"/>
      <c r="K948" s="65"/>
      <c r="L948" s="65"/>
    </row>
    <row r="949" ht="15.75" customHeight="1">
      <c r="C949" s="65"/>
      <c r="D949" s="65"/>
      <c r="E949" s="65"/>
      <c r="F949" s="65"/>
      <c r="H949" s="65"/>
      <c r="J949" s="65"/>
      <c r="K949" s="65"/>
      <c r="L949" s="65"/>
    </row>
    <row r="950" ht="15.75" customHeight="1">
      <c r="C950" s="65"/>
      <c r="D950" s="65"/>
      <c r="E950" s="65"/>
      <c r="F950" s="65"/>
      <c r="H950" s="65"/>
      <c r="J950" s="65"/>
      <c r="K950" s="65"/>
      <c r="L950" s="65"/>
    </row>
    <row r="951" ht="15.75" customHeight="1">
      <c r="C951" s="65"/>
      <c r="D951" s="65"/>
      <c r="E951" s="65"/>
      <c r="F951" s="65"/>
      <c r="H951" s="65"/>
      <c r="J951" s="65"/>
      <c r="K951" s="65"/>
      <c r="L951" s="65"/>
    </row>
    <row r="952" ht="15.75" customHeight="1">
      <c r="C952" s="65"/>
      <c r="D952" s="65"/>
      <c r="E952" s="65"/>
      <c r="F952" s="65"/>
      <c r="H952" s="65"/>
      <c r="J952" s="65"/>
      <c r="K952" s="65"/>
      <c r="L952" s="65"/>
    </row>
    <row r="953" ht="15.75" customHeight="1">
      <c r="C953" s="65"/>
      <c r="D953" s="65"/>
      <c r="E953" s="65"/>
      <c r="F953" s="65"/>
      <c r="H953" s="65"/>
      <c r="J953" s="65"/>
      <c r="K953" s="65"/>
      <c r="L953" s="65"/>
    </row>
    <row r="954" ht="15.75" customHeight="1">
      <c r="C954" s="65"/>
      <c r="D954" s="65"/>
      <c r="E954" s="65"/>
      <c r="F954" s="65"/>
      <c r="H954" s="65"/>
      <c r="J954" s="65"/>
      <c r="K954" s="65"/>
      <c r="L954" s="65"/>
    </row>
    <row r="955" ht="15.75" customHeight="1">
      <c r="C955" s="65"/>
      <c r="D955" s="65"/>
      <c r="E955" s="65"/>
      <c r="F955" s="65"/>
      <c r="H955" s="65"/>
      <c r="J955" s="65"/>
      <c r="K955" s="65"/>
      <c r="L955" s="65"/>
    </row>
    <row r="956" ht="15.75" customHeight="1">
      <c r="C956" s="65"/>
      <c r="D956" s="65"/>
      <c r="E956" s="65"/>
      <c r="F956" s="65"/>
      <c r="H956" s="65"/>
      <c r="J956" s="65"/>
      <c r="K956" s="65"/>
      <c r="L956" s="65"/>
    </row>
    <row r="957" ht="15.75" customHeight="1">
      <c r="C957" s="65"/>
      <c r="D957" s="65"/>
      <c r="E957" s="65"/>
      <c r="F957" s="65"/>
      <c r="H957" s="65"/>
      <c r="J957" s="65"/>
      <c r="K957" s="65"/>
      <c r="L957" s="65"/>
    </row>
    <row r="958" ht="15.75" customHeight="1">
      <c r="C958" s="65"/>
      <c r="D958" s="65"/>
      <c r="E958" s="65"/>
      <c r="F958" s="65"/>
      <c r="H958" s="65"/>
      <c r="J958" s="65"/>
      <c r="K958" s="65"/>
      <c r="L958" s="65"/>
    </row>
    <row r="959" ht="15.75" customHeight="1">
      <c r="C959" s="65"/>
      <c r="D959" s="65"/>
      <c r="E959" s="65"/>
      <c r="F959" s="65"/>
      <c r="H959" s="65"/>
      <c r="J959" s="65"/>
      <c r="K959" s="65"/>
      <c r="L959" s="65"/>
    </row>
    <row r="960" ht="15.75" customHeight="1">
      <c r="C960" s="65"/>
      <c r="D960" s="65"/>
      <c r="E960" s="65"/>
      <c r="F960" s="65"/>
      <c r="H960" s="65"/>
      <c r="J960" s="65"/>
      <c r="K960" s="65"/>
      <c r="L960" s="65"/>
    </row>
    <row r="961" ht="15.75" customHeight="1">
      <c r="C961" s="65"/>
      <c r="D961" s="65"/>
      <c r="E961" s="65"/>
      <c r="F961" s="65"/>
      <c r="H961" s="65"/>
      <c r="J961" s="65"/>
      <c r="K961" s="65"/>
      <c r="L961" s="65"/>
    </row>
    <row r="962" ht="15.75" customHeight="1">
      <c r="C962" s="65"/>
      <c r="D962" s="65"/>
      <c r="E962" s="65"/>
      <c r="F962" s="65"/>
      <c r="H962" s="65"/>
      <c r="J962" s="65"/>
      <c r="K962" s="65"/>
      <c r="L962" s="65"/>
    </row>
    <row r="963" ht="15.75" customHeight="1">
      <c r="C963" s="65"/>
      <c r="D963" s="65"/>
      <c r="E963" s="65"/>
      <c r="F963" s="65"/>
      <c r="H963" s="65"/>
      <c r="J963" s="65"/>
      <c r="K963" s="65"/>
      <c r="L963" s="65"/>
    </row>
    <row r="964" ht="15.75" customHeight="1">
      <c r="C964" s="65"/>
      <c r="D964" s="65"/>
      <c r="E964" s="65"/>
      <c r="F964" s="65"/>
      <c r="H964" s="65"/>
      <c r="J964" s="65"/>
      <c r="K964" s="65"/>
      <c r="L964" s="65"/>
    </row>
    <row r="965" ht="15.75" customHeight="1">
      <c r="C965" s="65"/>
      <c r="D965" s="65"/>
      <c r="E965" s="65"/>
      <c r="F965" s="65"/>
      <c r="H965" s="65"/>
      <c r="J965" s="65"/>
      <c r="K965" s="65"/>
      <c r="L965" s="65"/>
    </row>
    <row r="966" ht="15.75" customHeight="1">
      <c r="C966" s="65"/>
      <c r="D966" s="65"/>
      <c r="E966" s="65"/>
      <c r="F966" s="65"/>
      <c r="H966" s="65"/>
      <c r="J966" s="65"/>
      <c r="K966" s="65"/>
      <c r="L966" s="65"/>
    </row>
    <row r="967" ht="15.75" customHeight="1">
      <c r="C967" s="65"/>
      <c r="D967" s="65"/>
      <c r="E967" s="65"/>
      <c r="F967" s="65"/>
      <c r="H967" s="65"/>
      <c r="J967" s="65"/>
      <c r="K967" s="65"/>
      <c r="L967" s="65"/>
    </row>
    <row r="968" ht="15.75" customHeight="1">
      <c r="C968" s="65"/>
      <c r="D968" s="65"/>
      <c r="E968" s="65"/>
      <c r="F968" s="65"/>
      <c r="H968" s="65"/>
      <c r="J968" s="65"/>
      <c r="K968" s="65"/>
      <c r="L968" s="65"/>
    </row>
    <row r="969" ht="15.75" customHeight="1">
      <c r="C969" s="65"/>
      <c r="D969" s="65"/>
      <c r="E969" s="65"/>
      <c r="F969" s="65"/>
      <c r="H969" s="65"/>
      <c r="J969" s="65"/>
      <c r="K969" s="65"/>
      <c r="L969" s="65"/>
    </row>
    <row r="970" ht="15.75" customHeight="1">
      <c r="C970" s="65"/>
      <c r="D970" s="65"/>
      <c r="E970" s="65"/>
      <c r="F970" s="65"/>
      <c r="H970" s="65"/>
      <c r="J970" s="65"/>
      <c r="K970" s="65"/>
      <c r="L970" s="65"/>
    </row>
    <row r="971" ht="15.75" customHeight="1">
      <c r="C971" s="65"/>
      <c r="D971" s="65"/>
      <c r="E971" s="65"/>
      <c r="F971" s="65"/>
      <c r="H971" s="65"/>
      <c r="J971" s="65"/>
      <c r="K971" s="65"/>
      <c r="L971" s="65"/>
    </row>
    <row r="972" ht="15.75" customHeight="1">
      <c r="C972" s="65"/>
      <c r="D972" s="65"/>
      <c r="E972" s="65"/>
      <c r="F972" s="65"/>
      <c r="H972" s="65"/>
      <c r="J972" s="65"/>
      <c r="K972" s="65"/>
      <c r="L972" s="65"/>
    </row>
    <row r="973" ht="15.75" customHeight="1">
      <c r="C973" s="65"/>
      <c r="D973" s="65"/>
      <c r="E973" s="65"/>
      <c r="F973" s="65"/>
      <c r="H973" s="65"/>
      <c r="J973" s="65"/>
      <c r="K973" s="65"/>
      <c r="L973" s="65"/>
    </row>
    <row r="974" ht="15.75" customHeight="1">
      <c r="C974" s="65"/>
      <c r="D974" s="65"/>
      <c r="E974" s="65"/>
      <c r="F974" s="65"/>
      <c r="H974" s="65"/>
      <c r="J974" s="65"/>
      <c r="K974" s="65"/>
      <c r="L974" s="65"/>
    </row>
    <row r="975" ht="15.75" customHeight="1">
      <c r="C975" s="65"/>
      <c r="D975" s="65"/>
      <c r="E975" s="65"/>
      <c r="F975" s="65"/>
      <c r="H975" s="65"/>
      <c r="J975" s="65"/>
      <c r="K975" s="65"/>
      <c r="L975" s="65"/>
    </row>
    <row r="976" ht="15.75" customHeight="1">
      <c r="C976" s="65"/>
      <c r="D976" s="65"/>
      <c r="E976" s="65"/>
      <c r="F976" s="65"/>
      <c r="H976" s="65"/>
      <c r="J976" s="65"/>
      <c r="K976" s="65"/>
      <c r="L976" s="65"/>
    </row>
    <row r="977" ht="15.75" customHeight="1">
      <c r="C977" s="65"/>
      <c r="D977" s="65"/>
      <c r="E977" s="65"/>
      <c r="F977" s="65"/>
      <c r="H977" s="65"/>
      <c r="J977" s="65"/>
      <c r="K977" s="65"/>
      <c r="L977" s="65"/>
    </row>
    <row r="978" ht="15.75" customHeight="1">
      <c r="C978" s="65"/>
      <c r="D978" s="65"/>
      <c r="E978" s="65"/>
      <c r="F978" s="65"/>
      <c r="H978" s="65"/>
      <c r="J978" s="65"/>
      <c r="K978" s="65"/>
      <c r="L978" s="65"/>
    </row>
    <row r="979" ht="15.75" customHeight="1">
      <c r="C979" s="65"/>
      <c r="D979" s="65"/>
      <c r="E979" s="65"/>
      <c r="F979" s="65"/>
      <c r="H979" s="65"/>
      <c r="J979" s="65"/>
      <c r="K979" s="65"/>
      <c r="L979" s="65"/>
    </row>
    <row r="980" ht="15.75" customHeight="1">
      <c r="C980" s="65"/>
      <c r="D980" s="65"/>
      <c r="E980" s="65"/>
      <c r="F980" s="65"/>
      <c r="H980" s="65"/>
      <c r="J980" s="65"/>
      <c r="K980" s="65"/>
      <c r="L980" s="65"/>
    </row>
    <row r="981" ht="15.75" customHeight="1">
      <c r="C981" s="65"/>
      <c r="D981" s="65"/>
      <c r="E981" s="65"/>
      <c r="F981" s="65"/>
      <c r="H981" s="65"/>
      <c r="J981" s="65"/>
      <c r="K981" s="65"/>
      <c r="L981" s="65"/>
    </row>
    <row r="982" ht="15.75" customHeight="1">
      <c r="C982" s="65"/>
      <c r="D982" s="65"/>
      <c r="E982" s="65"/>
      <c r="F982" s="65"/>
      <c r="H982" s="65"/>
      <c r="J982" s="65"/>
      <c r="K982" s="65"/>
      <c r="L982" s="65"/>
    </row>
    <row r="983" ht="15.75" customHeight="1">
      <c r="C983" s="65"/>
      <c r="D983" s="65"/>
      <c r="E983" s="65"/>
      <c r="F983" s="65"/>
      <c r="H983" s="65"/>
      <c r="J983" s="65"/>
      <c r="K983" s="65"/>
      <c r="L983" s="65"/>
    </row>
    <row r="984" ht="15.75" customHeight="1">
      <c r="C984" s="65"/>
      <c r="D984" s="65"/>
      <c r="E984" s="65"/>
      <c r="F984" s="65"/>
      <c r="H984" s="65"/>
      <c r="J984" s="65"/>
      <c r="K984" s="65"/>
      <c r="L984" s="65"/>
    </row>
    <row r="985" ht="15.75" customHeight="1">
      <c r="C985" s="65"/>
      <c r="D985" s="65"/>
      <c r="E985" s="65"/>
      <c r="F985" s="65"/>
      <c r="H985" s="65"/>
      <c r="J985" s="65"/>
      <c r="K985" s="65"/>
      <c r="L985" s="65"/>
    </row>
    <row r="986" ht="15.75" customHeight="1">
      <c r="C986" s="65"/>
      <c r="D986" s="65"/>
      <c r="E986" s="65"/>
      <c r="F986" s="65"/>
      <c r="H986" s="65"/>
      <c r="J986" s="65"/>
      <c r="K986" s="65"/>
      <c r="L986" s="65"/>
    </row>
    <row r="987" ht="15.75" customHeight="1">
      <c r="C987" s="65"/>
      <c r="D987" s="65"/>
      <c r="E987" s="65"/>
      <c r="F987" s="65"/>
      <c r="H987" s="65"/>
      <c r="J987" s="65"/>
      <c r="K987" s="65"/>
      <c r="L987" s="65"/>
    </row>
    <row r="988" ht="15.75" customHeight="1">
      <c r="C988" s="65"/>
      <c r="D988" s="65"/>
      <c r="E988" s="65"/>
      <c r="F988" s="65"/>
      <c r="H988" s="65"/>
      <c r="J988" s="65"/>
      <c r="K988" s="65"/>
      <c r="L988" s="65"/>
    </row>
    <row r="989" ht="15.75" customHeight="1">
      <c r="C989" s="65"/>
      <c r="D989" s="65"/>
      <c r="E989" s="65"/>
      <c r="F989" s="65"/>
      <c r="H989" s="65"/>
      <c r="J989" s="65"/>
      <c r="K989" s="65"/>
      <c r="L989" s="65"/>
    </row>
    <row r="990" ht="15.75" customHeight="1">
      <c r="C990" s="65"/>
      <c r="D990" s="65"/>
      <c r="E990" s="65"/>
      <c r="F990" s="65"/>
      <c r="H990" s="65"/>
      <c r="J990" s="65"/>
      <c r="K990" s="65"/>
      <c r="L990" s="65"/>
    </row>
    <row r="991" ht="15.75" customHeight="1">
      <c r="C991" s="65"/>
      <c r="D991" s="65"/>
      <c r="E991" s="65"/>
      <c r="F991" s="65"/>
      <c r="H991" s="65"/>
      <c r="J991" s="65"/>
      <c r="K991" s="65"/>
      <c r="L991" s="65"/>
    </row>
    <row r="992" ht="15.75" customHeight="1">
      <c r="C992" s="65"/>
      <c r="D992" s="65"/>
      <c r="E992" s="65"/>
      <c r="F992" s="65"/>
      <c r="H992" s="65"/>
      <c r="J992" s="65"/>
      <c r="K992" s="65"/>
      <c r="L992" s="65"/>
    </row>
    <row r="993" ht="15.75" customHeight="1">
      <c r="C993" s="65"/>
      <c r="D993" s="65"/>
      <c r="E993" s="65"/>
      <c r="F993" s="65"/>
      <c r="H993" s="65"/>
      <c r="J993" s="65"/>
      <c r="K993" s="65"/>
      <c r="L993" s="65"/>
    </row>
    <row r="994" ht="15.75" customHeight="1">
      <c r="C994" s="65"/>
      <c r="D994" s="65"/>
      <c r="E994" s="65"/>
      <c r="F994" s="65"/>
      <c r="H994" s="65"/>
      <c r="J994" s="65"/>
      <c r="K994" s="65"/>
      <c r="L994" s="65"/>
    </row>
    <row r="995" ht="15.75" customHeight="1">
      <c r="C995" s="65"/>
      <c r="D995" s="65"/>
      <c r="E995" s="65"/>
      <c r="F995" s="65"/>
      <c r="H995" s="65"/>
      <c r="J995" s="65"/>
      <c r="K995" s="65"/>
      <c r="L995" s="65"/>
    </row>
    <row r="996" ht="15.75" customHeight="1">
      <c r="C996" s="65"/>
      <c r="D996" s="65"/>
      <c r="E996" s="65"/>
      <c r="F996" s="65"/>
      <c r="H996" s="65"/>
      <c r="J996" s="65"/>
      <c r="K996" s="65"/>
      <c r="L996" s="65"/>
    </row>
    <row r="997" ht="15.75" customHeight="1">
      <c r="C997" s="65"/>
      <c r="D997" s="65"/>
      <c r="E997" s="65"/>
      <c r="F997" s="65"/>
      <c r="H997" s="65"/>
      <c r="J997" s="65"/>
      <c r="K997" s="65"/>
      <c r="L997" s="65"/>
    </row>
    <row r="998" ht="15.75" customHeight="1">
      <c r="C998" s="65"/>
      <c r="D998" s="65"/>
      <c r="E998" s="65"/>
      <c r="F998" s="65"/>
      <c r="H998" s="65"/>
      <c r="J998" s="65"/>
      <c r="K998" s="65"/>
      <c r="L998" s="65"/>
    </row>
    <row r="999" ht="15.75" customHeight="1">
      <c r="C999" s="65"/>
      <c r="D999" s="65"/>
      <c r="E999" s="65"/>
      <c r="F999" s="65"/>
      <c r="H999" s="65"/>
      <c r="J999" s="65"/>
      <c r="K999" s="65"/>
      <c r="L999" s="65"/>
    </row>
    <row r="1000" ht="15.75" customHeight="1">
      <c r="C1000" s="65"/>
      <c r="D1000" s="65"/>
      <c r="E1000" s="65"/>
      <c r="F1000" s="65"/>
      <c r="H1000" s="65"/>
      <c r="J1000" s="65"/>
      <c r="K1000" s="65"/>
      <c r="L1000" s="65"/>
    </row>
  </sheetData>
  <autoFilter ref="$A$1:$M$16"/>
  <dataValidations>
    <dataValidation type="list" allowBlank="1" sqref="L2:L1000">
      <formula1>'_Lists'!$A$2:$A$43</formula1>
    </dataValidation>
    <dataValidation type="date" operator="greaterThanOrEqual" allowBlank="1" showInputMessage="1" prompt="Due Date - Enter a date (YYYY-MM-DD)" sqref="H2:H1000">
      <formula1>2020-1-1</formula1>
    </dataValidation>
    <dataValidation type="list" allowBlank="1" sqref="F2:F1000">
      <formula1>"Amy Tripp,Napadech,Nattapat Suwansipaisan,Nutgritta Prasomthongsuk,Thiraphat Panthong"</formula1>
    </dataValidation>
    <dataValidation type="list" allowBlank="1" sqref="D2:D1000">
      <formula1>"To Do,In Progress,Done,Closed,Resolved"</formula1>
    </dataValidation>
    <dataValidation type="list" allowBlank="1" sqref="E2:E1000">
      <formula1>"Highest,High,Medium,Low,Lowest"</formula1>
    </dataValidation>
    <dataValidation type="list" allowBlank="1" sqref="J2:J1000">
      <formula1>"SCRUM Sprint 1,SCRUM Sprint 2,SCRUM Sprint 3,SCRUM Sprint 4"</formula1>
    </dataValidation>
    <dataValidation type="list" allowBlank="1" sqref="K2:K1000">
      <formula1>"SCRUM-30,SCRUM-35,SCRUM-219,SCRUM-33,SCRUM-234,SCRUM-150,SCRUM-149,SCRUM-34,SCRUM-235,SCRUM-153,SCRUM-152,SCRUM-151,SCRUM-36,SCRUM-236,SCRUM-147"</formula1>
    </dataValidation>
    <dataValidation type="list" allowBlank="1" sqref="C2:C1000">
      <formula1>"Epic,Task,Test,Subtask"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12.0"/>
    <col customWidth="1" min="2" max="2" width="45.0"/>
    <col customWidth="1" min="3" max="3" width="13.0"/>
    <col customWidth="1" min="4" max="4" width="14.0"/>
    <col customWidth="1" min="5" max="5" width="11.0"/>
    <col customWidth="1" min="6" max="7" width="21.0"/>
    <col customWidth="1" min="8" max="9" width="13.0"/>
    <col customWidth="1" min="10" max="10" width="15.0"/>
    <col customWidth="1" min="11" max="11" width="17.0"/>
    <col customWidth="1" min="12" max="12" width="23.57"/>
    <col customWidth="1" min="13" max="13" width="27.0"/>
  </cols>
  <sheetData>
    <row r="1" ht="30.0" customHeight="1">
      <c r="A1" s="17" t="s">
        <v>52</v>
      </c>
      <c r="B1" s="17" t="s">
        <v>53</v>
      </c>
      <c r="C1" s="17" t="s">
        <v>54</v>
      </c>
      <c r="D1" s="17" t="s">
        <v>38</v>
      </c>
      <c r="E1" s="17" t="s">
        <v>55</v>
      </c>
      <c r="F1" s="17" t="s">
        <v>56</v>
      </c>
      <c r="G1" s="17" t="s">
        <v>57</v>
      </c>
      <c r="H1" s="17" t="s">
        <v>58</v>
      </c>
      <c r="I1" s="17" t="s">
        <v>59</v>
      </c>
      <c r="J1" s="17" t="s">
        <v>37</v>
      </c>
      <c r="K1" s="17" t="s">
        <v>60</v>
      </c>
      <c r="L1" s="17" t="s">
        <v>61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44" t="s">
        <v>32</v>
      </c>
      <c r="B2" s="44" t="s">
        <v>33</v>
      </c>
      <c r="C2" s="45" t="s">
        <v>62</v>
      </c>
      <c r="D2" s="24" t="s">
        <v>44</v>
      </c>
      <c r="E2" s="51" t="s">
        <v>69</v>
      </c>
      <c r="F2" s="47" t="s">
        <v>70</v>
      </c>
      <c r="G2" s="47" t="s">
        <v>637</v>
      </c>
      <c r="H2" s="48" t="s">
        <v>612</v>
      </c>
      <c r="I2" s="47"/>
      <c r="J2" s="47"/>
      <c r="K2" s="47"/>
      <c r="L2" s="4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 outlineLevel="1">
      <c r="A3" s="49" t="s">
        <v>638</v>
      </c>
      <c r="B3" s="49" t="s">
        <v>639</v>
      </c>
      <c r="C3" s="50" t="s">
        <v>68</v>
      </c>
      <c r="D3" s="19" t="s">
        <v>14</v>
      </c>
      <c r="E3" s="51" t="s">
        <v>69</v>
      </c>
      <c r="F3" s="52" t="s">
        <v>70</v>
      </c>
      <c r="G3" s="52" t="s">
        <v>555</v>
      </c>
      <c r="H3" s="53" t="s">
        <v>555</v>
      </c>
      <c r="I3" s="52"/>
      <c r="J3" s="52" t="s">
        <v>41</v>
      </c>
      <c r="K3" s="52" t="s">
        <v>32</v>
      </c>
      <c r="L3" s="52" t="s">
        <v>33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customHeight="1" outlineLevel="2">
      <c r="A4" s="54" t="s">
        <v>640</v>
      </c>
      <c r="B4" s="54" t="s">
        <v>641</v>
      </c>
      <c r="C4" s="55" t="s">
        <v>75</v>
      </c>
      <c r="D4" s="19" t="s">
        <v>14</v>
      </c>
      <c r="E4" s="51" t="s">
        <v>69</v>
      </c>
      <c r="F4" s="56" t="s">
        <v>70</v>
      </c>
      <c r="G4" s="56" t="s">
        <v>555</v>
      </c>
      <c r="H4" s="59" t="s">
        <v>555</v>
      </c>
      <c r="I4" s="56"/>
      <c r="J4" s="56" t="s">
        <v>41</v>
      </c>
      <c r="K4" s="56" t="s">
        <v>638</v>
      </c>
      <c r="L4" s="56" t="s">
        <v>639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 outlineLevel="2">
      <c r="A5" s="57" t="s">
        <v>642</v>
      </c>
      <c r="B5" s="57" t="s">
        <v>643</v>
      </c>
      <c r="C5" s="55" t="s">
        <v>75</v>
      </c>
      <c r="D5" s="19" t="s">
        <v>14</v>
      </c>
      <c r="E5" s="51" t="s">
        <v>69</v>
      </c>
      <c r="F5" s="58" t="s">
        <v>70</v>
      </c>
      <c r="G5" s="58" t="s">
        <v>555</v>
      </c>
      <c r="H5" s="60" t="s">
        <v>555</v>
      </c>
      <c r="I5" s="58"/>
      <c r="J5" s="58" t="s">
        <v>41</v>
      </c>
      <c r="K5" s="58" t="s">
        <v>638</v>
      </c>
      <c r="L5" s="58" t="s">
        <v>639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customHeight="1" outlineLevel="2">
      <c r="A6" s="54" t="s">
        <v>644</v>
      </c>
      <c r="B6" s="54" t="s">
        <v>645</v>
      </c>
      <c r="C6" s="55" t="s">
        <v>75</v>
      </c>
      <c r="D6" s="19" t="s">
        <v>14</v>
      </c>
      <c r="E6" s="51" t="s">
        <v>69</v>
      </c>
      <c r="F6" s="56" t="s">
        <v>70</v>
      </c>
      <c r="G6" s="56" t="s">
        <v>555</v>
      </c>
      <c r="H6" s="59" t="s">
        <v>555</v>
      </c>
      <c r="I6" s="56"/>
      <c r="J6" s="56" t="s">
        <v>41</v>
      </c>
      <c r="K6" s="56" t="s">
        <v>638</v>
      </c>
      <c r="L6" s="56" t="s">
        <v>639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9.5" customHeight="1" outlineLevel="2">
      <c r="A7" s="57" t="s">
        <v>646</v>
      </c>
      <c r="B7" s="57" t="s">
        <v>647</v>
      </c>
      <c r="C7" s="55" t="s">
        <v>75</v>
      </c>
      <c r="D7" s="19" t="s">
        <v>14</v>
      </c>
      <c r="E7" s="51" t="s">
        <v>69</v>
      </c>
      <c r="F7" s="58" t="s">
        <v>70</v>
      </c>
      <c r="G7" s="58" t="s">
        <v>555</v>
      </c>
      <c r="H7" s="60" t="s">
        <v>555</v>
      </c>
      <c r="I7" s="58"/>
      <c r="J7" s="58" t="s">
        <v>41</v>
      </c>
      <c r="K7" s="58" t="s">
        <v>638</v>
      </c>
      <c r="L7" s="58" t="s">
        <v>639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customHeight="1" outlineLevel="2">
      <c r="A8" s="54" t="s">
        <v>648</v>
      </c>
      <c r="B8" s="54" t="s">
        <v>649</v>
      </c>
      <c r="C8" s="55" t="s">
        <v>75</v>
      </c>
      <c r="D8" s="19" t="s">
        <v>14</v>
      </c>
      <c r="E8" s="51" t="s">
        <v>69</v>
      </c>
      <c r="F8" s="56" t="s">
        <v>70</v>
      </c>
      <c r="G8" s="56" t="s">
        <v>555</v>
      </c>
      <c r="H8" s="59" t="s">
        <v>555</v>
      </c>
      <c r="I8" s="56"/>
      <c r="J8" s="56" t="s">
        <v>41</v>
      </c>
      <c r="K8" s="56" t="s">
        <v>638</v>
      </c>
      <c r="L8" s="56" t="s">
        <v>639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9.5" customHeight="1" outlineLevel="2">
      <c r="A9" s="57" t="s">
        <v>650</v>
      </c>
      <c r="B9" s="57" t="s">
        <v>651</v>
      </c>
      <c r="C9" s="55" t="s">
        <v>75</v>
      </c>
      <c r="D9" s="19" t="s">
        <v>14</v>
      </c>
      <c r="E9" s="51" t="s">
        <v>69</v>
      </c>
      <c r="F9" s="58" t="s">
        <v>70</v>
      </c>
      <c r="G9" s="58" t="s">
        <v>555</v>
      </c>
      <c r="H9" s="60" t="s">
        <v>555</v>
      </c>
      <c r="I9" s="58"/>
      <c r="J9" s="58" t="s">
        <v>41</v>
      </c>
      <c r="K9" s="58" t="s">
        <v>638</v>
      </c>
      <c r="L9" s="58" t="s">
        <v>639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9.5" customHeight="1" outlineLevel="2">
      <c r="A10" s="54" t="s">
        <v>652</v>
      </c>
      <c r="B10" s="54" t="s">
        <v>653</v>
      </c>
      <c r="C10" s="55" t="s">
        <v>75</v>
      </c>
      <c r="D10" s="19" t="s">
        <v>14</v>
      </c>
      <c r="E10" s="51" t="s">
        <v>69</v>
      </c>
      <c r="F10" s="56" t="s">
        <v>70</v>
      </c>
      <c r="G10" s="56" t="s">
        <v>555</v>
      </c>
      <c r="H10" s="59" t="s">
        <v>555</v>
      </c>
      <c r="I10" s="56"/>
      <c r="J10" s="56" t="s">
        <v>41</v>
      </c>
      <c r="K10" s="56" t="s">
        <v>638</v>
      </c>
      <c r="L10" s="56" t="s">
        <v>639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.5" customHeight="1" outlineLevel="1">
      <c r="A11" s="49" t="s">
        <v>654</v>
      </c>
      <c r="B11" s="49" t="s">
        <v>655</v>
      </c>
      <c r="C11" s="50" t="s">
        <v>68</v>
      </c>
      <c r="D11" s="27" t="s">
        <v>235</v>
      </c>
      <c r="E11" s="51" t="s">
        <v>69</v>
      </c>
      <c r="F11" s="52" t="s">
        <v>70</v>
      </c>
      <c r="G11" s="52" t="s">
        <v>637</v>
      </c>
      <c r="H11" s="53" t="s">
        <v>656</v>
      </c>
      <c r="I11" s="52"/>
      <c r="J11" s="52" t="s">
        <v>45</v>
      </c>
      <c r="K11" s="52" t="s">
        <v>32</v>
      </c>
      <c r="L11" s="52" t="s">
        <v>33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9.5" customHeight="1" outlineLevel="2">
      <c r="A12" s="54" t="s">
        <v>657</v>
      </c>
      <c r="B12" s="54" t="s">
        <v>27</v>
      </c>
      <c r="C12" s="55" t="s">
        <v>75</v>
      </c>
      <c r="D12" s="27" t="s">
        <v>235</v>
      </c>
      <c r="E12" s="51" t="s">
        <v>69</v>
      </c>
      <c r="F12" s="56" t="s">
        <v>70</v>
      </c>
      <c r="G12" s="56" t="s">
        <v>330</v>
      </c>
      <c r="H12" s="59" t="s">
        <v>224</v>
      </c>
      <c r="I12" s="56"/>
      <c r="J12" s="56" t="s">
        <v>45</v>
      </c>
      <c r="K12" s="56" t="s">
        <v>654</v>
      </c>
      <c r="L12" s="56" t="s">
        <v>655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.5" customHeight="1" outlineLevel="2">
      <c r="A13" s="57" t="s">
        <v>658</v>
      </c>
      <c r="B13" s="57" t="s">
        <v>19</v>
      </c>
      <c r="C13" s="55" t="s">
        <v>75</v>
      </c>
      <c r="D13" s="27" t="s">
        <v>235</v>
      </c>
      <c r="E13" s="51" t="s">
        <v>69</v>
      </c>
      <c r="F13" s="58" t="s">
        <v>70</v>
      </c>
      <c r="G13" s="58" t="s">
        <v>330</v>
      </c>
      <c r="H13" s="60" t="s">
        <v>224</v>
      </c>
      <c r="I13" s="58"/>
      <c r="J13" s="58" t="s">
        <v>45</v>
      </c>
      <c r="K13" s="58" t="s">
        <v>654</v>
      </c>
      <c r="L13" s="58" t="s">
        <v>655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9.5" customHeight="1" outlineLevel="2">
      <c r="A14" s="54" t="s">
        <v>659</v>
      </c>
      <c r="B14" s="54" t="s">
        <v>543</v>
      </c>
      <c r="C14" s="55" t="s">
        <v>75</v>
      </c>
      <c r="D14" s="27" t="s">
        <v>235</v>
      </c>
      <c r="E14" s="51" t="s">
        <v>69</v>
      </c>
      <c r="F14" s="56" t="s">
        <v>70</v>
      </c>
      <c r="G14" s="56" t="s">
        <v>330</v>
      </c>
      <c r="H14" s="59" t="s">
        <v>224</v>
      </c>
      <c r="I14" s="56"/>
      <c r="J14" s="56" t="s">
        <v>45</v>
      </c>
      <c r="K14" s="56" t="s">
        <v>654</v>
      </c>
      <c r="L14" s="56" t="s">
        <v>655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0" customHeight="1">
      <c r="A15" s="4"/>
      <c r="B15" s="4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0" customHeight="1">
      <c r="A16" s="4"/>
      <c r="B16" s="4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4"/>
      <c r="B17" s="4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0" customHeight="1">
      <c r="A18" s="4"/>
      <c r="B18" s="4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0" customHeight="1">
      <c r="A19" s="4"/>
      <c r="B19" s="4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0" customHeight="1">
      <c r="A20" s="4"/>
      <c r="B20" s="4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C221" s="65"/>
      <c r="D221" s="65"/>
      <c r="E221" s="65"/>
      <c r="F221" s="65"/>
      <c r="H221" s="65"/>
      <c r="J221" s="65"/>
      <c r="K221" s="65"/>
      <c r="L221" s="65"/>
    </row>
    <row r="222" ht="15.75" customHeight="1">
      <c r="C222" s="65"/>
      <c r="D222" s="65"/>
      <c r="E222" s="65"/>
      <c r="F222" s="65"/>
      <c r="H222" s="65"/>
      <c r="J222" s="65"/>
      <c r="K222" s="65"/>
      <c r="L222" s="65"/>
    </row>
    <row r="223" ht="15.75" customHeight="1">
      <c r="C223" s="65"/>
      <c r="D223" s="65"/>
      <c r="E223" s="65"/>
      <c r="F223" s="65"/>
      <c r="H223" s="65"/>
      <c r="J223" s="65"/>
      <c r="K223" s="65"/>
      <c r="L223" s="65"/>
    </row>
    <row r="224" ht="15.75" customHeight="1">
      <c r="C224" s="65"/>
      <c r="D224" s="65"/>
      <c r="E224" s="65"/>
      <c r="F224" s="65"/>
      <c r="H224" s="65"/>
      <c r="J224" s="65"/>
      <c r="K224" s="65"/>
      <c r="L224" s="65"/>
    </row>
    <row r="225" ht="15.75" customHeight="1">
      <c r="C225" s="65"/>
      <c r="D225" s="65"/>
      <c r="E225" s="65"/>
      <c r="F225" s="65"/>
      <c r="H225" s="65"/>
      <c r="J225" s="65"/>
      <c r="K225" s="65"/>
      <c r="L225" s="65"/>
    </row>
    <row r="226" ht="15.75" customHeight="1">
      <c r="C226" s="65"/>
      <c r="D226" s="65"/>
      <c r="E226" s="65"/>
      <c r="F226" s="65"/>
      <c r="H226" s="65"/>
      <c r="J226" s="65"/>
      <c r="K226" s="65"/>
      <c r="L226" s="65"/>
    </row>
    <row r="227" ht="15.75" customHeight="1">
      <c r="C227" s="65"/>
      <c r="D227" s="65"/>
      <c r="E227" s="65"/>
      <c r="F227" s="65"/>
      <c r="H227" s="65"/>
      <c r="J227" s="65"/>
      <c r="K227" s="65"/>
      <c r="L227" s="65"/>
    </row>
    <row r="228" ht="15.75" customHeight="1">
      <c r="C228" s="65"/>
      <c r="D228" s="65"/>
      <c r="E228" s="65"/>
      <c r="F228" s="65"/>
      <c r="H228" s="65"/>
      <c r="J228" s="65"/>
      <c r="K228" s="65"/>
      <c r="L228" s="65"/>
    </row>
    <row r="229" ht="15.75" customHeight="1">
      <c r="C229" s="65"/>
      <c r="D229" s="65"/>
      <c r="E229" s="65"/>
      <c r="F229" s="65"/>
      <c r="H229" s="65"/>
      <c r="J229" s="65"/>
      <c r="K229" s="65"/>
      <c r="L229" s="65"/>
    </row>
    <row r="230" ht="15.75" customHeight="1">
      <c r="C230" s="65"/>
      <c r="D230" s="65"/>
      <c r="E230" s="65"/>
      <c r="F230" s="65"/>
      <c r="H230" s="65"/>
      <c r="J230" s="65"/>
      <c r="K230" s="65"/>
      <c r="L230" s="65"/>
    </row>
    <row r="231" ht="15.75" customHeight="1">
      <c r="C231" s="65"/>
      <c r="D231" s="65"/>
      <c r="E231" s="65"/>
      <c r="F231" s="65"/>
      <c r="H231" s="65"/>
      <c r="J231" s="65"/>
      <c r="K231" s="65"/>
      <c r="L231" s="65"/>
    </row>
    <row r="232" ht="15.75" customHeight="1">
      <c r="C232" s="65"/>
      <c r="D232" s="65"/>
      <c r="E232" s="65"/>
      <c r="F232" s="65"/>
      <c r="H232" s="65"/>
      <c r="J232" s="65"/>
      <c r="K232" s="65"/>
      <c r="L232" s="65"/>
    </row>
    <row r="233" ht="15.75" customHeight="1">
      <c r="C233" s="65"/>
      <c r="D233" s="65"/>
      <c r="E233" s="65"/>
      <c r="F233" s="65"/>
      <c r="H233" s="65"/>
      <c r="J233" s="65"/>
      <c r="K233" s="65"/>
      <c r="L233" s="65"/>
    </row>
    <row r="234" ht="15.75" customHeight="1">
      <c r="C234" s="65"/>
      <c r="D234" s="65"/>
      <c r="E234" s="65"/>
      <c r="F234" s="65"/>
      <c r="H234" s="65"/>
      <c r="J234" s="65"/>
      <c r="K234" s="65"/>
      <c r="L234" s="65"/>
    </row>
    <row r="235" ht="15.75" customHeight="1">
      <c r="C235" s="65"/>
      <c r="D235" s="65"/>
      <c r="E235" s="65"/>
      <c r="F235" s="65"/>
      <c r="H235" s="65"/>
      <c r="J235" s="65"/>
      <c r="K235" s="65"/>
      <c r="L235" s="65"/>
    </row>
    <row r="236" ht="15.75" customHeight="1">
      <c r="C236" s="65"/>
      <c r="D236" s="65"/>
      <c r="E236" s="65"/>
      <c r="F236" s="65"/>
      <c r="H236" s="65"/>
      <c r="J236" s="65"/>
      <c r="K236" s="65"/>
      <c r="L236" s="65"/>
    </row>
    <row r="237" ht="15.75" customHeight="1">
      <c r="C237" s="65"/>
      <c r="D237" s="65"/>
      <c r="E237" s="65"/>
      <c r="F237" s="65"/>
      <c r="H237" s="65"/>
      <c r="J237" s="65"/>
      <c r="K237" s="65"/>
      <c r="L237" s="65"/>
    </row>
    <row r="238" ht="15.75" customHeight="1">
      <c r="C238" s="65"/>
      <c r="D238" s="65"/>
      <c r="E238" s="65"/>
      <c r="F238" s="65"/>
      <c r="H238" s="65"/>
      <c r="J238" s="65"/>
      <c r="K238" s="65"/>
      <c r="L238" s="65"/>
    </row>
    <row r="239" ht="15.75" customHeight="1">
      <c r="C239" s="65"/>
      <c r="D239" s="65"/>
      <c r="E239" s="65"/>
      <c r="F239" s="65"/>
      <c r="H239" s="65"/>
      <c r="J239" s="65"/>
      <c r="K239" s="65"/>
      <c r="L239" s="65"/>
    </row>
    <row r="240" ht="15.75" customHeight="1">
      <c r="C240" s="65"/>
      <c r="D240" s="65"/>
      <c r="E240" s="65"/>
      <c r="F240" s="65"/>
      <c r="H240" s="65"/>
      <c r="J240" s="65"/>
      <c r="K240" s="65"/>
      <c r="L240" s="65"/>
    </row>
    <row r="241" ht="15.75" customHeight="1">
      <c r="C241" s="65"/>
      <c r="D241" s="65"/>
      <c r="E241" s="65"/>
      <c r="F241" s="65"/>
      <c r="H241" s="65"/>
      <c r="J241" s="65"/>
      <c r="K241" s="65"/>
      <c r="L241" s="65"/>
    </row>
    <row r="242" ht="15.75" customHeight="1">
      <c r="C242" s="65"/>
      <c r="D242" s="65"/>
      <c r="E242" s="65"/>
      <c r="F242" s="65"/>
      <c r="H242" s="65"/>
      <c r="J242" s="65"/>
      <c r="K242" s="65"/>
      <c r="L242" s="65"/>
    </row>
    <row r="243" ht="15.75" customHeight="1">
      <c r="C243" s="65"/>
      <c r="D243" s="65"/>
      <c r="E243" s="65"/>
      <c r="F243" s="65"/>
      <c r="H243" s="65"/>
      <c r="J243" s="65"/>
      <c r="K243" s="65"/>
      <c r="L243" s="65"/>
    </row>
    <row r="244" ht="15.75" customHeight="1">
      <c r="C244" s="65"/>
      <c r="D244" s="65"/>
      <c r="E244" s="65"/>
      <c r="F244" s="65"/>
      <c r="H244" s="65"/>
      <c r="J244" s="65"/>
      <c r="K244" s="65"/>
      <c r="L244" s="65"/>
    </row>
    <row r="245" ht="15.75" customHeight="1">
      <c r="C245" s="65"/>
      <c r="D245" s="65"/>
      <c r="E245" s="65"/>
      <c r="F245" s="65"/>
      <c r="H245" s="65"/>
      <c r="J245" s="65"/>
      <c r="K245" s="65"/>
      <c r="L245" s="65"/>
    </row>
    <row r="246" ht="15.75" customHeight="1">
      <c r="C246" s="65"/>
      <c r="D246" s="65"/>
      <c r="E246" s="65"/>
      <c r="F246" s="65"/>
      <c r="H246" s="65"/>
      <c r="J246" s="65"/>
      <c r="K246" s="65"/>
      <c r="L246" s="65"/>
    </row>
    <row r="247" ht="15.75" customHeight="1">
      <c r="C247" s="65"/>
      <c r="D247" s="65"/>
      <c r="E247" s="65"/>
      <c r="F247" s="65"/>
      <c r="H247" s="65"/>
      <c r="J247" s="65"/>
      <c r="K247" s="65"/>
      <c r="L247" s="65"/>
    </row>
    <row r="248" ht="15.75" customHeight="1">
      <c r="C248" s="65"/>
      <c r="D248" s="65"/>
      <c r="E248" s="65"/>
      <c r="F248" s="65"/>
      <c r="H248" s="65"/>
      <c r="J248" s="65"/>
      <c r="K248" s="65"/>
      <c r="L248" s="65"/>
    </row>
    <row r="249" ht="15.75" customHeight="1">
      <c r="C249" s="65"/>
      <c r="D249" s="65"/>
      <c r="E249" s="65"/>
      <c r="F249" s="65"/>
      <c r="H249" s="65"/>
      <c r="J249" s="65"/>
      <c r="K249" s="65"/>
      <c r="L249" s="65"/>
    </row>
    <row r="250" ht="15.75" customHeight="1">
      <c r="C250" s="65"/>
      <c r="D250" s="65"/>
      <c r="E250" s="65"/>
      <c r="F250" s="65"/>
      <c r="H250" s="65"/>
      <c r="J250" s="65"/>
      <c r="K250" s="65"/>
      <c r="L250" s="65"/>
    </row>
    <row r="251" ht="15.75" customHeight="1">
      <c r="C251" s="65"/>
      <c r="D251" s="65"/>
      <c r="E251" s="65"/>
      <c r="F251" s="65"/>
      <c r="H251" s="65"/>
      <c r="J251" s="65"/>
      <c r="K251" s="65"/>
      <c r="L251" s="65"/>
    </row>
    <row r="252" ht="15.75" customHeight="1">
      <c r="C252" s="65"/>
      <c r="D252" s="65"/>
      <c r="E252" s="65"/>
      <c r="F252" s="65"/>
      <c r="H252" s="65"/>
      <c r="J252" s="65"/>
      <c r="K252" s="65"/>
      <c r="L252" s="65"/>
    </row>
    <row r="253" ht="15.75" customHeight="1">
      <c r="C253" s="65"/>
      <c r="D253" s="65"/>
      <c r="E253" s="65"/>
      <c r="F253" s="65"/>
      <c r="H253" s="65"/>
      <c r="J253" s="65"/>
      <c r="K253" s="65"/>
      <c r="L253" s="65"/>
    </row>
    <row r="254" ht="15.75" customHeight="1">
      <c r="C254" s="65"/>
      <c r="D254" s="65"/>
      <c r="E254" s="65"/>
      <c r="F254" s="65"/>
      <c r="H254" s="65"/>
      <c r="J254" s="65"/>
      <c r="K254" s="65"/>
      <c r="L254" s="65"/>
    </row>
    <row r="255" ht="15.75" customHeight="1">
      <c r="C255" s="65"/>
      <c r="D255" s="65"/>
      <c r="E255" s="65"/>
      <c r="F255" s="65"/>
      <c r="H255" s="65"/>
      <c r="J255" s="65"/>
      <c r="K255" s="65"/>
      <c r="L255" s="65"/>
    </row>
    <row r="256" ht="15.75" customHeight="1">
      <c r="C256" s="65"/>
      <c r="D256" s="65"/>
      <c r="E256" s="65"/>
      <c r="F256" s="65"/>
      <c r="H256" s="65"/>
      <c r="J256" s="65"/>
      <c r="K256" s="65"/>
      <c r="L256" s="65"/>
    </row>
    <row r="257" ht="15.75" customHeight="1">
      <c r="C257" s="65"/>
      <c r="D257" s="65"/>
      <c r="E257" s="65"/>
      <c r="F257" s="65"/>
      <c r="H257" s="65"/>
      <c r="J257" s="65"/>
      <c r="K257" s="65"/>
      <c r="L257" s="65"/>
    </row>
    <row r="258" ht="15.75" customHeight="1">
      <c r="C258" s="65"/>
      <c r="D258" s="65"/>
      <c r="E258" s="65"/>
      <c r="F258" s="65"/>
      <c r="H258" s="65"/>
      <c r="J258" s="65"/>
      <c r="K258" s="65"/>
      <c r="L258" s="65"/>
    </row>
    <row r="259" ht="15.75" customHeight="1">
      <c r="C259" s="65"/>
      <c r="D259" s="65"/>
      <c r="E259" s="65"/>
      <c r="F259" s="65"/>
      <c r="H259" s="65"/>
      <c r="J259" s="65"/>
      <c r="K259" s="65"/>
      <c r="L259" s="65"/>
    </row>
    <row r="260" ht="15.75" customHeight="1">
      <c r="C260" s="65"/>
      <c r="D260" s="65"/>
      <c r="E260" s="65"/>
      <c r="F260" s="65"/>
      <c r="H260" s="65"/>
      <c r="J260" s="65"/>
      <c r="K260" s="65"/>
      <c r="L260" s="65"/>
    </row>
    <row r="261" ht="15.75" customHeight="1">
      <c r="C261" s="65"/>
      <c r="D261" s="65"/>
      <c r="E261" s="65"/>
      <c r="F261" s="65"/>
      <c r="H261" s="65"/>
      <c r="J261" s="65"/>
      <c r="K261" s="65"/>
      <c r="L261" s="65"/>
    </row>
    <row r="262" ht="15.75" customHeight="1">
      <c r="C262" s="65"/>
      <c r="D262" s="65"/>
      <c r="E262" s="65"/>
      <c r="F262" s="65"/>
      <c r="H262" s="65"/>
      <c r="J262" s="65"/>
      <c r="K262" s="65"/>
      <c r="L262" s="65"/>
    </row>
    <row r="263" ht="15.75" customHeight="1">
      <c r="C263" s="65"/>
      <c r="D263" s="65"/>
      <c r="E263" s="65"/>
      <c r="F263" s="65"/>
      <c r="H263" s="65"/>
      <c r="J263" s="65"/>
      <c r="K263" s="65"/>
      <c r="L263" s="65"/>
    </row>
    <row r="264" ht="15.75" customHeight="1">
      <c r="C264" s="65"/>
      <c r="D264" s="65"/>
      <c r="E264" s="65"/>
      <c r="F264" s="65"/>
      <c r="H264" s="65"/>
      <c r="J264" s="65"/>
      <c r="K264" s="65"/>
      <c r="L264" s="65"/>
    </row>
    <row r="265" ht="15.75" customHeight="1">
      <c r="C265" s="65"/>
      <c r="D265" s="65"/>
      <c r="E265" s="65"/>
      <c r="F265" s="65"/>
      <c r="H265" s="65"/>
      <c r="J265" s="65"/>
      <c r="K265" s="65"/>
      <c r="L265" s="65"/>
    </row>
    <row r="266" ht="15.75" customHeight="1">
      <c r="C266" s="65"/>
      <c r="D266" s="65"/>
      <c r="E266" s="65"/>
      <c r="F266" s="65"/>
      <c r="H266" s="65"/>
      <c r="J266" s="65"/>
      <c r="K266" s="65"/>
      <c r="L266" s="65"/>
    </row>
    <row r="267" ht="15.75" customHeight="1">
      <c r="C267" s="65"/>
      <c r="D267" s="65"/>
      <c r="E267" s="65"/>
      <c r="F267" s="65"/>
      <c r="H267" s="65"/>
      <c r="J267" s="65"/>
      <c r="K267" s="65"/>
      <c r="L267" s="65"/>
    </row>
    <row r="268" ht="15.75" customHeight="1">
      <c r="C268" s="65"/>
      <c r="D268" s="65"/>
      <c r="E268" s="65"/>
      <c r="F268" s="65"/>
      <c r="H268" s="65"/>
      <c r="J268" s="65"/>
      <c r="K268" s="65"/>
      <c r="L268" s="65"/>
    </row>
    <row r="269" ht="15.75" customHeight="1">
      <c r="C269" s="65"/>
      <c r="D269" s="65"/>
      <c r="E269" s="65"/>
      <c r="F269" s="65"/>
      <c r="H269" s="65"/>
      <c r="J269" s="65"/>
      <c r="K269" s="65"/>
      <c r="L269" s="65"/>
    </row>
    <row r="270" ht="15.75" customHeight="1">
      <c r="C270" s="65"/>
      <c r="D270" s="65"/>
      <c r="E270" s="65"/>
      <c r="F270" s="65"/>
      <c r="H270" s="65"/>
      <c r="J270" s="65"/>
      <c r="K270" s="65"/>
      <c r="L270" s="65"/>
    </row>
    <row r="271" ht="15.75" customHeight="1">
      <c r="C271" s="65"/>
      <c r="D271" s="65"/>
      <c r="E271" s="65"/>
      <c r="F271" s="65"/>
      <c r="H271" s="65"/>
      <c r="J271" s="65"/>
      <c r="K271" s="65"/>
      <c r="L271" s="65"/>
    </row>
    <row r="272" ht="15.75" customHeight="1">
      <c r="C272" s="65"/>
      <c r="D272" s="65"/>
      <c r="E272" s="65"/>
      <c r="F272" s="65"/>
      <c r="H272" s="65"/>
      <c r="J272" s="65"/>
      <c r="K272" s="65"/>
      <c r="L272" s="65"/>
    </row>
    <row r="273" ht="15.75" customHeight="1">
      <c r="C273" s="65"/>
      <c r="D273" s="65"/>
      <c r="E273" s="65"/>
      <c r="F273" s="65"/>
      <c r="H273" s="65"/>
      <c r="J273" s="65"/>
      <c r="K273" s="65"/>
      <c r="L273" s="65"/>
    </row>
    <row r="274" ht="15.75" customHeight="1">
      <c r="C274" s="65"/>
      <c r="D274" s="65"/>
      <c r="E274" s="65"/>
      <c r="F274" s="65"/>
      <c r="H274" s="65"/>
      <c r="J274" s="65"/>
      <c r="K274" s="65"/>
      <c r="L274" s="65"/>
    </row>
    <row r="275" ht="15.75" customHeight="1">
      <c r="C275" s="65"/>
      <c r="D275" s="65"/>
      <c r="E275" s="65"/>
      <c r="F275" s="65"/>
      <c r="H275" s="65"/>
      <c r="J275" s="65"/>
      <c r="K275" s="65"/>
      <c r="L275" s="65"/>
    </row>
    <row r="276" ht="15.75" customHeight="1">
      <c r="C276" s="65"/>
      <c r="D276" s="65"/>
      <c r="E276" s="65"/>
      <c r="F276" s="65"/>
      <c r="H276" s="65"/>
      <c r="J276" s="65"/>
      <c r="K276" s="65"/>
      <c r="L276" s="65"/>
    </row>
    <row r="277" ht="15.75" customHeight="1">
      <c r="C277" s="65"/>
      <c r="D277" s="65"/>
      <c r="E277" s="65"/>
      <c r="F277" s="65"/>
      <c r="H277" s="65"/>
      <c r="J277" s="65"/>
      <c r="K277" s="65"/>
      <c r="L277" s="65"/>
    </row>
    <row r="278" ht="15.75" customHeight="1">
      <c r="C278" s="65"/>
      <c r="D278" s="65"/>
      <c r="E278" s="65"/>
      <c r="F278" s="65"/>
      <c r="H278" s="65"/>
      <c r="J278" s="65"/>
      <c r="K278" s="65"/>
      <c r="L278" s="65"/>
    </row>
    <row r="279" ht="15.75" customHeight="1">
      <c r="C279" s="65"/>
      <c r="D279" s="65"/>
      <c r="E279" s="65"/>
      <c r="F279" s="65"/>
      <c r="H279" s="65"/>
      <c r="J279" s="65"/>
      <c r="K279" s="65"/>
      <c r="L279" s="65"/>
    </row>
    <row r="280" ht="15.75" customHeight="1">
      <c r="C280" s="65"/>
      <c r="D280" s="65"/>
      <c r="E280" s="65"/>
      <c r="F280" s="65"/>
      <c r="H280" s="65"/>
      <c r="J280" s="65"/>
      <c r="K280" s="65"/>
      <c r="L280" s="65"/>
    </row>
    <row r="281" ht="15.75" customHeight="1">
      <c r="C281" s="65"/>
      <c r="D281" s="65"/>
      <c r="E281" s="65"/>
      <c r="F281" s="65"/>
      <c r="H281" s="65"/>
      <c r="J281" s="65"/>
      <c r="K281" s="65"/>
      <c r="L281" s="65"/>
    </row>
    <row r="282" ht="15.75" customHeight="1">
      <c r="C282" s="65"/>
      <c r="D282" s="65"/>
      <c r="E282" s="65"/>
      <c r="F282" s="65"/>
      <c r="H282" s="65"/>
      <c r="J282" s="65"/>
      <c r="K282" s="65"/>
      <c r="L282" s="65"/>
    </row>
    <row r="283" ht="15.75" customHeight="1">
      <c r="C283" s="65"/>
      <c r="D283" s="65"/>
      <c r="E283" s="65"/>
      <c r="F283" s="65"/>
      <c r="H283" s="65"/>
      <c r="J283" s="65"/>
      <c r="K283" s="65"/>
      <c r="L283" s="65"/>
    </row>
    <row r="284" ht="15.75" customHeight="1">
      <c r="C284" s="65"/>
      <c r="D284" s="65"/>
      <c r="E284" s="65"/>
      <c r="F284" s="65"/>
      <c r="H284" s="65"/>
      <c r="J284" s="65"/>
      <c r="K284" s="65"/>
      <c r="L284" s="65"/>
    </row>
    <row r="285" ht="15.75" customHeight="1">
      <c r="C285" s="65"/>
      <c r="D285" s="65"/>
      <c r="E285" s="65"/>
      <c r="F285" s="65"/>
      <c r="H285" s="65"/>
      <c r="J285" s="65"/>
      <c r="K285" s="65"/>
      <c r="L285" s="65"/>
    </row>
    <row r="286" ht="15.75" customHeight="1">
      <c r="C286" s="65"/>
      <c r="D286" s="65"/>
      <c r="E286" s="65"/>
      <c r="F286" s="65"/>
      <c r="H286" s="65"/>
      <c r="J286" s="65"/>
      <c r="K286" s="65"/>
      <c r="L286" s="65"/>
    </row>
    <row r="287" ht="15.75" customHeight="1">
      <c r="C287" s="65"/>
      <c r="D287" s="65"/>
      <c r="E287" s="65"/>
      <c r="F287" s="65"/>
      <c r="H287" s="65"/>
      <c r="J287" s="65"/>
      <c r="K287" s="65"/>
      <c r="L287" s="65"/>
    </row>
    <row r="288" ht="15.75" customHeight="1">
      <c r="C288" s="65"/>
      <c r="D288" s="65"/>
      <c r="E288" s="65"/>
      <c r="F288" s="65"/>
      <c r="H288" s="65"/>
      <c r="J288" s="65"/>
      <c r="K288" s="65"/>
      <c r="L288" s="65"/>
    </row>
    <row r="289" ht="15.75" customHeight="1">
      <c r="C289" s="65"/>
      <c r="D289" s="65"/>
      <c r="E289" s="65"/>
      <c r="F289" s="65"/>
      <c r="H289" s="65"/>
      <c r="J289" s="65"/>
      <c r="K289" s="65"/>
      <c r="L289" s="65"/>
    </row>
    <row r="290" ht="15.75" customHeight="1">
      <c r="C290" s="65"/>
      <c r="D290" s="65"/>
      <c r="E290" s="65"/>
      <c r="F290" s="65"/>
      <c r="H290" s="65"/>
      <c r="J290" s="65"/>
      <c r="K290" s="65"/>
      <c r="L290" s="65"/>
    </row>
    <row r="291" ht="15.75" customHeight="1">
      <c r="C291" s="65"/>
      <c r="D291" s="65"/>
      <c r="E291" s="65"/>
      <c r="F291" s="65"/>
      <c r="H291" s="65"/>
      <c r="J291" s="65"/>
      <c r="K291" s="65"/>
      <c r="L291" s="65"/>
    </row>
    <row r="292" ht="15.75" customHeight="1">
      <c r="C292" s="65"/>
      <c r="D292" s="65"/>
      <c r="E292" s="65"/>
      <c r="F292" s="65"/>
      <c r="H292" s="65"/>
      <c r="J292" s="65"/>
      <c r="K292" s="65"/>
      <c r="L292" s="65"/>
    </row>
    <row r="293" ht="15.75" customHeight="1">
      <c r="C293" s="65"/>
      <c r="D293" s="65"/>
      <c r="E293" s="65"/>
      <c r="F293" s="65"/>
      <c r="H293" s="65"/>
      <c r="J293" s="65"/>
      <c r="K293" s="65"/>
      <c r="L293" s="65"/>
    </row>
    <row r="294" ht="15.75" customHeight="1">
      <c r="C294" s="65"/>
      <c r="D294" s="65"/>
      <c r="E294" s="65"/>
      <c r="F294" s="65"/>
      <c r="H294" s="65"/>
      <c r="J294" s="65"/>
      <c r="K294" s="65"/>
      <c r="L294" s="65"/>
    </row>
    <row r="295" ht="15.75" customHeight="1">
      <c r="C295" s="65"/>
      <c r="D295" s="65"/>
      <c r="E295" s="65"/>
      <c r="F295" s="65"/>
      <c r="H295" s="65"/>
      <c r="J295" s="65"/>
      <c r="K295" s="65"/>
      <c r="L295" s="65"/>
    </row>
    <row r="296" ht="15.75" customHeight="1">
      <c r="C296" s="65"/>
      <c r="D296" s="65"/>
      <c r="E296" s="65"/>
      <c r="F296" s="65"/>
      <c r="H296" s="65"/>
      <c r="J296" s="65"/>
      <c r="K296" s="65"/>
      <c r="L296" s="65"/>
    </row>
    <row r="297" ht="15.75" customHeight="1">
      <c r="C297" s="65"/>
      <c r="D297" s="65"/>
      <c r="E297" s="65"/>
      <c r="F297" s="65"/>
      <c r="H297" s="65"/>
      <c r="J297" s="65"/>
      <c r="K297" s="65"/>
      <c r="L297" s="65"/>
    </row>
    <row r="298" ht="15.75" customHeight="1">
      <c r="C298" s="65"/>
      <c r="D298" s="65"/>
      <c r="E298" s="65"/>
      <c r="F298" s="65"/>
      <c r="H298" s="65"/>
      <c r="J298" s="65"/>
      <c r="K298" s="65"/>
      <c r="L298" s="65"/>
    </row>
    <row r="299" ht="15.75" customHeight="1">
      <c r="C299" s="65"/>
      <c r="D299" s="65"/>
      <c r="E299" s="65"/>
      <c r="F299" s="65"/>
      <c r="H299" s="65"/>
      <c r="J299" s="65"/>
      <c r="K299" s="65"/>
      <c r="L299" s="65"/>
    </row>
    <row r="300" ht="15.75" customHeight="1">
      <c r="C300" s="65"/>
      <c r="D300" s="65"/>
      <c r="E300" s="65"/>
      <c r="F300" s="65"/>
      <c r="H300" s="65"/>
      <c r="J300" s="65"/>
      <c r="K300" s="65"/>
      <c r="L300" s="65"/>
    </row>
    <row r="301" ht="15.75" customHeight="1">
      <c r="C301" s="65"/>
      <c r="D301" s="65"/>
      <c r="E301" s="65"/>
      <c r="F301" s="65"/>
      <c r="H301" s="65"/>
      <c r="J301" s="65"/>
      <c r="K301" s="65"/>
      <c r="L301" s="65"/>
    </row>
    <row r="302" ht="15.75" customHeight="1">
      <c r="C302" s="65"/>
      <c r="D302" s="65"/>
      <c r="E302" s="65"/>
      <c r="F302" s="65"/>
      <c r="H302" s="65"/>
      <c r="J302" s="65"/>
      <c r="K302" s="65"/>
      <c r="L302" s="65"/>
    </row>
    <row r="303" ht="15.75" customHeight="1">
      <c r="C303" s="65"/>
      <c r="D303" s="65"/>
      <c r="E303" s="65"/>
      <c r="F303" s="65"/>
      <c r="H303" s="65"/>
      <c r="J303" s="65"/>
      <c r="K303" s="65"/>
      <c r="L303" s="65"/>
    </row>
    <row r="304" ht="15.75" customHeight="1">
      <c r="C304" s="65"/>
      <c r="D304" s="65"/>
      <c r="E304" s="65"/>
      <c r="F304" s="65"/>
      <c r="H304" s="65"/>
      <c r="J304" s="65"/>
      <c r="K304" s="65"/>
      <c r="L304" s="65"/>
    </row>
    <row r="305" ht="15.75" customHeight="1">
      <c r="C305" s="65"/>
      <c r="D305" s="65"/>
      <c r="E305" s="65"/>
      <c r="F305" s="65"/>
      <c r="H305" s="65"/>
      <c r="J305" s="65"/>
      <c r="K305" s="65"/>
      <c r="L305" s="65"/>
    </row>
    <row r="306" ht="15.75" customHeight="1">
      <c r="C306" s="65"/>
      <c r="D306" s="65"/>
      <c r="E306" s="65"/>
      <c r="F306" s="65"/>
      <c r="H306" s="65"/>
      <c r="J306" s="65"/>
      <c r="K306" s="65"/>
      <c r="L306" s="65"/>
    </row>
    <row r="307" ht="15.75" customHeight="1">
      <c r="C307" s="65"/>
      <c r="D307" s="65"/>
      <c r="E307" s="65"/>
      <c r="F307" s="65"/>
      <c r="H307" s="65"/>
      <c r="J307" s="65"/>
      <c r="K307" s="65"/>
      <c r="L307" s="65"/>
    </row>
    <row r="308" ht="15.75" customHeight="1">
      <c r="C308" s="65"/>
      <c r="D308" s="65"/>
      <c r="E308" s="65"/>
      <c r="F308" s="65"/>
      <c r="H308" s="65"/>
      <c r="J308" s="65"/>
      <c r="K308" s="65"/>
      <c r="L308" s="65"/>
    </row>
    <row r="309" ht="15.75" customHeight="1">
      <c r="C309" s="65"/>
      <c r="D309" s="65"/>
      <c r="E309" s="65"/>
      <c r="F309" s="65"/>
      <c r="H309" s="65"/>
      <c r="J309" s="65"/>
      <c r="K309" s="65"/>
      <c r="L309" s="65"/>
    </row>
    <row r="310" ht="15.75" customHeight="1">
      <c r="C310" s="65"/>
      <c r="D310" s="65"/>
      <c r="E310" s="65"/>
      <c r="F310" s="65"/>
      <c r="H310" s="65"/>
      <c r="J310" s="65"/>
      <c r="K310" s="65"/>
      <c r="L310" s="65"/>
    </row>
    <row r="311" ht="15.75" customHeight="1">
      <c r="C311" s="65"/>
      <c r="D311" s="65"/>
      <c r="E311" s="65"/>
      <c r="F311" s="65"/>
      <c r="H311" s="65"/>
      <c r="J311" s="65"/>
      <c r="K311" s="65"/>
      <c r="L311" s="65"/>
    </row>
    <row r="312" ht="15.75" customHeight="1">
      <c r="C312" s="65"/>
      <c r="D312" s="65"/>
      <c r="E312" s="65"/>
      <c r="F312" s="65"/>
      <c r="H312" s="65"/>
      <c r="J312" s="65"/>
      <c r="K312" s="65"/>
      <c r="L312" s="65"/>
    </row>
    <row r="313" ht="15.75" customHeight="1">
      <c r="C313" s="65"/>
      <c r="D313" s="65"/>
      <c r="E313" s="65"/>
      <c r="F313" s="65"/>
      <c r="H313" s="65"/>
      <c r="J313" s="65"/>
      <c r="K313" s="65"/>
      <c r="L313" s="65"/>
    </row>
    <row r="314" ht="15.75" customHeight="1">
      <c r="C314" s="65"/>
      <c r="D314" s="65"/>
      <c r="E314" s="65"/>
      <c r="F314" s="65"/>
      <c r="H314" s="65"/>
      <c r="J314" s="65"/>
      <c r="K314" s="65"/>
      <c r="L314" s="65"/>
    </row>
    <row r="315" ht="15.75" customHeight="1">
      <c r="C315" s="65"/>
      <c r="D315" s="65"/>
      <c r="E315" s="65"/>
      <c r="F315" s="65"/>
      <c r="H315" s="65"/>
      <c r="J315" s="65"/>
      <c r="K315" s="65"/>
      <c r="L315" s="65"/>
    </row>
    <row r="316" ht="15.75" customHeight="1">
      <c r="C316" s="65"/>
      <c r="D316" s="65"/>
      <c r="E316" s="65"/>
      <c r="F316" s="65"/>
      <c r="H316" s="65"/>
      <c r="J316" s="65"/>
      <c r="K316" s="65"/>
      <c r="L316" s="65"/>
    </row>
    <row r="317" ht="15.75" customHeight="1">
      <c r="C317" s="65"/>
      <c r="D317" s="65"/>
      <c r="E317" s="65"/>
      <c r="F317" s="65"/>
      <c r="H317" s="65"/>
      <c r="J317" s="65"/>
      <c r="K317" s="65"/>
      <c r="L317" s="65"/>
    </row>
    <row r="318" ht="15.75" customHeight="1">
      <c r="C318" s="65"/>
      <c r="D318" s="65"/>
      <c r="E318" s="65"/>
      <c r="F318" s="65"/>
      <c r="H318" s="65"/>
      <c r="J318" s="65"/>
      <c r="K318" s="65"/>
      <c r="L318" s="65"/>
    </row>
    <row r="319" ht="15.75" customHeight="1">
      <c r="C319" s="65"/>
      <c r="D319" s="65"/>
      <c r="E319" s="65"/>
      <c r="F319" s="65"/>
      <c r="H319" s="65"/>
      <c r="J319" s="65"/>
      <c r="K319" s="65"/>
      <c r="L319" s="65"/>
    </row>
    <row r="320" ht="15.75" customHeight="1">
      <c r="C320" s="65"/>
      <c r="D320" s="65"/>
      <c r="E320" s="65"/>
      <c r="F320" s="65"/>
      <c r="H320" s="65"/>
      <c r="J320" s="65"/>
      <c r="K320" s="65"/>
      <c r="L320" s="65"/>
    </row>
    <row r="321" ht="15.75" customHeight="1">
      <c r="C321" s="65"/>
      <c r="D321" s="65"/>
      <c r="E321" s="65"/>
      <c r="F321" s="65"/>
      <c r="H321" s="65"/>
      <c r="J321" s="65"/>
      <c r="K321" s="65"/>
      <c r="L321" s="65"/>
    </row>
    <row r="322" ht="15.75" customHeight="1">
      <c r="C322" s="65"/>
      <c r="D322" s="65"/>
      <c r="E322" s="65"/>
      <c r="F322" s="65"/>
      <c r="H322" s="65"/>
      <c r="J322" s="65"/>
      <c r="K322" s="65"/>
      <c r="L322" s="65"/>
    </row>
    <row r="323" ht="15.75" customHeight="1">
      <c r="C323" s="65"/>
      <c r="D323" s="65"/>
      <c r="E323" s="65"/>
      <c r="F323" s="65"/>
      <c r="H323" s="65"/>
      <c r="J323" s="65"/>
      <c r="K323" s="65"/>
      <c r="L323" s="65"/>
    </row>
    <row r="324" ht="15.75" customHeight="1">
      <c r="C324" s="65"/>
      <c r="D324" s="65"/>
      <c r="E324" s="65"/>
      <c r="F324" s="65"/>
      <c r="H324" s="65"/>
      <c r="J324" s="65"/>
      <c r="K324" s="65"/>
      <c r="L324" s="65"/>
    </row>
    <row r="325" ht="15.75" customHeight="1">
      <c r="C325" s="65"/>
      <c r="D325" s="65"/>
      <c r="E325" s="65"/>
      <c r="F325" s="65"/>
      <c r="H325" s="65"/>
      <c r="J325" s="65"/>
      <c r="K325" s="65"/>
      <c r="L325" s="65"/>
    </row>
    <row r="326" ht="15.75" customHeight="1">
      <c r="C326" s="65"/>
      <c r="D326" s="65"/>
      <c r="E326" s="65"/>
      <c r="F326" s="65"/>
      <c r="H326" s="65"/>
      <c r="J326" s="65"/>
      <c r="K326" s="65"/>
      <c r="L326" s="65"/>
    </row>
    <row r="327" ht="15.75" customHeight="1">
      <c r="C327" s="65"/>
      <c r="D327" s="65"/>
      <c r="E327" s="65"/>
      <c r="F327" s="65"/>
      <c r="H327" s="65"/>
      <c r="J327" s="65"/>
      <c r="K327" s="65"/>
      <c r="L327" s="65"/>
    </row>
    <row r="328" ht="15.75" customHeight="1">
      <c r="C328" s="65"/>
      <c r="D328" s="65"/>
      <c r="E328" s="65"/>
      <c r="F328" s="65"/>
      <c r="H328" s="65"/>
      <c r="J328" s="65"/>
      <c r="K328" s="65"/>
      <c r="L328" s="65"/>
    </row>
    <row r="329" ht="15.75" customHeight="1">
      <c r="C329" s="65"/>
      <c r="D329" s="65"/>
      <c r="E329" s="65"/>
      <c r="F329" s="65"/>
      <c r="H329" s="65"/>
      <c r="J329" s="65"/>
      <c r="K329" s="65"/>
      <c r="L329" s="65"/>
    </row>
    <row r="330" ht="15.75" customHeight="1">
      <c r="C330" s="65"/>
      <c r="D330" s="65"/>
      <c r="E330" s="65"/>
      <c r="F330" s="65"/>
      <c r="H330" s="65"/>
      <c r="J330" s="65"/>
      <c r="K330" s="65"/>
      <c r="L330" s="65"/>
    </row>
    <row r="331" ht="15.75" customHeight="1">
      <c r="C331" s="65"/>
      <c r="D331" s="65"/>
      <c r="E331" s="65"/>
      <c r="F331" s="65"/>
      <c r="H331" s="65"/>
      <c r="J331" s="65"/>
      <c r="K331" s="65"/>
      <c r="L331" s="65"/>
    </row>
    <row r="332" ht="15.75" customHeight="1">
      <c r="C332" s="65"/>
      <c r="D332" s="65"/>
      <c r="E332" s="65"/>
      <c r="F332" s="65"/>
      <c r="H332" s="65"/>
      <c r="J332" s="65"/>
      <c r="K332" s="65"/>
      <c r="L332" s="65"/>
    </row>
    <row r="333" ht="15.75" customHeight="1">
      <c r="C333" s="65"/>
      <c r="D333" s="65"/>
      <c r="E333" s="65"/>
      <c r="F333" s="65"/>
      <c r="H333" s="65"/>
      <c r="J333" s="65"/>
      <c r="K333" s="65"/>
      <c r="L333" s="65"/>
    </row>
    <row r="334" ht="15.75" customHeight="1">
      <c r="C334" s="65"/>
      <c r="D334" s="65"/>
      <c r="E334" s="65"/>
      <c r="F334" s="65"/>
      <c r="H334" s="65"/>
      <c r="J334" s="65"/>
      <c r="K334" s="65"/>
      <c r="L334" s="65"/>
    </row>
    <row r="335" ht="15.75" customHeight="1">
      <c r="C335" s="65"/>
      <c r="D335" s="65"/>
      <c r="E335" s="65"/>
      <c r="F335" s="65"/>
      <c r="H335" s="65"/>
      <c r="J335" s="65"/>
      <c r="K335" s="65"/>
      <c r="L335" s="65"/>
    </row>
    <row r="336" ht="15.75" customHeight="1">
      <c r="C336" s="65"/>
      <c r="D336" s="65"/>
      <c r="E336" s="65"/>
      <c r="F336" s="65"/>
      <c r="H336" s="65"/>
      <c r="J336" s="65"/>
      <c r="K336" s="65"/>
      <c r="L336" s="65"/>
    </row>
    <row r="337" ht="15.75" customHeight="1">
      <c r="C337" s="65"/>
      <c r="D337" s="65"/>
      <c r="E337" s="65"/>
      <c r="F337" s="65"/>
      <c r="H337" s="65"/>
      <c r="J337" s="65"/>
      <c r="K337" s="65"/>
      <c r="L337" s="65"/>
    </row>
    <row r="338" ht="15.75" customHeight="1">
      <c r="C338" s="65"/>
      <c r="D338" s="65"/>
      <c r="E338" s="65"/>
      <c r="F338" s="65"/>
      <c r="H338" s="65"/>
      <c r="J338" s="65"/>
      <c r="K338" s="65"/>
      <c r="L338" s="65"/>
    </row>
    <row r="339" ht="15.75" customHeight="1">
      <c r="C339" s="65"/>
      <c r="D339" s="65"/>
      <c r="E339" s="65"/>
      <c r="F339" s="65"/>
      <c r="H339" s="65"/>
      <c r="J339" s="65"/>
      <c r="K339" s="65"/>
      <c r="L339" s="65"/>
    </row>
    <row r="340" ht="15.75" customHeight="1">
      <c r="C340" s="65"/>
      <c r="D340" s="65"/>
      <c r="E340" s="65"/>
      <c r="F340" s="65"/>
      <c r="H340" s="65"/>
      <c r="J340" s="65"/>
      <c r="K340" s="65"/>
      <c r="L340" s="65"/>
    </row>
    <row r="341" ht="15.75" customHeight="1">
      <c r="C341" s="65"/>
      <c r="D341" s="65"/>
      <c r="E341" s="65"/>
      <c r="F341" s="65"/>
      <c r="H341" s="65"/>
      <c r="J341" s="65"/>
      <c r="K341" s="65"/>
      <c r="L341" s="65"/>
    </row>
    <row r="342" ht="15.75" customHeight="1">
      <c r="C342" s="65"/>
      <c r="D342" s="65"/>
      <c r="E342" s="65"/>
      <c r="F342" s="65"/>
      <c r="H342" s="65"/>
      <c r="J342" s="65"/>
      <c r="K342" s="65"/>
      <c r="L342" s="65"/>
    </row>
    <row r="343" ht="15.75" customHeight="1">
      <c r="C343" s="65"/>
      <c r="D343" s="65"/>
      <c r="E343" s="65"/>
      <c r="F343" s="65"/>
      <c r="H343" s="65"/>
      <c r="J343" s="65"/>
      <c r="K343" s="65"/>
      <c r="L343" s="65"/>
    </row>
    <row r="344" ht="15.75" customHeight="1">
      <c r="C344" s="65"/>
      <c r="D344" s="65"/>
      <c r="E344" s="65"/>
      <c r="F344" s="65"/>
      <c r="H344" s="65"/>
      <c r="J344" s="65"/>
      <c r="K344" s="65"/>
      <c r="L344" s="65"/>
    </row>
    <row r="345" ht="15.75" customHeight="1">
      <c r="C345" s="65"/>
      <c r="D345" s="65"/>
      <c r="E345" s="65"/>
      <c r="F345" s="65"/>
      <c r="H345" s="65"/>
      <c r="J345" s="65"/>
      <c r="K345" s="65"/>
      <c r="L345" s="65"/>
    </row>
    <row r="346" ht="15.75" customHeight="1">
      <c r="C346" s="65"/>
      <c r="D346" s="65"/>
      <c r="E346" s="65"/>
      <c r="F346" s="65"/>
      <c r="H346" s="65"/>
      <c r="J346" s="65"/>
      <c r="K346" s="65"/>
      <c r="L346" s="65"/>
    </row>
    <row r="347" ht="15.75" customHeight="1">
      <c r="C347" s="65"/>
      <c r="D347" s="65"/>
      <c r="E347" s="65"/>
      <c r="F347" s="65"/>
      <c r="H347" s="65"/>
      <c r="J347" s="65"/>
      <c r="K347" s="65"/>
      <c r="L347" s="65"/>
    </row>
    <row r="348" ht="15.75" customHeight="1">
      <c r="C348" s="65"/>
      <c r="D348" s="65"/>
      <c r="E348" s="65"/>
      <c r="F348" s="65"/>
      <c r="H348" s="65"/>
      <c r="J348" s="65"/>
      <c r="K348" s="65"/>
      <c r="L348" s="65"/>
    </row>
    <row r="349" ht="15.75" customHeight="1">
      <c r="C349" s="65"/>
      <c r="D349" s="65"/>
      <c r="E349" s="65"/>
      <c r="F349" s="65"/>
      <c r="H349" s="65"/>
      <c r="J349" s="65"/>
      <c r="K349" s="65"/>
      <c r="L349" s="65"/>
    </row>
    <row r="350" ht="15.75" customHeight="1">
      <c r="C350" s="65"/>
      <c r="D350" s="65"/>
      <c r="E350" s="65"/>
      <c r="F350" s="65"/>
      <c r="H350" s="65"/>
      <c r="J350" s="65"/>
      <c r="K350" s="65"/>
      <c r="L350" s="65"/>
    </row>
    <row r="351" ht="15.75" customHeight="1">
      <c r="C351" s="65"/>
      <c r="D351" s="65"/>
      <c r="E351" s="65"/>
      <c r="F351" s="65"/>
      <c r="H351" s="65"/>
      <c r="J351" s="65"/>
      <c r="K351" s="65"/>
      <c r="L351" s="65"/>
    </row>
    <row r="352" ht="15.75" customHeight="1">
      <c r="C352" s="65"/>
      <c r="D352" s="65"/>
      <c r="E352" s="65"/>
      <c r="F352" s="65"/>
      <c r="H352" s="65"/>
      <c r="J352" s="65"/>
      <c r="K352" s="65"/>
      <c r="L352" s="65"/>
    </row>
    <row r="353" ht="15.75" customHeight="1">
      <c r="C353" s="65"/>
      <c r="D353" s="65"/>
      <c r="E353" s="65"/>
      <c r="F353" s="65"/>
      <c r="H353" s="65"/>
      <c r="J353" s="65"/>
      <c r="K353" s="65"/>
      <c r="L353" s="65"/>
    </row>
    <row r="354" ht="15.75" customHeight="1">
      <c r="C354" s="65"/>
      <c r="D354" s="65"/>
      <c r="E354" s="65"/>
      <c r="F354" s="65"/>
      <c r="H354" s="65"/>
      <c r="J354" s="65"/>
      <c r="K354" s="65"/>
      <c r="L354" s="65"/>
    </row>
    <row r="355" ht="15.75" customHeight="1">
      <c r="C355" s="65"/>
      <c r="D355" s="65"/>
      <c r="E355" s="65"/>
      <c r="F355" s="65"/>
      <c r="H355" s="65"/>
      <c r="J355" s="65"/>
      <c r="K355" s="65"/>
      <c r="L355" s="65"/>
    </row>
    <row r="356" ht="15.75" customHeight="1">
      <c r="C356" s="65"/>
      <c r="D356" s="65"/>
      <c r="E356" s="65"/>
      <c r="F356" s="65"/>
      <c r="H356" s="65"/>
      <c r="J356" s="65"/>
      <c r="K356" s="65"/>
      <c r="L356" s="65"/>
    </row>
    <row r="357" ht="15.75" customHeight="1">
      <c r="C357" s="65"/>
      <c r="D357" s="65"/>
      <c r="E357" s="65"/>
      <c r="F357" s="65"/>
      <c r="H357" s="65"/>
      <c r="J357" s="65"/>
      <c r="K357" s="65"/>
      <c r="L357" s="65"/>
    </row>
    <row r="358" ht="15.75" customHeight="1">
      <c r="C358" s="65"/>
      <c r="D358" s="65"/>
      <c r="E358" s="65"/>
      <c r="F358" s="65"/>
      <c r="H358" s="65"/>
      <c r="J358" s="65"/>
      <c r="K358" s="65"/>
      <c r="L358" s="65"/>
    </row>
    <row r="359" ht="15.75" customHeight="1">
      <c r="C359" s="65"/>
      <c r="D359" s="65"/>
      <c r="E359" s="65"/>
      <c r="F359" s="65"/>
      <c r="H359" s="65"/>
      <c r="J359" s="65"/>
      <c r="K359" s="65"/>
      <c r="L359" s="65"/>
    </row>
    <row r="360" ht="15.75" customHeight="1">
      <c r="C360" s="65"/>
      <c r="D360" s="65"/>
      <c r="E360" s="65"/>
      <c r="F360" s="65"/>
      <c r="H360" s="65"/>
      <c r="J360" s="65"/>
      <c r="K360" s="65"/>
      <c r="L360" s="65"/>
    </row>
    <row r="361" ht="15.75" customHeight="1">
      <c r="C361" s="65"/>
      <c r="D361" s="65"/>
      <c r="E361" s="65"/>
      <c r="F361" s="65"/>
      <c r="H361" s="65"/>
      <c r="J361" s="65"/>
      <c r="K361" s="65"/>
      <c r="L361" s="65"/>
    </row>
    <row r="362" ht="15.75" customHeight="1">
      <c r="C362" s="65"/>
      <c r="D362" s="65"/>
      <c r="E362" s="65"/>
      <c r="F362" s="65"/>
      <c r="H362" s="65"/>
      <c r="J362" s="65"/>
      <c r="K362" s="65"/>
      <c r="L362" s="65"/>
    </row>
    <row r="363" ht="15.75" customHeight="1">
      <c r="C363" s="65"/>
      <c r="D363" s="65"/>
      <c r="E363" s="65"/>
      <c r="F363" s="65"/>
      <c r="H363" s="65"/>
      <c r="J363" s="65"/>
      <c r="K363" s="65"/>
      <c r="L363" s="65"/>
    </row>
    <row r="364" ht="15.75" customHeight="1">
      <c r="C364" s="65"/>
      <c r="D364" s="65"/>
      <c r="E364" s="65"/>
      <c r="F364" s="65"/>
      <c r="H364" s="65"/>
      <c r="J364" s="65"/>
      <c r="K364" s="65"/>
      <c r="L364" s="65"/>
    </row>
    <row r="365" ht="15.75" customHeight="1">
      <c r="C365" s="65"/>
      <c r="D365" s="65"/>
      <c r="E365" s="65"/>
      <c r="F365" s="65"/>
      <c r="H365" s="65"/>
      <c r="J365" s="65"/>
      <c r="K365" s="65"/>
      <c r="L365" s="65"/>
    </row>
    <row r="366" ht="15.75" customHeight="1">
      <c r="C366" s="65"/>
      <c r="D366" s="65"/>
      <c r="E366" s="65"/>
      <c r="F366" s="65"/>
      <c r="H366" s="65"/>
      <c r="J366" s="65"/>
      <c r="K366" s="65"/>
      <c r="L366" s="65"/>
    </row>
    <row r="367" ht="15.75" customHeight="1">
      <c r="C367" s="65"/>
      <c r="D367" s="65"/>
      <c r="E367" s="65"/>
      <c r="F367" s="65"/>
      <c r="H367" s="65"/>
      <c r="J367" s="65"/>
      <c r="K367" s="65"/>
      <c r="L367" s="65"/>
    </row>
    <row r="368" ht="15.75" customHeight="1">
      <c r="C368" s="65"/>
      <c r="D368" s="65"/>
      <c r="E368" s="65"/>
      <c r="F368" s="65"/>
      <c r="H368" s="65"/>
      <c r="J368" s="65"/>
      <c r="K368" s="65"/>
      <c r="L368" s="65"/>
    </row>
    <row r="369" ht="15.75" customHeight="1">
      <c r="C369" s="65"/>
      <c r="D369" s="65"/>
      <c r="E369" s="65"/>
      <c r="F369" s="65"/>
      <c r="H369" s="65"/>
      <c r="J369" s="65"/>
      <c r="K369" s="65"/>
      <c r="L369" s="65"/>
    </row>
    <row r="370" ht="15.75" customHeight="1">
      <c r="C370" s="65"/>
      <c r="D370" s="65"/>
      <c r="E370" s="65"/>
      <c r="F370" s="65"/>
      <c r="H370" s="65"/>
      <c r="J370" s="65"/>
      <c r="K370" s="65"/>
      <c r="L370" s="65"/>
    </row>
    <row r="371" ht="15.75" customHeight="1">
      <c r="C371" s="65"/>
      <c r="D371" s="65"/>
      <c r="E371" s="65"/>
      <c r="F371" s="65"/>
      <c r="H371" s="65"/>
      <c r="J371" s="65"/>
      <c r="K371" s="65"/>
      <c r="L371" s="65"/>
    </row>
    <row r="372" ht="15.75" customHeight="1">
      <c r="C372" s="65"/>
      <c r="D372" s="65"/>
      <c r="E372" s="65"/>
      <c r="F372" s="65"/>
      <c r="H372" s="65"/>
      <c r="J372" s="65"/>
      <c r="K372" s="65"/>
      <c r="L372" s="65"/>
    </row>
    <row r="373" ht="15.75" customHeight="1">
      <c r="C373" s="65"/>
      <c r="D373" s="65"/>
      <c r="E373" s="65"/>
      <c r="F373" s="65"/>
      <c r="H373" s="65"/>
      <c r="J373" s="65"/>
      <c r="K373" s="65"/>
      <c r="L373" s="65"/>
    </row>
    <row r="374" ht="15.75" customHeight="1">
      <c r="C374" s="65"/>
      <c r="D374" s="65"/>
      <c r="E374" s="65"/>
      <c r="F374" s="65"/>
      <c r="H374" s="65"/>
      <c r="J374" s="65"/>
      <c r="K374" s="65"/>
      <c r="L374" s="65"/>
    </row>
    <row r="375" ht="15.75" customHeight="1">
      <c r="C375" s="65"/>
      <c r="D375" s="65"/>
      <c r="E375" s="65"/>
      <c r="F375" s="65"/>
      <c r="H375" s="65"/>
      <c r="J375" s="65"/>
      <c r="K375" s="65"/>
      <c r="L375" s="65"/>
    </row>
    <row r="376" ht="15.75" customHeight="1">
      <c r="C376" s="65"/>
      <c r="D376" s="65"/>
      <c r="E376" s="65"/>
      <c r="F376" s="65"/>
      <c r="H376" s="65"/>
      <c r="J376" s="65"/>
      <c r="K376" s="65"/>
      <c r="L376" s="65"/>
    </row>
    <row r="377" ht="15.75" customHeight="1">
      <c r="C377" s="65"/>
      <c r="D377" s="65"/>
      <c r="E377" s="65"/>
      <c r="F377" s="65"/>
      <c r="H377" s="65"/>
      <c r="J377" s="65"/>
      <c r="K377" s="65"/>
      <c r="L377" s="65"/>
    </row>
    <row r="378" ht="15.75" customHeight="1">
      <c r="C378" s="65"/>
      <c r="D378" s="65"/>
      <c r="E378" s="65"/>
      <c r="F378" s="65"/>
      <c r="H378" s="65"/>
      <c r="J378" s="65"/>
      <c r="K378" s="65"/>
      <c r="L378" s="65"/>
    </row>
    <row r="379" ht="15.75" customHeight="1">
      <c r="C379" s="65"/>
      <c r="D379" s="65"/>
      <c r="E379" s="65"/>
      <c r="F379" s="65"/>
      <c r="H379" s="65"/>
      <c r="J379" s="65"/>
      <c r="K379" s="65"/>
      <c r="L379" s="65"/>
    </row>
    <row r="380" ht="15.75" customHeight="1">
      <c r="C380" s="65"/>
      <c r="D380" s="65"/>
      <c r="E380" s="65"/>
      <c r="F380" s="65"/>
      <c r="H380" s="65"/>
      <c r="J380" s="65"/>
      <c r="K380" s="65"/>
      <c r="L380" s="65"/>
    </row>
    <row r="381" ht="15.75" customHeight="1">
      <c r="C381" s="65"/>
      <c r="D381" s="65"/>
      <c r="E381" s="65"/>
      <c r="F381" s="65"/>
      <c r="H381" s="65"/>
      <c r="J381" s="65"/>
      <c r="K381" s="65"/>
      <c r="L381" s="65"/>
    </row>
    <row r="382" ht="15.75" customHeight="1">
      <c r="C382" s="65"/>
      <c r="D382" s="65"/>
      <c r="E382" s="65"/>
      <c r="F382" s="65"/>
      <c r="H382" s="65"/>
      <c r="J382" s="65"/>
      <c r="K382" s="65"/>
      <c r="L382" s="65"/>
    </row>
    <row r="383" ht="15.75" customHeight="1">
      <c r="C383" s="65"/>
      <c r="D383" s="65"/>
      <c r="E383" s="65"/>
      <c r="F383" s="65"/>
      <c r="H383" s="65"/>
      <c r="J383" s="65"/>
      <c r="K383" s="65"/>
      <c r="L383" s="65"/>
    </row>
    <row r="384" ht="15.75" customHeight="1">
      <c r="C384" s="65"/>
      <c r="D384" s="65"/>
      <c r="E384" s="65"/>
      <c r="F384" s="65"/>
      <c r="H384" s="65"/>
      <c r="J384" s="65"/>
      <c r="K384" s="65"/>
      <c r="L384" s="65"/>
    </row>
    <row r="385" ht="15.75" customHeight="1">
      <c r="C385" s="65"/>
      <c r="D385" s="65"/>
      <c r="E385" s="65"/>
      <c r="F385" s="65"/>
      <c r="H385" s="65"/>
      <c r="J385" s="65"/>
      <c r="K385" s="65"/>
      <c r="L385" s="65"/>
    </row>
    <row r="386" ht="15.75" customHeight="1">
      <c r="C386" s="65"/>
      <c r="D386" s="65"/>
      <c r="E386" s="65"/>
      <c r="F386" s="65"/>
      <c r="H386" s="65"/>
      <c r="J386" s="65"/>
      <c r="K386" s="65"/>
      <c r="L386" s="65"/>
    </row>
    <row r="387" ht="15.75" customHeight="1">
      <c r="C387" s="65"/>
      <c r="D387" s="65"/>
      <c r="E387" s="65"/>
      <c r="F387" s="65"/>
      <c r="H387" s="65"/>
      <c r="J387" s="65"/>
      <c r="K387" s="65"/>
      <c r="L387" s="65"/>
    </row>
    <row r="388" ht="15.75" customHeight="1">
      <c r="C388" s="65"/>
      <c r="D388" s="65"/>
      <c r="E388" s="65"/>
      <c r="F388" s="65"/>
      <c r="H388" s="65"/>
      <c r="J388" s="65"/>
      <c r="K388" s="65"/>
      <c r="L388" s="65"/>
    </row>
    <row r="389" ht="15.75" customHeight="1">
      <c r="C389" s="65"/>
      <c r="D389" s="65"/>
      <c r="E389" s="65"/>
      <c r="F389" s="65"/>
      <c r="H389" s="65"/>
      <c r="J389" s="65"/>
      <c r="K389" s="65"/>
      <c r="L389" s="65"/>
    </row>
    <row r="390" ht="15.75" customHeight="1">
      <c r="C390" s="65"/>
      <c r="D390" s="65"/>
      <c r="E390" s="65"/>
      <c r="F390" s="65"/>
      <c r="H390" s="65"/>
      <c r="J390" s="65"/>
      <c r="K390" s="65"/>
      <c r="L390" s="65"/>
    </row>
    <row r="391" ht="15.75" customHeight="1">
      <c r="C391" s="65"/>
      <c r="D391" s="65"/>
      <c r="E391" s="65"/>
      <c r="F391" s="65"/>
      <c r="H391" s="65"/>
      <c r="J391" s="65"/>
      <c r="K391" s="65"/>
      <c r="L391" s="65"/>
    </row>
    <row r="392" ht="15.75" customHeight="1">
      <c r="C392" s="65"/>
      <c r="D392" s="65"/>
      <c r="E392" s="65"/>
      <c r="F392" s="65"/>
      <c r="H392" s="65"/>
      <c r="J392" s="65"/>
      <c r="K392" s="65"/>
      <c r="L392" s="65"/>
    </row>
    <row r="393" ht="15.75" customHeight="1">
      <c r="C393" s="65"/>
      <c r="D393" s="65"/>
      <c r="E393" s="65"/>
      <c r="F393" s="65"/>
      <c r="H393" s="65"/>
      <c r="J393" s="65"/>
      <c r="K393" s="65"/>
      <c r="L393" s="65"/>
    </row>
    <row r="394" ht="15.75" customHeight="1">
      <c r="C394" s="65"/>
      <c r="D394" s="65"/>
      <c r="E394" s="65"/>
      <c r="F394" s="65"/>
      <c r="H394" s="65"/>
      <c r="J394" s="65"/>
      <c r="K394" s="65"/>
      <c r="L394" s="65"/>
    </row>
    <row r="395" ht="15.75" customHeight="1">
      <c r="C395" s="65"/>
      <c r="D395" s="65"/>
      <c r="E395" s="65"/>
      <c r="F395" s="65"/>
      <c r="H395" s="65"/>
      <c r="J395" s="65"/>
      <c r="K395" s="65"/>
      <c r="L395" s="65"/>
    </row>
    <row r="396" ht="15.75" customHeight="1">
      <c r="C396" s="65"/>
      <c r="D396" s="65"/>
      <c r="E396" s="65"/>
      <c r="F396" s="65"/>
      <c r="H396" s="65"/>
      <c r="J396" s="65"/>
      <c r="K396" s="65"/>
      <c r="L396" s="65"/>
    </row>
    <row r="397" ht="15.75" customHeight="1">
      <c r="C397" s="65"/>
      <c r="D397" s="65"/>
      <c r="E397" s="65"/>
      <c r="F397" s="65"/>
      <c r="H397" s="65"/>
      <c r="J397" s="65"/>
      <c r="K397" s="65"/>
      <c r="L397" s="65"/>
    </row>
    <row r="398" ht="15.75" customHeight="1">
      <c r="C398" s="65"/>
      <c r="D398" s="65"/>
      <c r="E398" s="65"/>
      <c r="F398" s="65"/>
      <c r="H398" s="65"/>
      <c r="J398" s="65"/>
      <c r="K398" s="65"/>
      <c r="L398" s="65"/>
    </row>
    <row r="399" ht="15.75" customHeight="1">
      <c r="C399" s="65"/>
      <c r="D399" s="65"/>
      <c r="E399" s="65"/>
      <c r="F399" s="65"/>
      <c r="H399" s="65"/>
      <c r="J399" s="65"/>
      <c r="K399" s="65"/>
      <c r="L399" s="65"/>
    </row>
    <row r="400" ht="15.75" customHeight="1">
      <c r="C400" s="65"/>
      <c r="D400" s="65"/>
      <c r="E400" s="65"/>
      <c r="F400" s="65"/>
      <c r="H400" s="65"/>
      <c r="J400" s="65"/>
      <c r="K400" s="65"/>
      <c r="L400" s="65"/>
    </row>
    <row r="401" ht="15.75" customHeight="1">
      <c r="C401" s="65"/>
      <c r="D401" s="65"/>
      <c r="E401" s="65"/>
      <c r="F401" s="65"/>
      <c r="H401" s="65"/>
      <c r="J401" s="65"/>
      <c r="K401" s="65"/>
      <c r="L401" s="65"/>
    </row>
    <row r="402" ht="15.75" customHeight="1">
      <c r="C402" s="65"/>
      <c r="D402" s="65"/>
      <c r="E402" s="65"/>
      <c r="F402" s="65"/>
      <c r="H402" s="65"/>
      <c r="J402" s="65"/>
      <c r="K402" s="65"/>
      <c r="L402" s="65"/>
    </row>
    <row r="403" ht="15.75" customHeight="1">
      <c r="C403" s="65"/>
      <c r="D403" s="65"/>
      <c r="E403" s="65"/>
      <c r="F403" s="65"/>
      <c r="H403" s="65"/>
      <c r="J403" s="65"/>
      <c r="K403" s="65"/>
      <c r="L403" s="65"/>
    </row>
    <row r="404" ht="15.75" customHeight="1">
      <c r="C404" s="65"/>
      <c r="D404" s="65"/>
      <c r="E404" s="65"/>
      <c r="F404" s="65"/>
      <c r="H404" s="65"/>
      <c r="J404" s="65"/>
      <c r="K404" s="65"/>
      <c r="L404" s="65"/>
    </row>
    <row r="405" ht="15.75" customHeight="1">
      <c r="C405" s="65"/>
      <c r="D405" s="65"/>
      <c r="E405" s="65"/>
      <c r="F405" s="65"/>
      <c r="H405" s="65"/>
      <c r="J405" s="65"/>
      <c r="K405" s="65"/>
      <c r="L405" s="65"/>
    </row>
    <row r="406" ht="15.75" customHeight="1">
      <c r="C406" s="65"/>
      <c r="D406" s="65"/>
      <c r="E406" s="65"/>
      <c r="F406" s="65"/>
      <c r="H406" s="65"/>
      <c r="J406" s="65"/>
      <c r="K406" s="65"/>
      <c r="L406" s="65"/>
    </row>
    <row r="407" ht="15.75" customHeight="1">
      <c r="C407" s="65"/>
      <c r="D407" s="65"/>
      <c r="E407" s="65"/>
      <c r="F407" s="65"/>
      <c r="H407" s="65"/>
      <c r="J407" s="65"/>
      <c r="K407" s="65"/>
      <c r="L407" s="65"/>
    </row>
    <row r="408" ht="15.75" customHeight="1">
      <c r="C408" s="65"/>
      <c r="D408" s="65"/>
      <c r="E408" s="65"/>
      <c r="F408" s="65"/>
      <c r="H408" s="65"/>
      <c r="J408" s="65"/>
      <c r="K408" s="65"/>
      <c r="L408" s="65"/>
    </row>
    <row r="409" ht="15.75" customHeight="1">
      <c r="C409" s="65"/>
      <c r="D409" s="65"/>
      <c r="E409" s="65"/>
      <c r="F409" s="65"/>
      <c r="H409" s="65"/>
      <c r="J409" s="65"/>
      <c r="K409" s="65"/>
      <c r="L409" s="65"/>
    </row>
    <row r="410" ht="15.75" customHeight="1">
      <c r="C410" s="65"/>
      <c r="D410" s="65"/>
      <c r="E410" s="65"/>
      <c r="F410" s="65"/>
      <c r="H410" s="65"/>
      <c r="J410" s="65"/>
      <c r="K410" s="65"/>
      <c r="L410" s="65"/>
    </row>
    <row r="411" ht="15.75" customHeight="1">
      <c r="C411" s="65"/>
      <c r="D411" s="65"/>
      <c r="E411" s="65"/>
      <c r="F411" s="65"/>
      <c r="H411" s="65"/>
      <c r="J411" s="65"/>
      <c r="K411" s="65"/>
      <c r="L411" s="65"/>
    </row>
    <row r="412" ht="15.75" customHeight="1">
      <c r="C412" s="65"/>
      <c r="D412" s="65"/>
      <c r="E412" s="65"/>
      <c r="F412" s="65"/>
      <c r="H412" s="65"/>
      <c r="J412" s="65"/>
      <c r="K412" s="65"/>
      <c r="L412" s="65"/>
    </row>
    <row r="413" ht="15.75" customHeight="1">
      <c r="C413" s="65"/>
      <c r="D413" s="65"/>
      <c r="E413" s="65"/>
      <c r="F413" s="65"/>
      <c r="H413" s="65"/>
      <c r="J413" s="65"/>
      <c r="K413" s="65"/>
      <c r="L413" s="65"/>
    </row>
    <row r="414" ht="15.75" customHeight="1">
      <c r="C414" s="65"/>
      <c r="D414" s="65"/>
      <c r="E414" s="65"/>
      <c r="F414" s="65"/>
      <c r="H414" s="65"/>
      <c r="J414" s="65"/>
      <c r="K414" s="65"/>
      <c r="L414" s="65"/>
    </row>
    <row r="415" ht="15.75" customHeight="1">
      <c r="C415" s="65"/>
      <c r="D415" s="65"/>
      <c r="E415" s="65"/>
      <c r="F415" s="65"/>
      <c r="H415" s="65"/>
      <c r="J415" s="65"/>
      <c r="K415" s="65"/>
      <c r="L415" s="65"/>
    </row>
    <row r="416" ht="15.75" customHeight="1">
      <c r="C416" s="65"/>
      <c r="D416" s="65"/>
      <c r="E416" s="65"/>
      <c r="F416" s="65"/>
      <c r="H416" s="65"/>
      <c r="J416" s="65"/>
      <c r="K416" s="65"/>
      <c r="L416" s="65"/>
    </row>
    <row r="417" ht="15.75" customHeight="1">
      <c r="C417" s="65"/>
      <c r="D417" s="65"/>
      <c r="E417" s="65"/>
      <c r="F417" s="65"/>
      <c r="H417" s="65"/>
      <c r="J417" s="65"/>
      <c r="K417" s="65"/>
      <c r="L417" s="65"/>
    </row>
    <row r="418" ht="15.75" customHeight="1">
      <c r="C418" s="65"/>
      <c r="D418" s="65"/>
      <c r="E418" s="65"/>
      <c r="F418" s="65"/>
      <c r="H418" s="65"/>
      <c r="J418" s="65"/>
      <c r="K418" s="65"/>
      <c r="L418" s="65"/>
    </row>
    <row r="419" ht="15.75" customHeight="1">
      <c r="C419" s="65"/>
      <c r="D419" s="65"/>
      <c r="E419" s="65"/>
      <c r="F419" s="65"/>
      <c r="H419" s="65"/>
      <c r="J419" s="65"/>
      <c r="K419" s="65"/>
      <c r="L419" s="65"/>
    </row>
    <row r="420" ht="15.75" customHeight="1">
      <c r="C420" s="65"/>
      <c r="D420" s="65"/>
      <c r="E420" s="65"/>
      <c r="F420" s="65"/>
      <c r="H420" s="65"/>
      <c r="J420" s="65"/>
      <c r="K420" s="65"/>
      <c r="L420" s="65"/>
    </row>
    <row r="421" ht="15.75" customHeight="1">
      <c r="C421" s="65"/>
      <c r="D421" s="65"/>
      <c r="E421" s="65"/>
      <c r="F421" s="65"/>
      <c r="H421" s="65"/>
      <c r="J421" s="65"/>
      <c r="K421" s="65"/>
      <c r="L421" s="65"/>
    </row>
    <row r="422" ht="15.75" customHeight="1">
      <c r="C422" s="65"/>
      <c r="D422" s="65"/>
      <c r="E422" s="65"/>
      <c r="F422" s="65"/>
      <c r="H422" s="65"/>
      <c r="J422" s="65"/>
      <c r="K422" s="65"/>
      <c r="L422" s="65"/>
    </row>
    <row r="423" ht="15.75" customHeight="1">
      <c r="C423" s="65"/>
      <c r="D423" s="65"/>
      <c r="E423" s="65"/>
      <c r="F423" s="65"/>
      <c r="H423" s="65"/>
      <c r="J423" s="65"/>
      <c r="K423" s="65"/>
      <c r="L423" s="65"/>
    </row>
    <row r="424" ht="15.75" customHeight="1">
      <c r="C424" s="65"/>
      <c r="D424" s="65"/>
      <c r="E424" s="65"/>
      <c r="F424" s="65"/>
      <c r="H424" s="65"/>
      <c r="J424" s="65"/>
      <c r="K424" s="65"/>
      <c r="L424" s="65"/>
    </row>
    <row r="425" ht="15.75" customHeight="1">
      <c r="C425" s="65"/>
      <c r="D425" s="65"/>
      <c r="E425" s="65"/>
      <c r="F425" s="65"/>
      <c r="H425" s="65"/>
      <c r="J425" s="65"/>
      <c r="K425" s="65"/>
      <c r="L425" s="65"/>
    </row>
    <row r="426" ht="15.75" customHeight="1">
      <c r="C426" s="65"/>
      <c r="D426" s="65"/>
      <c r="E426" s="65"/>
      <c r="F426" s="65"/>
      <c r="H426" s="65"/>
      <c r="J426" s="65"/>
      <c r="K426" s="65"/>
      <c r="L426" s="65"/>
    </row>
    <row r="427" ht="15.75" customHeight="1">
      <c r="C427" s="65"/>
      <c r="D427" s="65"/>
      <c r="E427" s="65"/>
      <c r="F427" s="65"/>
      <c r="H427" s="65"/>
      <c r="J427" s="65"/>
      <c r="K427" s="65"/>
      <c r="L427" s="65"/>
    </row>
    <row r="428" ht="15.75" customHeight="1">
      <c r="C428" s="65"/>
      <c r="D428" s="65"/>
      <c r="E428" s="65"/>
      <c r="F428" s="65"/>
      <c r="H428" s="65"/>
      <c r="J428" s="65"/>
      <c r="K428" s="65"/>
      <c r="L428" s="65"/>
    </row>
    <row r="429" ht="15.75" customHeight="1">
      <c r="C429" s="65"/>
      <c r="D429" s="65"/>
      <c r="E429" s="65"/>
      <c r="F429" s="65"/>
      <c r="H429" s="65"/>
      <c r="J429" s="65"/>
      <c r="K429" s="65"/>
      <c r="L429" s="65"/>
    </row>
    <row r="430" ht="15.75" customHeight="1">
      <c r="C430" s="65"/>
      <c r="D430" s="65"/>
      <c r="E430" s="65"/>
      <c r="F430" s="65"/>
      <c r="H430" s="65"/>
      <c r="J430" s="65"/>
      <c r="K430" s="65"/>
      <c r="L430" s="65"/>
    </row>
    <row r="431" ht="15.75" customHeight="1">
      <c r="C431" s="65"/>
      <c r="D431" s="65"/>
      <c r="E431" s="65"/>
      <c r="F431" s="65"/>
      <c r="H431" s="65"/>
      <c r="J431" s="65"/>
      <c r="K431" s="65"/>
      <c r="L431" s="65"/>
    </row>
    <row r="432" ht="15.75" customHeight="1">
      <c r="C432" s="65"/>
      <c r="D432" s="65"/>
      <c r="E432" s="65"/>
      <c r="F432" s="65"/>
      <c r="H432" s="65"/>
      <c r="J432" s="65"/>
      <c r="K432" s="65"/>
      <c r="L432" s="65"/>
    </row>
    <row r="433" ht="15.75" customHeight="1">
      <c r="C433" s="65"/>
      <c r="D433" s="65"/>
      <c r="E433" s="65"/>
      <c r="F433" s="65"/>
      <c r="H433" s="65"/>
      <c r="J433" s="65"/>
      <c r="K433" s="65"/>
      <c r="L433" s="65"/>
    </row>
    <row r="434" ht="15.75" customHeight="1">
      <c r="C434" s="65"/>
      <c r="D434" s="65"/>
      <c r="E434" s="65"/>
      <c r="F434" s="65"/>
      <c r="H434" s="65"/>
      <c r="J434" s="65"/>
      <c r="K434" s="65"/>
      <c r="L434" s="65"/>
    </row>
    <row r="435" ht="15.75" customHeight="1">
      <c r="C435" s="65"/>
      <c r="D435" s="65"/>
      <c r="E435" s="65"/>
      <c r="F435" s="65"/>
      <c r="H435" s="65"/>
      <c r="J435" s="65"/>
      <c r="K435" s="65"/>
      <c r="L435" s="65"/>
    </row>
    <row r="436" ht="15.75" customHeight="1">
      <c r="C436" s="65"/>
      <c r="D436" s="65"/>
      <c r="E436" s="65"/>
      <c r="F436" s="65"/>
      <c r="H436" s="65"/>
      <c r="J436" s="65"/>
      <c r="K436" s="65"/>
      <c r="L436" s="65"/>
    </row>
    <row r="437" ht="15.75" customHeight="1">
      <c r="C437" s="65"/>
      <c r="D437" s="65"/>
      <c r="E437" s="65"/>
      <c r="F437" s="65"/>
      <c r="H437" s="65"/>
      <c r="J437" s="65"/>
      <c r="K437" s="65"/>
      <c r="L437" s="65"/>
    </row>
    <row r="438" ht="15.75" customHeight="1">
      <c r="C438" s="65"/>
      <c r="D438" s="65"/>
      <c r="E438" s="65"/>
      <c r="F438" s="65"/>
      <c r="H438" s="65"/>
      <c r="J438" s="65"/>
      <c r="K438" s="65"/>
      <c r="L438" s="65"/>
    </row>
    <row r="439" ht="15.75" customHeight="1">
      <c r="C439" s="65"/>
      <c r="D439" s="65"/>
      <c r="E439" s="65"/>
      <c r="F439" s="65"/>
      <c r="H439" s="65"/>
      <c r="J439" s="65"/>
      <c r="K439" s="65"/>
      <c r="L439" s="65"/>
    </row>
    <row r="440" ht="15.75" customHeight="1">
      <c r="C440" s="65"/>
      <c r="D440" s="65"/>
      <c r="E440" s="65"/>
      <c r="F440" s="65"/>
      <c r="H440" s="65"/>
      <c r="J440" s="65"/>
      <c r="K440" s="65"/>
      <c r="L440" s="65"/>
    </row>
    <row r="441" ht="15.75" customHeight="1">
      <c r="C441" s="65"/>
      <c r="D441" s="65"/>
      <c r="E441" s="65"/>
      <c r="F441" s="65"/>
      <c r="H441" s="65"/>
      <c r="J441" s="65"/>
      <c r="K441" s="65"/>
      <c r="L441" s="65"/>
    </row>
    <row r="442" ht="15.75" customHeight="1">
      <c r="C442" s="65"/>
      <c r="D442" s="65"/>
      <c r="E442" s="65"/>
      <c r="F442" s="65"/>
      <c r="H442" s="65"/>
      <c r="J442" s="65"/>
      <c r="K442" s="65"/>
      <c r="L442" s="65"/>
    </row>
    <row r="443" ht="15.75" customHeight="1">
      <c r="C443" s="65"/>
      <c r="D443" s="65"/>
      <c r="E443" s="65"/>
      <c r="F443" s="65"/>
      <c r="H443" s="65"/>
      <c r="J443" s="65"/>
      <c r="K443" s="65"/>
      <c r="L443" s="65"/>
    </row>
    <row r="444" ht="15.75" customHeight="1">
      <c r="C444" s="65"/>
      <c r="D444" s="65"/>
      <c r="E444" s="65"/>
      <c r="F444" s="65"/>
      <c r="H444" s="65"/>
      <c r="J444" s="65"/>
      <c r="K444" s="65"/>
      <c r="L444" s="65"/>
    </row>
    <row r="445" ht="15.75" customHeight="1">
      <c r="C445" s="65"/>
      <c r="D445" s="65"/>
      <c r="E445" s="65"/>
      <c r="F445" s="65"/>
      <c r="H445" s="65"/>
      <c r="J445" s="65"/>
      <c r="K445" s="65"/>
      <c r="L445" s="65"/>
    </row>
    <row r="446" ht="15.75" customHeight="1">
      <c r="C446" s="65"/>
      <c r="D446" s="65"/>
      <c r="E446" s="65"/>
      <c r="F446" s="65"/>
      <c r="H446" s="65"/>
      <c r="J446" s="65"/>
      <c r="K446" s="65"/>
      <c r="L446" s="65"/>
    </row>
    <row r="447" ht="15.75" customHeight="1">
      <c r="C447" s="65"/>
      <c r="D447" s="65"/>
      <c r="E447" s="65"/>
      <c r="F447" s="65"/>
      <c r="H447" s="65"/>
      <c r="J447" s="65"/>
      <c r="K447" s="65"/>
      <c r="L447" s="65"/>
    </row>
    <row r="448" ht="15.75" customHeight="1">
      <c r="C448" s="65"/>
      <c r="D448" s="65"/>
      <c r="E448" s="65"/>
      <c r="F448" s="65"/>
      <c r="H448" s="65"/>
      <c r="J448" s="65"/>
      <c r="K448" s="65"/>
      <c r="L448" s="65"/>
    </row>
    <row r="449" ht="15.75" customHeight="1">
      <c r="C449" s="65"/>
      <c r="D449" s="65"/>
      <c r="E449" s="65"/>
      <c r="F449" s="65"/>
      <c r="H449" s="65"/>
      <c r="J449" s="65"/>
      <c r="K449" s="65"/>
      <c r="L449" s="65"/>
    </row>
    <row r="450" ht="15.75" customHeight="1">
      <c r="C450" s="65"/>
      <c r="D450" s="65"/>
      <c r="E450" s="65"/>
      <c r="F450" s="65"/>
      <c r="H450" s="65"/>
      <c r="J450" s="65"/>
      <c r="K450" s="65"/>
      <c r="L450" s="65"/>
    </row>
    <row r="451" ht="15.75" customHeight="1">
      <c r="C451" s="65"/>
      <c r="D451" s="65"/>
      <c r="E451" s="65"/>
      <c r="F451" s="65"/>
      <c r="H451" s="65"/>
      <c r="J451" s="65"/>
      <c r="K451" s="65"/>
      <c r="L451" s="65"/>
    </row>
    <row r="452" ht="15.75" customHeight="1">
      <c r="C452" s="65"/>
      <c r="D452" s="65"/>
      <c r="E452" s="65"/>
      <c r="F452" s="65"/>
      <c r="H452" s="65"/>
      <c r="J452" s="65"/>
      <c r="K452" s="65"/>
      <c r="L452" s="65"/>
    </row>
    <row r="453" ht="15.75" customHeight="1">
      <c r="C453" s="65"/>
      <c r="D453" s="65"/>
      <c r="E453" s="65"/>
      <c r="F453" s="65"/>
      <c r="H453" s="65"/>
      <c r="J453" s="65"/>
      <c r="K453" s="65"/>
      <c r="L453" s="65"/>
    </row>
    <row r="454" ht="15.75" customHeight="1">
      <c r="C454" s="65"/>
      <c r="D454" s="65"/>
      <c r="E454" s="65"/>
      <c r="F454" s="65"/>
      <c r="H454" s="65"/>
      <c r="J454" s="65"/>
      <c r="K454" s="65"/>
      <c r="L454" s="65"/>
    </row>
    <row r="455" ht="15.75" customHeight="1">
      <c r="C455" s="65"/>
      <c r="D455" s="65"/>
      <c r="E455" s="65"/>
      <c r="F455" s="65"/>
      <c r="H455" s="65"/>
      <c r="J455" s="65"/>
      <c r="K455" s="65"/>
      <c r="L455" s="65"/>
    </row>
    <row r="456" ht="15.75" customHeight="1">
      <c r="C456" s="65"/>
      <c r="D456" s="65"/>
      <c r="E456" s="65"/>
      <c r="F456" s="65"/>
      <c r="H456" s="65"/>
      <c r="J456" s="65"/>
      <c r="K456" s="65"/>
      <c r="L456" s="65"/>
    </row>
    <row r="457" ht="15.75" customHeight="1">
      <c r="C457" s="65"/>
      <c r="D457" s="65"/>
      <c r="E457" s="65"/>
      <c r="F457" s="65"/>
      <c r="H457" s="65"/>
      <c r="J457" s="65"/>
      <c r="K457" s="65"/>
      <c r="L457" s="65"/>
    </row>
    <row r="458" ht="15.75" customHeight="1">
      <c r="C458" s="65"/>
      <c r="D458" s="65"/>
      <c r="E458" s="65"/>
      <c r="F458" s="65"/>
      <c r="H458" s="65"/>
      <c r="J458" s="65"/>
      <c r="K458" s="65"/>
      <c r="L458" s="65"/>
    </row>
    <row r="459" ht="15.75" customHeight="1">
      <c r="C459" s="65"/>
      <c r="D459" s="65"/>
      <c r="E459" s="65"/>
      <c r="F459" s="65"/>
      <c r="H459" s="65"/>
      <c r="J459" s="65"/>
      <c r="K459" s="65"/>
      <c r="L459" s="65"/>
    </row>
    <row r="460" ht="15.75" customHeight="1">
      <c r="C460" s="65"/>
      <c r="D460" s="65"/>
      <c r="E460" s="65"/>
      <c r="F460" s="65"/>
      <c r="H460" s="65"/>
      <c r="J460" s="65"/>
      <c r="K460" s="65"/>
      <c r="L460" s="65"/>
    </row>
    <row r="461" ht="15.75" customHeight="1">
      <c r="C461" s="65"/>
      <c r="D461" s="65"/>
      <c r="E461" s="65"/>
      <c r="F461" s="65"/>
      <c r="H461" s="65"/>
      <c r="J461" s="65"/>
      <c r="K461" s="65"/>
      <c r="L461" s="65"/>
    </row>
    <row r="462" ht="15.75" customHeight="1">
      <c r="C462" s="65"/>
      <c r="D462" s="65"/>
      <c r="E462" s="65"/>
      <c r="F462" s="65"/>
      <c r="H462" s="65"/>
      <c r="J462" s="65"/>
      <c r="K462" s="65"/>
      <c r="L462" s="65"/>
    </row>
    <row r="463" ht="15.75" customHeight="1">
      <c r="C463" s="65"/>
      <c r="D463" s="65"/>
      <c r="E463" s="65"/>
      <c r="F463" s="65"/>
      <c r="H463" s="65"/>
      <c r="J463" s="65"/>
      <c r="K463" s="65"/>
      <c r="L463" s="65"/>
    </row>
    <row r="464" ht="15.75" customHeight="1">
      <c r="C464" s="65"/>
      <c r="D464" s="65"/>
      <c r="E464" s="65"/>
      <c r="F464" s="65"/>
      <c r="H464" s="65"/>
      <c r="J464" s="65"/>
      <c r="K464" s="65"/>
      <c r="L464" s="65"/>
    </row>
    <row r="465" ht="15.75" customHeight="1">
      <c r="C465" s="65"/>
      <c r="D465" s="65"/>
      <c r="E465" s="65"/>
      <c r="F465" s="65"/>
      <c r="H465" s="65"/>
      <c r="J465" s="65"/>
      <c r="K465" s="65"/>
      <c r="L465" s="65"/>
    </row>
    <row r="466" ht="15.75" customHeight="1">
      <c r="C466" s="65"/>
      <c r="D466" s="65"/>
      <c r="E466" s="65"/>
      <c r="F466" s="65"/>
      <c r="H466" s="65"/>
      <c r="J466" s="65"/>
      <c r="K466" s="65"/>
      <c r="L466" s="65"/>
    </row>
    <row r="467" ht="15.75" customHeight="1">
      <c r="C467" s="65"/>
      <c r="D467" s="65"/>
      <c r="E467" s="65"/>
      <c r="F467" s="65"/>
      <c r="H467" s="65"/>
      <c r="J467" s="65"/>
      <c r="K467" s="65"/>
      <c r="L467" s="65"/>
    </row>
    <row r="468" ht="15.75" customHeight="1">
      <c r="C468" s="65"/>
      <c r="D468" s="65"/>
      <c r="E468" s="65"/>
      <c r="F468" s="65"/>
      <c r="H468" s="65"/>
      <c r="J468" s="65"/>
      <c r="K468" s="65"/>
      <c r="L468" s="65"/>
    </row>
    <row r="469" ht="15.75" customHeight="1">
      <c r="C469" s="65"/>
      <c r="D469" s="65"/>
      <c r="E469" s="65"/>
      <c r="F469" s="65"/>
      <c r="H469" s="65"/>
      <c r="J469" s="65"/>
      <c r="K469" s="65"/>
      <c r="L469" s="65"/>
    </row>
    <row r="470" ht="15.75" customHeight="1">
      <c r="C470" s="65"/>
      <c r="D470" s="65"/>
      <c r="E470" s="65"/>
      <c r="F470" s="65"/>
      <c r="H470" s="65"/>
      <c r="J470" s="65"/>
      <c r="K470" s="65"/>
      <c r="L470" s="65"/>
    </row>
    <row r="471" ht="15.75" customHeight="1">
      <c r="C471" s="65"/>
      <c r="D471" s="65"/>
      <c r="E471" s="65"/>
      <c r="F471" s="65"/>
      <c r="H471" s="65"/>
      <c r="J471" s="65"/>
      <c r="K471" s="65"/>
      <c r="L471" s="65"/>
    </row>
    <row r="472" ht="15.75" customHeight="1">
      <c r="C472" s="65"/>
      <c r="D472" s="65"/>
      <c r="E472" s="65"/>
      <c r="F472" s="65"/>
      <c r="H472" s="65"/>
      <c r="J472" s="65"/>
      <c r="K472" s="65"/>
      <c r="L472" s="65"/>
    </row>
    <row r="473" ht="15.75" customHeight="1">
      <c r="C473" s="65"/>
      <c r="D473" s="65"/>
      <c r="E473" s="65"/>
      <c r="F473" s="65"/>
      <c r="H473" s="65"/>
      <c r="J473" s="65"/>
      <c r="K473" s="65"/>
      <c r="L473" s="65"/>
    </row>
    <row r="474" ht="15.75" customHeight="1">
      <c r="C474" s="65"/>
      <c r="D474" s="65"/>
      <c r="E474" s="65"/>
      <c r="F474" s="65"/>
      <c r="H474" s="65"/>
      <c r="J474" s="65"/>
      <c r="K474" s="65"/>
      <c r="L474" s="65"/>
    </row>
    <row r="475" ht="15.75" customHeight="1">
      <c r="C475" s="65"/>
      <c r="D475" s="65"/>
      <c r="E475" s="65"/>
      <c r="F475" s="65"/>
      <c r="H475" s="65"/>
      <c r="J475" s="65"/>
      <c r="K475" s="65"/>
      <c r="L475" s="65"/>
    </row>
    <row r="476" ht="15.75" customHeight="1">
      <c r="C476" s="65"/>
      <c r="D476" s="65"/>
      <c r="E476" s="65"/>
      <c r="F476" s="65"/>
      <c r="H476" s="65"/>
      <c r="J476" s="65"/>
      <c r="K476" s="65"/>
      <c r="L476" s="65"/>
    </row>
    <row r="477" ht="15.75" customHeight="1">
      <c r="C477" s="65"/>
      <c r="D477" s="65"/>
      <c r="E477" s="65"/>
      <c r="F477" s="65"/>
      <c r="H477" s="65"/>
      <c r="J477" s="65"/>
      <c r="K477" s="65"/>
      <c r="L477" s="65"/>
    </row>
    <row r="478" ht="15.75" customHeight="1">
      <c r="C478" s="65"/>
      <c r="D478" s="65"/>
      <c r="E478" s="65"/>
      <c r="F478" s="65"/>
      <c r="H478" s="65"/>
      <c r="J478" s="65"/>
      <c r="K478" s="65"/>
      <c r="L478" s="65"/>
    </row>
    <row r="479" ht="15.75" customHeight="1">
      <c r="C479" s="65"/>
      <c r="D479" s="65"/>
      <c r="E479" s="65"/>
      <c r="F479" s="65"/>
      <c r="H479" s="65"/>
      <c r="J479" s="65"/>
      <c r="K479" s="65"/>
      <c r="L479" s="65"/>
    </row>
    <row r="480" ht="15.75" customHeight="1">
      <c r="C480" s="65"/>
      <c r="D480" s="65"/>
      <c r="E480" s="65"/>
      <c r="F480" s="65"/>
      <c r="H480" s="65"/>
      <c r="J480" s="65"/>
      <c r="K480" s="65"/>
      <c r="L480" s="65"/>
    </row>
    <row r="481" ht="15.75" customHeight="1">
      <c r="C481" s="65"/>
      <c r="D481" s="65"/>
      <c r="E481" s="65"/>
      <c r="F481" s="65"/>
      <c r="H481" s="65"/>
      <c r="J481" s="65"/>
      <c r="K481" s="65"/>
      <c r="L481" s="65"/>
    </row>
    <row r="482" ht="15.75" customHeight="1">
      <c r="C482" s="65"/>
      <c r="D482" s="65"/>
      <c r="E482" s="65"/>
      <c r="F482" s="65"/>
      <c r="H482" s="65"/>
      <c r="J482" s="65"/>
      <c r="K482" s="65"/>
      <c r="L482" s="65"/>
    </row>
    <row r="483" ht="15.75" customHeight="1">
      <c r="C483" s="65"/>
      <c r="D483" s="65"/>
      <c r="E483" s="65"/>
      <c r="F483" s="65"/>
      <c r="H483" s="65"/>
      <c r="J483" s="65"/>
      <c r="K483" s="65"/>
      <c r="L483" s="65"/>
    </row>
    <row r="484" ht="15.75" customHeight="1">
      <c r="C484" s="65"/>
      <c r="D484" s="65"/>
      <c r="E484" s="65"/>
      <c r="F484" s="65"/>
      <c r="H484" s="65"/>
      <c r="J484" s="65"/>
      <c r="K484" s="65"/>
      <c r="L484" s="65"/>
    </row>
    <row r="485" ht="15.75" customHeight="1">
      <c r="C485" s="65"/>
      <c r="D485" s="65"/>
      <c r="E485" s="65"/>
      <c r="F485" s="65"/>
      <c r="H485" s="65"/>
      <c r="J485" s="65"/>
      <c r="K485" s="65"/>
      <c r="L485" s="65"/>
    </row>
    <row r="486" ht="15.75" customHeight="1">
      <c r="C486" s="65"/>
      <c r="D486" s="65"/>
      <c r="E486" s="65"/>
      <c r="F486" s="65"/>
      <c r="H486" s="65"/>
      <c r="J486" s="65"/>
      <c r="K486" s="65"/>
      <c r="L486" s="65"/>
    </row>
    <row r="487" ht="15.75" customHeight="1">
      <c r="C487" s="65"/>
      <c r="D487" s="65"/>
      <c r="E487" s="65"/>
      <c r="F487" s="65"/>
      <c r="H487" s="65"/>
      <c r="J487" s="65"/>
      <c r="K487" s="65"/>
      <c r="L487" s="65"/>
    </row>
    <row r="488" ht="15.75" customHeight="1">
      <c r="C488" s="65"/>
      <c r="D488" s="65"/>
      <c r="E488" s="65"/>
      <c r="F488" s="65"/>
      <c r="H488" s="65"/>
      <c r="J488" s="65"/>
      <c r="K488" s="65"/>
      <c r="L488" s="65"/>
    </row>
    <row r="489" ht="15.75" customHeight="1">
      <c r="C489" s="65"/>
      <c r="D489" s="65"/>
      <c r="E489" s="65"/>
      <c r="F489" s="65"/>
      <c r="H489" s="65"/>
      <c r="J489" s="65"/>
      <c r="K489" s="65"/>
      <c r="L489" s="65"/>
    </row>
    <row r="490" ht="15.75" customHeight="1">
      <c r="C490" s="65"/>
      <c r="D490" s="65"/>
      <c r="E490" s="65"/>
      <c r="F490" s="65"/>
      <c r="H490" s="65"/>
      <c r="J490" s="65"/>
      <c r="K490" s="65"/>
      <c r="L490" s="65"/>
    </row>
    <row r="491" ht="15.75" customHeight="1">
      <c r="C491" s="65"/>
      <c r="D491" s="65"/>
      <c r="E491" s="65"/>
      <c r="F491" s="65"/>
      <c r="H491" s="65"/>
      <c r="J491" s="65"/>
      <c r="K491" s="65"/>
      <c r="L491" s="65"/>
    </row>
    <row r="492" ht="15.75" customHeight="1">
      <c r="C492" s="65"/>
      <c r="D492" s="65"/>
      <c r="E492" s="65"/>
      <c r="F492" s="65"/>
      <c r="H492" s="65"/>
      <c r="J492" s="65"/>
      <c r="K492" s="65"/>
      <c r="L492" s="65"/>
    </row>
    <row r="493" ht="15.75" customHeight="1">
      <c r="C493" s="65"/>
      <c r="D493" s="65"/>
      <c r="E493" s="65"/>
      <c r="F493" s="65"/>
      <c r="H493" s="65"/>
      <c r="J493" s="65"/>
      <c r="K493" s="65"/>
      <c r="L493" s="65"/>
    </row>
    <row r="494" ht="15.75" customHeight="1">
      <c r="C494" s="65"/>
      <c r="D494" s="65"/>
      <c r="E494" s="65"/>
      <c r="F494" s="65"/>
      <c r="H494" s="65"/>
      <c r="J494" s="65"/>
      <c r="K494" s="65"/>
      <c r="L494" s="65"/>
    </row>
    <row r="495" ht="15.75" customHeight="1">
      <c r="C495" s="65"/>
      <c r="D495" s="65"/>
      <c r="E495" s="65"/>
      <c r="F495" s="65"/>
      <c r="H495" s="65"/>
      <c r="J495" s="65"/>
      <c r="K495" s="65"/>
      <c r="L495" s="65"/>
    </row>
    <row r="496" ht="15.75" customHeight="1">
      <c r="C496" s="65"/>
      <c r="D496" s="65"/>
      <c r="E496" s="65"/>
      <c r="F496" s="65"/>
      <c r="H496" s="65"/>
      <c r="J496" s="65"/>
      <c r="K496" s="65"/>
      <c r="L496" s="65"/>
    </row>
    <row r="497" ht="15.75" customHeight="1">
      <c r="C497" s="65"/>
      <c r="D497" s="65"/>
      <c r="E497" s="65"/>
      <c r="F497" s="65"/>
      <c r="H497" s="65"/>
      <c r="J497" s="65"/>
      <c r="K497" s="65"/>
      <c r="L497" s="65"/>
    </row>
    <row r="498" ht="15.75" customHeight="1">
      <c r="C498" s="65"/>
      <c r="D498" s="65"/>
      <c r="E498" s="65"/>
      <c r="F498" s="65"/>
      <c r="H498" s="65"/>
      <c r="J498" s="65"/>
      <c r="K498" s="65"/>
      <c r="L498" s="65"/>
    </row>
    <row r="499" ht="15.75" customHeight="1">
      <c r="C499" s="65"/>
      <c r="D499" s="65"/>
      <c r="E499" s="65"/>
      <c r="F499" s="65"/>
      <c r="H499" s="65"/>
      <c r="J499" s="65"/>
      <c r="K499" s="65"/>
      <c r="L499" s="65"/>
    </row>
    <row r="500" ht="15.75" customHeight="1">
      <c r="C500" s="65"/>
      <c r="D500" s="65"/>
      <c r="E500" s="65"/>
      <c r="F500" s="65"/>
      <c r="H500" s="65"/>
      <c r="J500" s="65"/>
      <c r="K500" s="65"/>
      <c r="L500" s="65"/>
    </row>
    <row r="501" ht="15.75" customHeight="1">
      <c r="C501" s="65"/>
      <c r="D501" s="65"/>
      <c r="E501" s="65"/>
      <c r="F501" s="65"/>
      <c r="H501" s="65"/>
      <c r="J501" s="65"/>
      <c r="K501" s="65"/>
      <c r="L501" s="65"/>
    </row>
    <row r="502" ht="15.75" customHeight="1">
      <c r="C502" s="65"/>
      <c r="D502" s="65"/>
      <c r="E502" s="65"/>
      <c r="F502" s="65"/>
      <c r="H502" s="65"/>
      <c r="J502" s="65"/>
      <c r="K502" s="65"/>
      <c r="L502" s="65"/>
    </row>
    <row r="503" ht="15.75" customHeight="1">
      <c r="C503" s="65"/>
      <c r="D503" s="65"/>
      <c r="E503" s="65"/>
      <c r="F503" s="65"/>
      <c r="H503" s="65"/>
      <c r="J503" s="65"/>
      <c r="K503" s="65"/>
      <c r="L503" s="65"/>
    </row>
    <row r="504" ht="15.75" customHeight="1">
      <c r="C504" s="65"/>
      <c r="D504" s="65"/>
      <c r="E504" s="65"/>
      <c r="F504" s="65"/>
      <c r="H504" s="65"/>
      <c r="J504" s="65"/>
      <c r="K504" s="65"/>
      <c r="L504" s="65"/>
    </row>
    <row r="505" ht="15.75" customHeight="1">
      <c r="C505" s="65"/>
      <c r="D505" s="65"/>
      <c r="E505" s="65"/>
      <c r="F505" s="65"/>
      <c r="H505" s="65"/>
      <c r="J505" s="65"/>
      <c r="K505" s="65"/>
      <c r="L505" s="65"/>
    </row>
    <row r="506" ht="15.75" customHeight="1">
      <c r="C506" s="65"/>
      <c r="D506" s="65"/>
      <c r="E506" s="65"/>
      <c r="F506" s="65"/>
      <c r="H506" s="65"/>
      <c r="J506" s="65"/>
      <c r="K506" s="65"/>
      <c r="L506" s="65"/>
    </row>
    <row r="507" ht="15.75" customHeight="1">
      <c r="C507" s="65"/>
      <c r="D507" s="65"/>
      <c r="E507" s="65"/>
      <c r="F507" s="65"/>
      <c r="H507" s="65"/>
      <c r="J507" s="65"/>
      <c r="K507" s="65"/>
      <c r="L507" s="65"/>
    </row>
    <row r="508" ht="15.75" customHeight="1">
      <c r="C508" s="65"/>
      <c r="D508" s="65"/>
      <c r="E508" s="65"/>
      <c r="F508" s="65"/>
      <c r="H508" s="65"/>
      <c r="J508" s="65"/>
      <c r="K508" s="65"/>
      <c r="L508" s="65"/>
    </row>
    <row r="509" ht="15.75" customHeight="1">
      <c r="C509" s="65"/>
      <c r="D509" s="65"/>
      <c r="E509" s="65"/>
      <c r="F509" s="65"/>
      <c r="H509" s="65"/>
      <c r="J509" s="65"/>
      <c r="K509" s="65"/>
      <c r="L509" s="65"/>
    </row>
    <row r="510" ht="15.75" customHeight="1">
      <c r="C510" s="65"/>
      <c r="D510" s="65"/>
      <c r="E510" s="65"/>
      <c r="F510" s="65"/>
      <c r="H510" s="65"/>
      <c r="J510" s="65"/>
      <c r="K510" s="65"/>
      <c r="L510" s="65"/>
    </row>
    <row r="511" ht="15.75" customHeight="1">
      <c r="C511" s="65"/>
      <c r="D511" s="65"/>
      <c r="E511" s="65"/>
      <c r="F511" s="65"/>
      <c r="H511" s="65"/>
      <c r="J511" s="65"/>
      <c r="K511" s="65"/>
      <c r="L511" s="65"/>
    </row>
    <row r="512" ht="15.75" customHeight="1">
      <c r="C512" s="65"/>
      <c r="D512" s="65"/>
      <c r="E512" s="65"/>
      <c r="F512" s="65"/>
      <c r="H512" s="65"/>
      <c r="J512" s="65"/>
      <c r="K512" s="65"/>
      <c r="L512" s="65"/>
    </row>
    <row r="513" ht="15.75" customHeight="1">
      <c r="C513" s="65"/>
      <c r="D513" s="65"/>
      <c r="E513" s="65"/>
      <c r="F513" s="65"/>
      <c r="H513" s="65"/>
      <c r="J513" s="65"/>
      <c r="K513" s="65"/>
      <c r="L513" s="65"/>
    </row>
    <row r="514" ht="15.75" customHeight="1">
      <c r="C514" s="65"/>
      <c r="D514" s="65"/>
      <c r="E514" s="65"/>
      <c r="F514" s="65"/>
      <c r="H514" s="65"/>
      <c r="J514" s="65"/>
      <c r="K514" s="65"/>
      <c r="L514" s="65"/>
    </row>
    <row r="515" ht="15.75" customHeight="1">
      <c r="C515" s="65"/>
      <c r="D515" s="65"/>
      <c r="E515" s="65"/>
      <c r="F515" s="65"/>
      <c r="H515" s="65"/>
      <c r="J515" s="65"/>
      <c r="K515" s="65"/>
      <c r="L515" s="65"/>
    </row>
    <row r="516" ht="15.75" customHeight="1">
      <c r="C516" s="65"/>
      <c r="D516" s="65"/>
      <c r="E516" s="65"/>
      <c r="F516" s="65"/>
      <c r="H516" s="65"/>
      <c r="J516" s="65"/>
      <c r="K516" s="65"/>
      <c r="L516" s="65"/>
    </row>
    <row r="517" ht="15.75" customHeight="1">
      <c r="C517" s="65"/>
      <c r="D517" s="65"/>
      <c r="E517" s="65"/>
      <c r="F517" s="65"/>
      <c r="H517" s="65"/>
      <c r="J517" s="65"/>
      <c r="K517" s="65"/>
      <c r="L517" s="65"/>
    </row>
    <row r="518" ht="15.75" customHeight="1">
      <c r="C518" s="65"/>
      <c r="D518" s="65"/>
      <c r="E518" s="65"/>
      <c r="F518" s="65"/>
      <c r="H518" s="65"/>
      <c r="J518" s="65"/>
      <c r="K518" s="65"/>
      <c r="L518" s="65"/>
    </row>
    <row r="519" ht="15.75" customHeight="1">
      <c r="C519" s="65"/>
      <c r="D519" s="65"/>
      <c r="E519" s="65"/>
      <c r="F519" s="65"/>
      <c r="H519" s="65"/>
      <c r="J519" s="65"/>
      <c r="K519" s="65"/>
      <c r="L519" s="65"/>
    </row>
    <row r="520" ht="15.75" customHeight="1">
      <c r="C520" s="65"/>
      <c r="D520" s="65"/>
      <c r="E520" s="65"/>
      <c r="F520" s="65"/>
      <c r="H520" s="65"/>
      <c r="J520" s="65"/>
      <c r="K520" s="65"/>
      <c r="L520" s="65"/>
    </row>
    <row r="521" ht="15.75" customHeight="1">
      <c r="C521" s="65"/>
      <c r="D521" s="65"/>
      <c r="E521" s="65"/>
      <c r="F521" s="65"/>
      <c r="H521" s="65"/>
      <c r="J521" s="65"/>
      <c r="K521" s="65"/>
      <c r="L521" s="65"/>
    </row>
    <row r="522" ht="15.75" customHeight="1">
      <c r="C522" s="65"/>
      <c r="D522" s="65"/>
      <c r="E522" s="65"/>
      <c r="F522" s="65"/>
      <c r="H522" s="65"/>
      <c r="J522" s="65"/>
      <c r="K522" s="65"/>
      <c r="L522" s="65"/>
    </row>
    <row r="523" ht="15.75" customHeight="1">
      <c r="C523" s="65"/>
      <c r="D523" s="65"/>
      <c r="E523" s="65"/>
      <c r="F523" s="65"/>
      <c r="H523" s="65"/>
      <c r="J523" s="65"/>
      <c r="K523" s="65"/>
      <c r="L523" s="65"/>
    </row>
    <row r="524" ht="15.75" customHeight="1">
      <c r="C524" s="65"/>
      <c r="D524" s="65"/>
      <c r="E524" s="65"/>
      <c r="F524" s="65"/>
      <c r="H524" s="65"/>
      <c r="J524" s="65"/>
      <c r="K524" s="65"/>
      <c r="L524" s="65"/>
    </row>
    <row r="525" ht="15.75" customHeight="1">
      <c r="C525" s="65"/>
      <c r="D525" s="65"/>
      <c r="E525" s="65"/>
      <c r="F525" s="65"/>
      <c r="H525" s="65"/>
      <c r="J525" s="65"/>
      <c r="K525" s="65"/>
      <c r="L525" s="65"/>
    </row>
    <row r="526" ht="15.75" customHeight="1">
      <c r="C526" s="65"/>
      <c r="D526" s="65"/>
      <c r="E526" s="65"/>
      <c r="F526" s="65"/>
      <c r="H526" s="65"/>
      <c r="J526" s="65"/>
      <c r="K526" s="65"/>
      <c r="L526" s="65"/>
    </row>
    <row r="527" ht="15.75" customHeight="1">
      <c r="C527" s="65"/>
      <c r="D527" s="65"/>
      <c r="E527" s="65"/>
      <c r="F527" s="65"/>
      <c r="H527" s="65"/>
      <c r="J527" s="65"/>
      <c r="K527" s="65"/>
      <c r="L527" s="65"/>
    </row>
    <row r="528" ht="15.75" customHeight="1">
      <c r="C528" s="65"/>
      <c r="D528" s="65"/>
      <c r="E528" s="65"/>
      <c r="F528" s="65"/>
      <c r="H528" s="65"/>
      <c r="J528" s="65"/>
      <c r="K528" s="65"/>
      <c r="L528" s="65"/>
    </row>
    <row r="529" ht="15.75" customHeight="1">
      <c r="C529" s="65"/>
      <c r="D529" s="65"/>
      <c r="E529" s="65"/>
      <c r="F529" s="65"/>
      <c r="H529" s="65"/>
      <c r="J529" s="65"/>
      <c r="K529" s="65"/>
      <c r="L529" s="65"/>
    </row>
    <row r="530" ht="15.75" customHeight="1">
      <c r="C530" s="65"/>
      <c r="D530" s="65"/>
      <c r="E530" s="65"/>
      <c r="F530" s="65"/>
      <c r="H530" s="65"/>
      <c r="J530" s="65"/>
      <c r="K530" s="65"/>
      <c r="L530" s="65"/>
    </row>
    <row r="531" ht="15.75" customHeight="1">
      <c r="C531" s="65"/>
      <c r="D531" s="65"/>
      <c r="E531" s="65"/>
      <c r="F531" s="65"/>
      <c r="H531" s="65"/>
      <c r="J531" s="65"/>
      <c r="K531" s="65"/>
      <c r="L531" s="65"/>
    </row>
    <row r="532" ht="15.75" customHeight="1">
      <c r="C532" s="65"/>
      <c r="D532" s="65"/>
      <c r="E532" s="65"/>
      <c r="F532" s="65"/>
      <c r="H532" s="65"/>
      <c r="J532" s="65"/>
      <c r="K532" s="65"/>
      <c r="L532" s="65"/>
    </row>
    <row r="533" ht="15.75" customHeight="1">
      <c r="C533" s="65"/>
      <c r="D533" s="65"/>
      <c r="E533" s="65"/>
      <c r="F533" s="65"/>
      <c r="H533" s="65"/>
      <c r="J533" s="65"/>
      <c r="K533" s="65"/>
      <c r="L533" s="65"/>
    </row>
    <row r="534" ht="15.75" customHeight="1">
      <c r="C534" s="65"/>
      <c r="D534" s="65"/>
      <c r="E534" s="65"/>
      <c r="F534" s="65"/>
      <c r="H534" s="65"/>
      <c r="J534" s="65"/>
      <c r="K534" s="65"/>
      <c r="L534" s="65"/>
    </row>
    <row r="535" ht="15.75" customHeight="1">
      <c r="C535" s="65"/>
      <c r="D535" s="65"/>
      <c r="E535" s="65"/>
      <c r="F535" s="65"/>
      <c r="H535" s="65"/>
      <c r="J535" s="65"/>
      <c r="K535" s="65"/>
      <c r="L535" s="65"/>
    </row>
    <row r="536" ht="15.75" customHeight="1">
      <c r="C536" s="65"/>
      <c r="D536" s="65"/>
      <c r="E536" s="65"/>
      <c r="F536" s="65"/>
      <c r="H536" s="65"/>
      <c r="J536" s="65"/>
      <c r="K536" s="65"/>
      <c r="L536" s="65"/>
    </row>
    <row r="537" ht="15.75" customHeight="1">
      <c r="C537" s="65"/>
      <c r="D537" s="65"/>
      <c r="E537" s="65"/>
      <c r="F537" s="65"/>
      <c r="H537" s="65"/>
      <c r="J537" s="65"/>
      <c r="K537" s="65"/>
      <c r="L537" s="65"/>
    </row>
    <row r="538" ht="15.75" customHeight="1">
      <c r="C538" s="65"/>
      <c r="D538" s="65"/>
      <c r="E538" s="65"/>
      <c r="F538" s="65"/>
      <c r="H538" s="65"/>
      <c r="J538" s="65"/>
      <c r="K538" s="65"/>
      <c r="L538" s="65"/>
    </row>
    <row r="539" ht="15.75" customHeight="1">
      <c r="C539" s="65"/>
      <c r="D539" s="65"/>
      <c r="E539" s="65"/>
      <c r="F539" s="65"/>
      <c r="H539" s="65"/>
      <c r="J539" s="65"/>
      <c r="K539" s="65"/>
      <c r="L539" s="65"/>
    </row>
    <row r="540" ht="15.75" customHeight="1">
      <c r="C540" s="65"/>
      <c r="D540" s="65"/>
      <c r="E540" s="65"/>
      <c r="F540" s="65"/>
      <c r="H540" s="65"/>
      <c r="J540" s="65"/>
      <c r="K540" s="65"/>
      <c r="L540" s="65"/>
    </row>
    <row r="541" ht="15.75" customHeight="1">
      <c r="C541" s="65"/>
      <c r="D541" s="65"/>
      <c r="E541" s="65"/>
      <c r="F541" s="65"/>
      <c r="H541" s="65"/>
      <c r="J541" s="65"/>
      <c r="K541" s="65"/>
      <c r="L541" s="65"/>
    </row>
    <row r="542" ht="15.75" customHeight="1">
      <c r="C542" s="65"/>
      <c r="D542" s="65"/>
      <c r="E542" s="65"/>
      <c r="F542" s="65"/>
      <c r="H542" s="65"/>
      <c r="J542" s="65"/>
      <c r="K542" s="65"/>
      <c r="L542" s="65"/>
    </row>
    <row r="543" ht="15.75" customHeight="1">
      <c r="C543" s="65"/>
      <c r="D543" s="65"/>
      <c r="E543" s="65"/>
      <c r="F543" s="65"/>
      <c r="H543" s="65"/>
      <c r="J543" s="65"/>
      <c r="K543" s="65"/>
      <c r="L543" s="65"/>
    </row>
    <row r="544" ht="15.75" customHeight="1">
      <c r="C544" s="65"/>
      <c r="D544" s="65"/>
      <c r="E544" s="65"/>
      <c r="F544" s="65"/>
      <c r="H544" s="65"/>
      <c r="J544" s="65"/>
      <c r="K544" s="65"/>
      <c r="L544" s="65"/>
    </row>
    <row r="545" ht="15.75" customHeight="1">
      <c r="C545" s="65"/>
      <c r="D545" s="65"/>
      <c r="E545" s="65"/>
      <c r="F545" s="65"/>
      <c r="H545" s="65"/>
      <c r="J545" s="65"/>
      <c r="K545" s="65"/>
      <c r="L545" s="65"/>
    </row>
    <row r="546" ht="15.75" customHeight="1">
      <c r="C546" s="65"/>
      <c r="D546" s="65"/>
      <c r="E546" s="65"/>
      <c r="F546" s="65"/>
      <c r="H546" s="65"/>
      <c r="J546" s="65"/>
      <c r="K546" s="65"/>
      <c r="L546" s="65"/>
    </row>
    <row r="547" ht="15.75" customHeight="1">
      <c r="C547" s="65"/>
      <c r="D547" s="65"/>
      <c r="E547" s="65"/>
      <c r="F547" s="65"/>
      <c r="H547" s="65"/>
      <c r="J547" s="65"/>
      <c r="K547" s="65"/>
      <c r="L547" s="65"/>
    </row>
    <row r="548" ht="15.75" customHeight="1">
      <c r="C548" s="65"/>
      <c r="D548" s="65"/>
      <c r="E548" s="65"/>
      <c r="F548" s="65"/>
      <c r="H548" s="65"/>
      <c r="J548" s="65"/>
      <c r="K548" s="65"/>
      <c r="L548" s="65"/>
    </row>
    <row r="549" ht="15.75" customHeight="1">
      <c r="C549" s="65"/>
      <c r="D549" s="65"/>
      <c r="E549" s="65"/>
      <c r="F549" s="65"/>
      <c r="H549" s="65"/>
      <c r="J549" s="65"/>
      <c r="K549" s="65"/>
      <c r="L549" s="65"/>
    </row>
    <row r="550" ht="15.75" customHeight="1">
      <c r="C550" s="65"/>
      <c r="D550" s="65"/>
      <c r="E550" s="65"/>
      <c r="F550" s="65"/>
      <c r="H550" s="65"/>
      <c r="J550" s="65"/>
      <c r="K550" s="65"/>
      <c r="L550" s="65"/>
    </row>
    <row r="551" ht="15.75" customHeight="1">
      <c r="C551" s="65"/>
      <c r="D551" s="65"/>
      <c r="E551" s="65"/>
      <c r="F551" s="65"/>
      <c r="H551" s="65"/>
      <c r="J551" s="65"/>
      <c r="K551" s="65"/>
      <c r="L551" s="65"/>
    </row>
    <row r="552" ht="15.75" customHeight="1">
      <c r="C552" s="65"/>
      <c r="D552" s="65"/>
      <c r="E552" s="65"/>
      <c r="F552" s="65"/>
      <c r="H552" s="65"/>
      <c r="J552" s="65"/>
      <c r="K552" s="65"/>
      <c r="L552" s="65"/>
    </row>
    <row r="553" ht="15.75" customHeight="1">
      <c r="C553" s="65"/>
      <c r="D553" s="65"/>
      <c r="E553" s="65"/>
      <c r="F553" s="65"/>
      <c r="H553" s="65"/>
      <c r="J553" s="65"/>
      <c r="K553" s="65"/>
      <c r="L553" s="65"/>
    </row>
    <row r="554" ht="15.75" customHeight="1">
      <c r="C554" s="65"/>
      <c r="D554" s="65"/>
      <c r="E554" s="65"/>
      <c r="F554" s="65"/>
      <c r="H554" s="65"/>
      <c r="J554" s="65"/>
      <c r="K554" s="65"/>
      <c r="L554" s="65"/>
    </row>
    <row r="555" ht="15.75" customHeight="1">
      <c r="C555" s="65"/>
      <c r="D555" s="65"/>
      <c r="E555" s="65"/>
      <c r="F555" s="65"/>
      <c r="H555" s="65"/>
      <c r="J555" s="65"/>
      <c r="K555" s="65"/>
      <c r="L555" s="65"/>
    </row>
    <row r="556" ht="15.75" customHeight="1">
      <c r="C556" s="65"/>
      <c r="D556" s="65"/>
      <c r="E556" s="65"/>
      <c r="F556" s="65"/>
      <c r="H556" s="65"/>
      <c r="J556" s="65"/>
      <c r="K556" s="65"/>
      <c r="L556" s="65"/>
    </row>
    <row r="557" ht="15.75" customHeight="1">
      <c r="C557" s="65"/>
      <c r="D557" s="65"/>
      <c r="E557" s="65"/>
      <c r="F557" s="65"/>
      <c r="H557" s="65"/>
      <c r="J557" s="65"/>
      <c r="K557" s="65"/>
      <c r="L557" s="65"/>
    </row>
    <row r="558" ht="15.75" customHeight="1">
      <c r="C558" s="65"/>
      <c r="D558" s="65"/>
      <c r="E558" s="65"/>
      <c r="F558" s="65"/>
      <c r="H558" s="65"/>
      <c r="J558" s="65"/>
      <c r="K558" s="65"/>
      <c r="L558" s="65"/>
    </row>
    <row r="559" ht="15.75" customHeight="1">
      <c r="C559" s="65"/>
      <c r="D559" s="65"/>
      <c r="E559" s="65"/>
      <c r="F559" s="65"/>
      <c r="H559" s="65"/>
      <c r="J559" s="65"/>
      <c r="K559" s="65"/>
      <c r="L559" s="65"/>
    </row>
    <row r="560" ht="15.75" customHeight="1">
      <c r="C560" s="65"/>
      <c r="D560" s="65"/>
      <c r="E560" s="65"/>
      <c r="F560" s="65"/>
      <c r="H560" s="65"/>
      <c r="J560" s="65"/>
      <c r="K560" s="65"/>
      <c r="L560" s="65"/>
    </row>
    <row r="561" ht="15.75" customHeight="1">
      <c r="C561" s="65"/>
      <c r="D561" s="65"/>
      <c r="E561" s="65"/>
      <c r="F561" s="65"/>
      <c r="H561" s="65"/>
      <c r="J561" s="65"/>
      <c r="K561" s="65"/>
      <c r="L561" s="65"/>
    </row>
    <row r="562" ht="15.75" customHeight="1">
      <c r="C562" s="65"/>
      <c r="D562" s="65"/>
      <c r="E562" s="65"/>
      <c r="F562" s="65"/>
      <c r="H562" s="65"/>
      <c r="J562" s="65"/>
      <c r="K562" s="65"/>
      <c r="L562" s="65"/>
    </row>
    <row r="563" ht="15.75" customHeight="1">
      <c r="C563" s="65"/>
      <c r="D563" s="65"/>
      <c r="E563" s="65"/>
      <c r="F563" s="65"/>
      <c r="H563" s="65"/>
      <c r="J563" s="65"/>
      <c r="K563" s="65"/>
      <c r="L563" s="65"/>
    </row>
    <row r="564" ht="15.75" customHeight="1">
      <c r="C564" s="65"/>
      <c r="D564" s="65"/>
      <c r="E564" s="65"/>
      <c r="F564" s="65"/>
      <c r="H564" s="65"/>
      <c r="J564" s="65"/>
      <c r="K564" s="65"/>
      <c r="L564" s="65"/>
    </row>
    <row r="565" ht="15.75" customHeight="1">
      <c r="C565" s="65"/>
      <c r="D565" s="65"/>
      <c r="E565" s="65"/>
      <c r="F565" s="65"/>
      <c r="H565" s="65"/>
      <c r="J565" s="65"/>
      <c r="K565" s="65"/>
      <c r="L565" s="65"/>
    </row>
    <row r="566" ht="15.75" customHeight="1">
      <c r="C566" s="65"/>
      <c r="D566" s="65"/>
      <c r="E566" s="65"/>
      <c r="F566" s="65"/>
      <c r="H566" s="65"/>
      <c r="J566" s="65"/>
      <c r="K566" s="65"/>
      <c r="L566" s="65"/>
    </row>
    <row r="567" ht="15.75" customHeight="1">
      <c r="C567" s="65"/>
      <c r="D567" s="65"/>
      <c r="E567" s="65"/>
      <c r="F567" s="65"/>
      <c r="H567" s="65"/>
      <c r="J567" s="65"/>
      <c r="K567" s="65"/>
      <c r="L567" s="65"/>
    </row>
    <row r="568" ht="15.75" customHeight="1">
      <c r="C568" s="65"/>
      <c r="D568" s="65"/>
      <c r="E568" s="65"/>
      <c r="F568" s="65"/>
      <c r="H568" s="65"/>
      <c r="J568" s="65"/>
      <c r="K568" s="65"/>
      <c r="L568" s="65"/>
    </row>
    <row r="569" ht="15.75" customHeight="1">
      <c r="C569" s="65"/>
      <c r="D569" s="65"/>
      <c r="E569" s="65"/>
      <c r="F569" s="65"/>
      <c r="H569" s="65"/>
      <c r="J569" s="65"/>
      <c r="K569" s="65"/>
      <c r="L569" s="65"/>
    </row>
    <row r="570" ht="15.75" customHeight="1">
      <c r="C570" s="65"/>
      <c r="D570" s="65"/>
      <c r="E570" s="65"/>
      <c r="F570" s="65"/>
      <c r="H570" s="65"/>
      <c r="J570" s="65"/>
      <c r="K570" s="65"/>
      <c r="L570" s="65"/>
    </row>
    <row r="571" ht="15.75" customHeight="1">
      <c r="C571" s="65"/>
      <c r="D571" s="65"/>
      <c r="E571" s="65"/>
      <c r="F571" s="65"/>
      <c r="H571" s="65"/>
      <c r="J571" s="65"/>
      <c r="K571" s="65"/>
      <c r="L571" s="65"/>
    </row>
    <row r="572" ht="15.75" customHeight="1">
      <c r="C572" s="65"/>
      <c r="D572" s="65"/>
      <c r="E572" s="65"/>
      <c r="F572" s="65"/>
      <c r="H572" s="65"/>
      <c r="J572" s="65"/>
      <c r="K572" s="65"/>
      <c r="L572" s="65"/>
    </row>
    <row r="573" ht="15.75" customHeight="1">
      <c r="C573" s="65"/>
      <c r="D573" s="65"/>
      <c r="E573" s="65"/>
      <c r="F573" s="65"/>
      <c r="H573" s="65"/>
      <c r="J573" s="65"/>
      <c r="K573" s="65"/>
      <c r="L573" s="65"/>
    </row>
    <row r="574" ht="15.75" customHeight="1">
      <c r="C574" s="65"/>
      <c r="D574" s="65"/>
      <c r="E574" s="65"/>
      <c r="F574" s="65"/>
      <c r="H574" s="65"/>
      <c r="J574" s="65"/>
      <c r="K574" s="65"/>
      <c r="L574" s="65"/>
    </row>
    <row r="575" ht="15.75" customHeight="1">
      <c r="C575" s="65"/>
      <c r="D575" s="65"/>
      <c r="E575" s="65"/>
      <c r="F575" s="65"/>
      <c r="H575" s="65"/>
      <c r="J575" s="65"/>
      <c r="K575" s="65"/>
      <c r="L575" s="65"/>
    </row>
    <row r="576" ht="15.75" customHeight="1">
      <c r="C576" s="65"/>
      <c r="D576" s="65"/>
      <c r="E576" s="65"/>
      <c r="F576" s="65"/>
      <c r="H576" s="65"/>
      <c r="J576" s="65"/>
      <c r="K576" s="65"/>
      <c r="L576" s="65"/>
    </row>
    <row r="577" ht="15.75" customHeight="1">
      <c r="C577" s="65"/>
      <c r="D577" s="65"/>
      <c r="E577" s="65"/>
      <c r="F577" s="65"/>
      <c r="H577" s="65"/>
      <c r="J577" s="65"/>
      <c r="K577" s="65"/>
      <c r="L577" s="65"/>
    </row>
    <row r="578" ht="15.75" customHeight="1">
      <c r="C578" s="65"/>
      <c r="D578" s="65"/>
      <c r="E578" s="65"/>
      <c r="F578" s="65"/>
      <c r="H578" s="65"/>
      <c r="J578" s="65"/>
      <c r="K578" s="65"/>
      <c r="L578" s="65"/>
    </row>
    <row r="579" ht="15.75" customHeight="1">
      <c r="C579" s="65"/>
      <c r="D579" s="65"/>
      <c r="E579" s="65"/>
      <c r="F579" s="65"/>
      <c r="H579" s="65"/>
      <c r="J579" s="65"/>
      <c r="K579" s="65"/>
      <c r="L579" s="65"/>
    </row>
    <row r="580" ht="15.75" customHeight="1">
      <c r="C580" s="65"/>
      <c r="D580" s="65"/>
      <c r="E580" s="65"/>
      <c r="F580" s="65"/>
      <c r="H580" s="65"/>
      <c r="J580" s="65"/>
      <c r="K580" s="65"/>
      <c r="L580" s="65"/>
    </row>
    <row r="581" ht="15.75" customHeight="1">
      <c r="C581" s="65"/>
      <c r="D581" s="65"/>
      <c r="E581" s="65"/>
      <c r="F581" s="65"/>
      <c r="H581" s="65"/>
      <c r="J581" s="65"/>
      <c r="K581" s="65"/>
      <c r="L581" s="65"/>
    </row>
    <row r="582" ht="15.75" customHeight="1">
      <c r="C582" s="65"/>
      <c r="D582" s="65"/>
      <c r="E582" s="65"/>
      <c r="F582" s="65"/>
      <c r="H582" s="65"/>
      <c r="J582" s="65"/>
      <c r="K582" s="65"/>
      <c r="L582" s="65"/>
    </row>
    <row r="583" ht="15.75" customHeight="1">
      <c r="C583" s="65"/>
      <c r="D583" s="65"/>
      <c r="E583" s="65"/>
      <c r="F583" s="65"/>
      <c r="H583" s="65"/>
      <c r="J583" s="65"/>
      <c r="K583" s="65"/>
      <c r="L583" s="65"/>
    </row>
    <row r="584" ht="15.75" customHeight="1">
      <c r="C584" s="65"/>
      <c r="D584" s="65"/>
      <c r="E584" s="65"/>
      <c r="F584" s="65"/>
      <c r="H584" s="65"/>
      <c r="J584" s="65"/>
      <c r="K584" s="65"/>
      <c r="L584" s="65"/>
    </row>
    <row r="585" ht="15.75" customHeight="1">
      <c r="C585" s="65"/>
      <c r="D585" s="65"/>
      <c r="E585" s="65"/>
      <c r="F585" s="65"/>
      <c r="H585" s="65"/>
      <c r="J585" s="65"/>
      <c r="K585" s="65"/>
      <c r="L585" s="65"/>
    </row>
    <row r="586" ht="15.75" customHeight="1">
      <c r="C586" s="65"/>
      <c r="D586" s="65"/>
      <c r="E586" s="65"/>
      <c r="F586" s="65"/>
      <c r="H586" s="65"/>
      <c r="J586" s="65"/>
      <c r="K586" s="65"/>
      <c r="L586" s="65"/>
    </row>
    <row r="587" ht="15.75" customHeight="1">
      <c r="C587" s="65"/>
      <c r="D587" s="65"/>
      <c r="E587" s="65"/>
      <c r="F587" s="65"/>
      <c r="H587" s="65"/>
      <c r="J587" s="65"/>
      <c r="K587" s="65"/>
      <c r="L587" s="65"/>
    </row>
    <row r="588" ht="15.75" customHeight="1">
      <c r="C588" s="65"/>
      <c r="D588" s="65"/>
      <c r="E588" s="65"/>
      <c r="F588" s="65"/>
      <c r="H588" s="65"/>
      <c r="J588" s="65"/>
      <c r="K588" s="65"/>
      <c r="L588" s="65"/>
    </row>
    <row r="589" ht="15.75" customHeight="1">
      <c r="C589" s="65"/>
      <c r="D589" s="65"/>
      <c r="E589" s="65"/>
      <c r="F589" s="65"/>
      <c r="H589" s="65"/>
      <c r="J589" s="65"/>
      <c r="K589" s="65"/>
      <c r="L589" s="65"/>
    </row>
    <row r="590" ht="15.75" customHeight="1">
      <c r="C590" s="65"/>
      <c r="D590" s="65"/>
      <c r="E590" s="65"/>
      <c r="F590" s="65"/>
      <c r="H590" s="65"/>
      <c r="J590" s="65"/>
      <c r="K590" s="65"/>
      <c r="L590" s="65"/>
    </row>
    <row r="591" ht="15.75" customHeight="1">
      <c r="C591" s="65"/>
      <c r="D591" s="65"/>
      <c r="E591" s="65"/>
      <c r="F591" s="65"/>
      <c r="H591" s="65"/>
      <c r="J591" s="65"/>
      <c r="K591" s="65"/>
      <c r="L591" s="65"/>
    </row>
    <row r="592" ht="15.75" customHeight="1">
      <c r="C592" s="65"/>
      <c r="D592" s="65"/>
      <c r="E592" s="65"/>
      <c r="F592" s="65"/>
      <c r="H592" s="65"/>
      <c r="J592" s="65"/>
      <c r="K592" s="65"/>
      <c r="L592" s="65"/>
    </row>
    <row r="593" ht="15.75" customHeight="1">
      <c r="C593" s="65"/>
      <c r="D593" s="65"/>
      <c r="E593" s="65"/>
      <c r="F593" s="65"/>
      <c r="H593" s="65"/>
      <c r="J593" s="65"/>
      <c r="K593" s="65"/>
      <c r="L593" s="65"/>
    </row>
    <row r="594" ht="15.75" customHeight="1">
      <c r="C594" s="65"/>
      <c r="D594" s="65"/>
      <c r="E594" s="65"/>
      <c r="F594" s="65"/>
      <c r="H594" s="65"/>
      <c r="J594" s="65"/>
      <c r="K594" s="65"/>
      <c r="L594" s="65"/>
    </row>
    <row r="595" ht="15.75" customHeight="1">
      <c r="C595" s="65"/>
      <c r="D595" s="65"/>
      <c r="E595" s="65"/>
      <c r="F595" s="65"/>
      <c r="H595" s="65"/>
      <c r="J595" s="65"/>
      <c r="K595" s="65"/>
      <c r="L595" s="65"/>
    </row>
    <row r="596" ht="15.75" customHeight="1">
      <c r="C596" s="65"/>
      <c r="D596" s="65"/>
      <c r="E596" s="65"/>
      <c r="F596" s="65"/>
      <c r="H596" s="65"/>
      <c r="J596" s="65"/>
      <c r="K596" s="65"/>
      <c r="L596" s="65"/>
    </row>
    <row r="597" ht="15.75" customHeight="1">
      <c r="C597" s="65"/>
      <c r="D597" s="65"/>
      <c r="E597" s="65"/>
      <c r="F597" s="65"/>
      <c r="H597" s="65"/>
      <c r="J597" s="65"/>
      <c r="K597" s="65"/>
      <c r="L597" s="65"/>
    </row>
    <row r="598" ht="15.75" customHeight="1">
      <c r="C598" s="65"/>
      <c r="D598" s="65"/>
      <c r="E598" s="65"/>
      <c r="F598" s="65"/>
      <c r="H598" s="65"/>
      <c r="J598" s="65"/>
      <c r="K598" s="65"/>
      <c r="L598" s="65"/>
    </row>
    <row r="599" ht="15.75" customHeight="1">
      <c r="C599" s="65"/>
      <c r="D599" s="65"/>
      <c r="E599" s="65"/>
      <c r="F599" s="65"/>
      <c r="H599" s="65"/>
      <c r="J599" s="65"/>
      <c r="K599" s="65"/>
      <c r="L599" s="65"/>
    </row>
    <row r="600" ht="15.75" customHeight="1">
      <c r="C600" s="65"/>
      <c r="D600" s="65"/>
      <c r="E600" s="65"/>
      <c r="F600" s="65"/>
      <c r="H600" s="65"/>
      <c r="J600" s="65"/>
      <c r="K600" s="65"/>
      <c r="L600" s="65"/>
    </row>
    <row r="601" ht="15.75" customHeight="1">
      <c r="C601" s="65"/>
      <c r="D601" s="65"/>
      <c r="E601" s="65"/>
      <c r="F601" s="65"/>
      <c r="H601" s="65"/>
      <c r="J601" s="65"/>
      <c r="K601" s="65"/>
      <c r="L601" s="65"/>
    </row>
    <row r="602" ht="15.75" customHeight="1">
      <c r="C602" s="65"/>
      <c r="D602" s="65"/>
      <c r="E602" s="65"/>
      <c r="F602" s="65"/>
      <c r="H602" s="65"/>
      <c r="J602" s="65"/>
      <c r="K602" s="65"/>
      <c r="L602" s="65"/>
    </row>
    <row r="603" ht="15.75" customHeight="1">
      <c r="C603" s="65"/>
      <c r="D603" s="65"/>
      <c r="E603" s="65"/>
      <c r="F603" s="65"/>
      <c r="H603" s="65"/>
      <c r="J603" s="65"/>
      <c r="K603" s="65"/>
      <c r="L603" s="65"/>
    </row>
    <row r="604" ht="15.75" customHeight="1">
      <c r="C604" s="65"/>
      <c r="D604" s="65"/>
      <c r="E604" s="65"/>
      <c r="F604" s="65"/>
      <c r="H604" s="65"/>
      <c r="J604" s="65"/>
      <c r="K604" s="65"/>
      <c r="L604" s="65"/>
    </row>
    <row r="605" ht="15.75" customHeight="1">
      <c r="C605" s="65"/>
      <c r="D605" s="65"/>
      <c r="E605" s="65"/>
      <c r="F605" s="65"/>
      <c r="H605" s="65"/>
      <c r="J605" s="65"/>
      <c r="K605" s="65"/>
      <c r="L605" s="65"/>
    </row>
    <row r="606" ht="15.75" customHeight="1">
      <c r="C606" s="65"/>
      <c r="D606" s="65"/>
      <c r="E606" s="65"/>
      <c r="F606" s="65"/>
      <c r="H606" s="65"/>
      <c r="J606" s="65"/>
      <c r="K606" s="65"/>
      <c r="L606" s="65"/>
    </row>
    <row r="607" ht="15.75" customHeight="1">
      <c r="C607" s="65"/>
      <c r="D607" s="65"/>
      <c r="E607" s="65"/>
      <c r="F607" s="65"/>
      <c r="H607" s="65"/>
      <c r="J607" s="65"/>
      <c r="K607" s="65"/>
      <c r="L607" s="65"/>
    </row>
    <row r="608" ht="15.75" customHeight="1">
      <c r="C608" s="65"/>
      <c r="D608" s="65"/>
      <c r="E608" s="65"/>
      <c r="F608" s="65"/>
      <c r="H608" s="65"/>
      <c r="J608" s="65"/>
      <c r="K608" s="65"/>
      <c r="L608" s="65"/>
    </row>
    <row r="609" ht="15.75" customHeight="1">
      <c r="C609" s="65"/>
      <c r="D609" s="65"/>
      <c r="E609" s="65"/>
      <c r="F609" s="65"/>
      <c r="H609" s="65"/>
      <c r="J609" s="65"/>
      <c r="K609" s="65"/>
      <c r="L609" s="65"/>
    </row>
    <row r="610" ht="15.75" customHeight="1">
      <c r="C610" s="65"/>
      <c r="D610" s="65"/>
      <c r="E610" s="65"/>
      <c r="F610" s="65"/>
      <c r="H610" s="65"/>
      <c r="J610" s="65"/>
      <c r="K610" s="65"/>
      <c r="L610" s="65"/>
    </row>
    <row r="611" ht="15.75" customHeight="1">
      <c r="C611" s="65"/>
      <c r="D611" s="65"/>
      <c r="E611" s="65"/>
      <c r="F611" s="65"/>
      <c r="H611" s="65"/>
      <c r="J611" s="65"/>
      <c r="K611" s="65"/>
      <c r="L611" s="65"/>
    </row>
    <row r="612" ht="15.75" customHeight="1">
      <c r="C612" s="65"/>
      <c r="D612" s="65"/>
      <c r="E612" s="65"/>
      <c r="F612" s="65"/>
      <c r="H612" s="65"/>
      <c r="J612" s="65"/>
      <c r="K612" s="65"/>
      <c r="L612" s="65"/>
    </row>
    <row r="613" ht="15.75" customHeight="1">
      <c r="C613" s="65"/>
      <c r="D613" s="65"/>
      <c r="E613" s="65"/>
      <c r="F613" s="65"/>
      <c r="H613" s="65"/>
      <c r="J613" s="65"/>
      <c r="K613" s="65"/>
      <c r="L613" s="65"/>
    </row>
    <row r="614" ht="15.75" customHeight="1">
      <c r="C614" s="65"/>
      <c r="D614" s="65"/>
      <c r="E614" s="65"/>
      <c r="F614" s="65"/>
      <c r="H614" s="65"/>
      <c r="J614" s="65"/>
      <c r="K614" s="65"/>
      <c r="L614" s="65"/>
    </row>
    <row r="615" ht="15.75" customHeight="1">
      <c r="C615" s="65"/>
      <c r="D615" s="65"/>
      <c r="E615" s="65"/>
      <c r="F615" s="65"/>
      <c r="H615" s="65"/>
      <c r="J615" s="65"/>
      <c r="K615" s="65"/>
      <c r="L615" s="65"/>
    </row>
    <row r="616" ht="15.75" customHeight="1">
      <c r="C616" s="65"/>
      <c r="D616" s="65"/>
      <c r="E616" s="65"/>
      <c r="F616" s="65"/>
      <c r="H616" s="65"/>
      <c r="J616" s="65"/>
      <c r="K616" s="65"/>
      <c r="L616" s="65"/>
    </row>
    <row r="617" ht="15.75" customHeight="1">
      <c r="C617" s="65"/>
      <c r="D617" s="65"/>
      <c r="E617" s="65"/>
      <c r="F617" s="65"/>
      <c r="H617" s="65"/>
      <c r="J617" s="65"/>
      <c r="K617" s="65"/>
      <c r="L617" s="65"/>
    </row>
    <row r="618" ht="15.75" customHeight="1">
      <c r="C618" s="65"/>
      <c r="D618" s="65"/>
      <c r="E618" s="65"/>
      <c r="F618" s="65"/>
      <c r="H618" s="65"/>
      <c r="J618" s="65"/>
      <c r="K618" s="65"/>
      <c r="L618" s="65"/>
    </row>
    <row r="619" ht="15.75" customHeight="1">
      <c r="C619" s="65"/>
      <c r="D619" s="65"/>
      <c r="E619" s="65"/>
      <c r="F619" s="65"/>
      <c r="H619" s="65"/>
      <c r="J619" s="65"/>
      <c r="K619" s="65"/>
      <c r="L619" s="65"/>
    </row>
    <row r="620" ht="15.75" customHeight="1">
      <c r="C620" s="65"/>
      <c r="D620" s="65"/>
      <c r="E620" s="65"/>
      <c r="F620" s="65"/>
      <c r="H620" s="65"/>
      <c r="J620" s="65"/>
      <c r="K620" s="65"/>
      <c r="L620" s="65"/>
    </row>
    <row r="621" ht="15.75" customHeight="1">
      <c r="C621" s="65"/>
      <c r="D621" s="65"/>
      <c r="E621" s="65"/>
      <c r="F621" s="65"/>
      <c r="H621" s="65"/>
      <c r="J621" s="65"/>
      <c r="K621" s="65"/>
      <c r="L621" s="65"/>
    </row>
    <row r="622" ht="15.75" customHeight="1">
      <c r="C622" s="65"/>
      <c r="D622" s="65"/>
      <c r="E622" s="65"/>
      <c r="F622" s="65"/>
      <c r="H622" s="65"/>
      <c r="J622" s="65"/>
      <c r="K622" s="65"/>
      <c r="L622" s="65"/>
    </row>
    <row r="623" ht="15.75" customHeight="1">
      <c r="C623" s="65"/>
      <c r="D623" s="65"/>
      <c r="E623" s="65"/>
      <c r="F623" s="65"/>
      <c r="H623" s="65"/>
      <c r="J623" s="65"/>
      <c r="K623" s="65"/>
      <c r="L623" s="65"/>
    </row>
    <row r="624" ht="15.75" customHeight="1">
      <c r="C624" s="65"/>
      <c r="D624" s="65"/>
      <c r="E624" s="65"/>
      <c r="F624" s="65"/>
      <c r="H624" s="65"/>
      <c r="J624" s="65"/>
      <c r="K624" s="65"/>
      <c r="L624" s="65"/>
    </row>
    <row r="625" ht="15.75" customHeight="1">
      <c r="C625" s="65"/>
      <c r="D625" s="65"/>
      <c r="E625" s="65"/>
      <c r="F625" s="65"/>
      <c r="H625" s="65"/>
      <c r="J625" s="65"/>
      <c r="K625" s="65"/>
      <c r="L625" s="65"/>
    </row>
    <row r="626" ht="15.75" customHeight="1">
      <c r="C626" s="65"/>
      <c r="D626" s="65"/>
      <c r="E626" s="65"/>
      <c r="F626" s="65"/>
      <c r="H626" s="65"/>
      <c r="J626" s="65"/>
      <c r="K626" s="65"/>
      <c r="L626" s="65"/>
    </row>
    <row r="627" ht="15.75" customHeight="1">
      <c r="C627" s="65"/>
      <c r="D627" s="65"/>
      <c r="E627" s="65"/>
      <c r="F627" s="65"/>
      <c r="H627" s="65"/>
      <c r="J627" s="65"/>
      <c r="K627" s="65"/>
      <c r="L627" s="65"/>
    </row>
    <row r="628" ht="15.75" customHeight="1">
      <c r="C628" s="65"/>
      <c r="D628" s="65"/>
      <c r="E628" s="65"/>
      <c r="F628" s="65"/>
      <c r="H628" s="65"/>
      <c r="J628" s="65"/>
      <c r="K628" s="65"/>
      <c r="L628" s="65"/>
    </row>
    <row r="629" ht="15.75" customHeight="1">
      <c r="C629" s="65"/>
      <c r="D629" s="65"/>
      <c r="E629" s="65"/>
      <c r="F629" s="65"/>
      <c r="H629" s="65"/>
      <c r="J629" s="65"/>
      <c r="K629" s="65"/>
      <c r="L629" s="65"/>
    </row>
    <row r="630" ht="15.75" customHeight="1">
      <c r="C630" s="65"/>
      <c r="D630" s="65"/>
      <c r="E630" s="65"/>
      <c r="F630" s="65"/>
      <c r="H630" s="65"/>
      <c r="J630" s="65"/>
      <c r="K630" s="65"/>
      <c r="L630" s="65"/>
    </row>
    <row r="631" ht="15.75" customHeight="1">
      <c r="C631" s="65"/>
      <c r="D631" s="65"/>
      <c r="E631" s="65"/>
      <c r="F631" s="65"/>
      <c r="H631" s="65"/>
      <c r="J631" s="65"/>
      <c r="K631" s="65"/>
      <c r="L631" s="65"/>
    </row>
    <row r="632" ht="15.75" customHeight="1">
      <c r="C632" s="65"/>
      <c r="D632" s="65"/>
      <c r="E632" s="65"/>
      <c r="F632" s="65"/>
      <c r="H632" s="65"/>
      <c r="J632" s="65"/>
      <c r="K632" s="65"/>
      <c r="L632" s="65"/>
    </row>
    <row r="633" ht="15.75" customHeight="1">
      <c r="C633" s="65"/>
      <c r="D633" s="65"/>
      <c r="E633" s="65"/>
      <c r="F633" s="65"/>
      <c r="H633" s="65"/>
      <c r="J633" s="65"/>
      <c r="K633" s="65"/>
      <c r="L633" s="65"/>
    </row>
    <row r="634" ht="15.75" customHeight="1">
      <c r="C634" s="65"/>
      <c r="D634" s="65"/>
      <c r="E634" s="65"/>
      <c r="F634" s="65"/>
      <c r="H634" s="65"/>
      <c r="J634" s="65"/>
      <c r="K634" s="65"/>
      <c r="L634" s="65"/>
    </row>
    <row r="635" ht="15.75" customHeight="1">
      <c r="C635" s="65"/>
      <c r="D635" s="65"/>
      <c r="E635" s="65"/>
      <c r="F635" s="65"/>
      <c r="H635" s="65"/>
      <c r="J635" s="65"/>
      <c r="K635" s="65"/>
      <c r="L635" s="65"/>
    </row>
    <row r="636" ht="15.75" customHeight="1">
      <c r="C636" s="65"/>
      <c r="D636" s="65"/>
      <c r="E636" s="65"/>
      <c r="F636" s="65"/>
      <c r="H636" s="65"/>
      <c r="J636" s="65"/>
      <c r="K636" s="65"/>
      <c r="L636" s="65"/>
    </row>
    <row r="637" ht="15.75" customHeight="1">
      <c r="C637" s="65"/>
      <c r="D637" s="65"/>
      <c r="E637" s="65"/>
      <c r="F637" s="65"/>
      <c r="H637" s="65"/>
      <c r="J637" s="65"/>
      <c r="K637" s="65"/>
      <c r="L637" s="65"/>
    </row>
    <row r="638" ht="15.75" customHeight="1">
      <c r="C638" s="65"/>
      <c r="D638" s="65"/>
      <c r="E638" s="65"/>
      <c r="F638" s="65"/>
      <c r="H638" s="65"/>
      <c r="J638" s="65"/>
      <c r="K638" s="65"/>
      <c r="L638" s="65"/>
    </row>
    <row r="639" ht="15.75" customHeight="1">
      <c r="C639" s="65"/>
      <c r="D639" s="65"/>
      <c r="E639" s="65"/>
      <c r="F639" s="65"/>
      <c r="H639" s="65"/>
      <c r="J639" s="65"/>
      <c r="K639" s="65"/>
      <c r="L639" s="65"/>
    </row>
    <row r="640" ht="15.75" customHeight="1">
      <c r="C640" s="65"/>
      <c r="D640" s="65"/>
      <c r="E640" s="65"/>
      <c r="F640" s="65"/>
      <c r="H640" s="65"/>
      <c r="J640" s="65"/>
      <c r="K640" s="65"/>
      <c r="L640" s="65"/>
    </row>
    <row r="641" ht="15.75" customHeight="1">
      <c r="C641" s="65"/>
      <c r="D641" s="65"/>
      <c r="E641" s="65"/>
      <c r="F641" s="65"/>
      <c r="H641" s="65"/>
      <c r="J641" s="65"/>
      <c r="K641" s="65"/>
      <c r="L641" s="65"/>
    </row>
    <row r="642" ht="15.75" customHeight="1">
      <c r="C642" s="65"/>
      <c r="D642" s="65"/>
      <c r="E642" s="65"/>
      <c r="F642" s="65"/>
      <c r="H642" s="65"/>
      <c r="J642" s="65"/>
      <c r="K642" s="65"/>
      <c r="L642" s="65"/>
    </row>
    <row r="643" ht="15.75" customHeight="1">
      <c r="C643" s="65"/>
      <c r="D643" s="65"/>
      <c r="E643" s="65"/>
      <c r="F643" s="65"/>
      <c r="H643" s="65"/>
      <c r="J643" s="65"/>
      <c r="K643" s="65"/>
      <c r="L643" s="65"/>
    </row>
    <row r="644" ht="15.75" customHeight="1">
      <c r="C644" s="65"/>
      <c r="D644" s="65"/>
      <c r="E644" s="65"/>
      <c r="F644" s="65"/>
      <c r="H644" s="65"/>
      <c r="J644" s="65"/>
      <c r="K644" s="65"/>
      <c r="L644" s="65"/>
    </row>
    <row r="645" ht="15.75" customHeight="1">
      <c r="C645" s="65"/>
      <c r="D645" s="65"/>
      <c r="E645" s="65"/>
      <c r="F645" s="65"/>
      <c r="H645" s="65"/>
      <c r="J645" s="65"/>
      <c r="K645" s="65"/>
      <c r="L645" s="65"/>
    </row>
    <row r="646" ht="15.75" customHeight="1">
      <c r="C646" s="65"/>
      <c r="D646" s="65"/>
      <c r="E646" s="65"/>
      <c r="F646" s="65"/>
      <c r="H646" s="65"/>
      <c r="J646" s="65"/>
      <c r="K646" s="65"/>
      <c r="L646" s="65"/>
    </row>
    <row r="647" ht="15.75" customHeight="1">
      <c r="C647" s="65"/>
      <c r="D647" s="65"/>
      <c r="E647" s="65"/>
      <c r="F647" s="65"/>
      <c r="H647" s="65"/>
      <c r="J647" s="65"/>
      <c r="K647" s="65"/>
      <c r="L647" s="65"/>
    </row>
    <row r="648" ht="15.75" customHeight="1">
      <c r="C648" s="65"/>
      <c r="D648" s="65"/>
      <c r="E648" s="65"/>
      <c r="F648" s="65"/>
      <c r="H648" s="65"/>
      <c r="J648" s="65"/>
      <c r="K648" s="65"/>
      <c r="L648" s="65"/>
    </row>
    <row r="649" ht="15.75" customHeight="1">
      <c r="C649" s="65"/>
      <c r="D649" s="65"/>
      <c r="E649" s="65"/>
      <c r="F649" s="65"/>
      <c r="H649" s="65"/>
      <c r="J649" s="65"/>
      <c r="K649" s="65"/>
      <c r="L649" s="65"/>
    </row>
    <row r="650" ht="15.75" customHeight="1">
      <c r="C650" s="65"/>
      <c r="D650" s="65"/>
      <c r="E650" s="65"/>
      <c r="F650" s="65"/>
      <c r="H650" s="65"/>
      <c r="J650" s="65"/>
      <c r="K650" s="65"/>
      <c r="L650" s="65"/>
    </row>
    <row r="651" ht="15.75" customHeight="1">
      <c r="C651" s="65"/>
      <c r="D651" s="65"/>
      <c r="E651" s="65"/>
      <c r="F651" s="65"/>
      <c r="H651" s="65"/>
      <c r="J651" s="65"/>
      <c r="K651" s="65"/>
      <c r="L651" s="65"/>
    </row>
    <row r="652" ht="15.75" customHeight="1">
      <c r="C652" s="65"/>
      <c r="D652" s="65"/>
      <c r="E652" s="65"/>
      <c r="F652" s="65"/>
      <c r="H652" s="65"/>
      <c r="J652" s="65"/>
      <c r="K652" s="65"/>
      <c r="L652" s="65"/>
    </row>
    <row r="653" ht="15.75" customHeight="1">
      <c r="C653" s="65"/>
      <c r="D653" s="65"/>
      <c r="E653" s="65"/>
      <c r="F653" s="65"/>
      <c r="H653" s="65"/>
      <c r="J653" s="65"/>
      <c r="K653" s="65"/>
      <c r="L653" s="65"/>
    </row>
    <row r="654" ht="15.75" customHeight="1">
      <c r="C654" s="65"/>
      <c r="D654" s="65"/>
      <c r="E654" s="65"/>
      <c r="F654" s="65"/>
      <c r="H654" s="65"/>
      <c r="J654" s="65"/>
      <c r="K654" s="65"/>
      <c r="L654" s="65"/>
    </row>
    <row r="655" ht="15.75" customHeight="1">
      <c r="C655" s="65"/>
      <c r="D655" s="65"/>
      <c r="E655" s="65"/>
      <c r="F655" s="65"/>
      <c r="H655" s="65"/>
      <c r="J655" s="65"/>
      <c r="K655" s="65"/>
      <c r="L655" s="65"/>
    </row>
    <row r="656" ht="15.75" customHeight="1">
      <c r="C656" s="65"/>
      <c r="D656" s="65"/>
      <c r="E656" s="65"/>
      <c r="F656" s="65"/>
      <c r="H656" s="65"/>
      <c r="J656" s="65"/>
      <c r="K656" s="65"/>
      <c r="L656" s="65"/>
    </row>
    <row r="657" ht="15.75" customHeight="1">
      <c r="C657" s="65"/>
      <c r="D657" s="65"/>
      <c r="E657" s="65"/>
      <c r="F657" s="65"/>
      <c r="H657" s="65"/>
      <c r="J657" s="65"/>
      <c r="K657" s="65"/>
      <c r="L657" s="65"/>
    </row>
    <row r="658" ht="15.75" customHeight="1">
      <c r="C658" s="65"/>
      <c r="D658" s="65"/>
      <c r="E658" s="65"/>
      <c r="F658" s="65"/>
      <c r="H658" s="65"/>
      <c r="J658" s="65"/>
      <c r="K658" s="65"/>
      <c r="L658" s="65"/>
    </row>
    <row r="659" ht="15.75" customHeight="1">
      <c r="C659" s="65"/>
      <c r="D659" s="65"/>
      <c r="E659" s="65"/>
      <c r="F659" s="65"/>
      <c r="H659" s="65"/>
      <c r="J659" s="65"/>
      <c r="K659" s="65"/>
      <c r="L659" s="65"/>
    </row>
    <row r="660" ht="15.75" customHeight="1">
      <c r="C660" s="65"/>
      <c r="D660" s="65"/>
      <c r="E660" s="65"/>
      <c r="F660" s="65"/>
      <c r="H660" s="65"/>
      <c r="J660" s="65"/>
      <c r="K660" s="65"/>
      <c r="L660" s="65"/>
    </row>
    <row r="661" ht="15.75" customHeight="1">
      <c r="C661" s="65"/>
      <c r="D661" s="65"/>
      <c r="E661" s="65"/>
      <c r="F661" s="65"/>
      <c r="H661" s="65"/>
      <c r="J661" s="65"/>
      <c r="K661" s="65"/>
      <c r="L661" s="65"/>
    </row>
    <row r="662" ht="15.75" customHeight="1">
      <c r="C662" s="65"/>
      <c r="D662" s="65"/>
      <c r="E662" s="65"/>
      <c r="F662" s="65"/>
      <c r="H662" s="65"/>
      <c r="J662" s="65"/>
      <c r="K662" s="65"/>
      <c r="L662" s="65"/>
    </row>
    <row r="663" ht="15.75" customHeight="1">
      <c r="C663" s="65"/>
      <c r="D663" s="65"/>
      <c r="E663" s="65"/>
      <c r="F663" s="65"/>
      <c r="H663" s="65"/>
      <c r="J663" s="65"/>
      <c r="K663" s="65"/>
      <c r="L663" s="65"/>
    </row>
    <row r="664" ht="15.75" customHeight="1">
      <c r="C664" s="65"/>
      <c r="D664" s="65"/>
      <c r="E664" s="65"/>
      <c r="F664" s="65"/>
      <c r="H664" s="65"/>
      <c r="J664" s="65"/>
      <c r="K664" s="65"/>
      <c r="L664" s="65"/>
    </row>
    <row r="665" ht="15.75" customHeight="1">
      <c r="C665" s="65"/>
      <c r="D665" s="65"/>
      <c r="E665" s="65"/>
      <c r="F665" s="65"/>
      <c r="H665" s="65"/>
      <c r="J665" s="65"/>
      <c r="K665" s="65"/>
      <c r="L665" s="65"/>
    </row>
    <row r="666" ht="15.75" customHeight="1">
      <c r="C666" s="65"/>
      <c r="D666" s="65"/>
      <c r="E666" s="65"/>
      <c r="F666" s="65"/>
      <c r="H666" s="65"/>
      <c r="J666" s="65"/>
      <c r="K666" s="65"/>
      <c r="L666" s="65"/>
    </row>
    <row r="667" ht="15.75" customHeight="1">
      <c r="C667" s="65"/>
      <c r="D667" s="65"/>
      <c r="E667" s="65"/>
      <c r="F667" s="65"/>
      <c r="H667" s="65"/>
      <c r="J667" s="65"/>
      <c r="K667" s="65"/>
      <c r="L667" s="65"/>
    </row>
    <row r="668" ht="15.75" customHeight="1">
      <c r="C668" s="65"/>
      <c r="D668" s="65"/>
      <c r="E668" s="65"/>
      <c r="F668" s="65"/>
      <c r="H668" s="65"/>
      <c r="J668" s="65"/>
      <c r="K668" s="65"/>
      <c r="L668" s="65"/>
    </row>
    <row r="669" ht="15.75" customHeight="1">
      <c r="C669" s="65"/>
      <c r="D669" s="65"/>
      <c r="E669" s="65"/>
      <c r="F669" s="65"/>
      <c r="H669" s="65"/>
      <c r="J669" s="65"/>
      <c r="K669" s="65"/>
      <c r="L669" s="65"/>
    </row>
    <row r="670" ht="15.75" customHeight="1">
      <c r="C670" s="65"/>
      <c r="D670" s="65"/>
      <c r="E670" s="65"/>
      <c r="F670" s="65"/>
      <c r="H670" s="65"/>
      <c r="J670" s="65"/>
      <c r="K670" s="65"/>
      <c r="L670" s="65"/>
    </row>
    <row r="671" ht="15.75" customHeight="1">
      <c r="C671" s="65"/>
      <c r="D671" s="65"/>
      <c r="E671" s="65"/>
      <c r="F671" s="65"/>
      <c r="H671" s="65"/>
      <c r="J671" s="65"/>
      <c r="K671" s="65"/>
      <c r="L671" s="65"/>
    </row>
    <row r="672" ht="15.75" customHeight="1">
      <c r="C672" s="65"/>
      <c r="D672" s="65"/>
      <c r="E672" s="65"/>
      <c r="F672" s="65"/>
      <c r="H672" s="65"/>
      <c r="J672" s="65"/>
      <c r="K672" s="65"/>
      <c r="L672" s="65"/>
    </row>
    <row r="673" ht="15.75" customHeight="1">
      <c r="C673" s="65"/>
      <c r="D673" s="65"/>
      <c r="E673" s="65"/>
      <c r="F673" s="65"/>
      <c r="H673" s="65"/>
      <c r="J673" s="65"/>
      <c r="K673" s="65"/>
      <c r="L673" s="65"/>
    </row>
    <row r="674" ht="15.75" customHeight="1">
      <c r="C674" s="65"/>
      <c r="D674" s="65"/>
      <c r="E674" s="65"/>
      <c r="F674" s="65"/>
      <c r="H674" s="65"/>
      <c r="J674" s="65"/>
      <c r="K674" s="65"/>
      <c r="L674" s="65"/>
    </row>
    <row r="675" ht="15.75" customHeight="1">
      <c r="C675" s="65"/>
      <c r="D675" s="65"/>
      <c r="E675" s="65"/>
      <c r="F675" s="65"/>
      <c r="H675" s="65"/>
      <c r="J675" s="65"/>
      <c r="K675" s="65"/>
      <c r="L675" s="65"/>
    </row>
    <row r="676" ht="15.75" customHeight="1">
      <c r="C676" s="65"/>
      <c r="D676" s="65"/>
      <c r="E676" s="65"/>
      <c r="F676" s="65"/>
      <c r="H676" s="65"/>
      <c r="J676" s="65"/>
      <c r="K676" s="65"/>
      <c r="L676" s="65"/>
    </row>
    <row r="677" ht="15.75" customHeight="1">
      <c r="C677" s="65"/>
      <c r="D677" s="65"/>
      <c r="E677" s="65"/>
      <c r="F677" s="65"/>
      <c r="H677" s="65"/>
      <c r="J677" s="65"/>
      <c r="K677" s="65"/>
      <c r="L677" s="65"/>
    </row>
    <row r="678" ht="15.75" customHeight="1">
      <c r="C678" s="65"/>
      <c r="D678" s="65"/>
      <c r="E678" s="65"/>
      <c r="F678" s="65"/>
      <c r="H678" s="65"/>
      <c r="J678" s="65"/>
      <c r="K678" s="65"/>
      <c r="L678" s="65"/>
    </row>
    <row r="679" ht="15.75" customHeight="1">
      <c r="C679" s="65"/>
      <c r="D679" s="65"/>
      <c r="E679" s="65"/>
      <c r="F679" s="65"/>
      <c r="H679" s="65"/>
      <c r="J679" s="65"/>
      <c r="K679" s="65"/>
      <c r="L679" s="65"/>
    </row>
    <row r="680" ht="15.75" customHeight="1">
      <c r="C680" s="65"/>
      <c r="D680" s="65"/>
      <c r="E680" s="65"/>
      <c r="F680" s="65"/>
      <c r="H680" s="65"/>
      <c r="J680" s="65"/>
      <c r="K680" s="65"/>
      <c r="L680" s="65"/>
    </row>
    <row r="681" ht="15.75" customHeight="1">
      <c r="C681" s="65"/>
      <c r="D681" s="65"/>
      <c r="E681" s="65"/>
      <c r="F681" s="65"/>
      <c r="H681" s="65"/>
      <c r="J681" s="65"/>
      <c r="K681" s="65"/>
      <c r="L681" s="65"/>
    </row>
    <row r="682" ht="15.75" customHeight="1">
      <c r="C682" s="65"/>
      <c r="D682" s="65"/>
      <c r="E682" s="65"/>
      <c r="F682" s="65"/>
      <c r="H682" s="65"/>
      <c r="J682" s="65"/>
      <c r="K682" s="65"/>
      <c r="L682" s="65"/>
    </row>
    <row r="683" ht="15.75" customHeight="1">
      <c r="C683" s="65"/>
      <c r="D683" s="65"/>
      <c r="E683" s="65"/>
      <c r="F683" s="65"/>
      <c r="H683" s="65"/>
      <c r="J683" s="65"/>
      <c r="K683" s="65"/>
      <c r="L683" s="65"/>
    </row>
    <row r="684" ht="15.75" customHeight="1">
      <c r="C684" s="65"/>
      <c r="D684" s="65"/>
      <c r="E684" s="65"/>
      <c r="F684" s="65"/>
      <c r="H684" s="65"/>
      <c r="J684" s="65"/>
      <c r="K684" s="65"/>
      <c r="L684" s="65"/>
    </row>
    <row r="685" ht="15.75" customHeight="1">
      <c r="C685" s="65"/>
      <c r="D685" s="65"/>
      <c r="E685" s="65"/>
      <c r="F685" s="65"/>
      <c r="H685" s="65"/>
      <c r="J685" s="65"/>
      <c r="K685" s="65"/>
      <c r="L685" s="65"/>
    </row>
    <row r="686" ht="15.75" customHeight="1">
      <c r="C686" s="65"/>
      <c r="D686" s="65"/>
      <c r="E686" s="65"/>
      <c r="F686" s="65"/>
      <c r="H686" s="65"/>
      <c r="J686" s="65"/>
      <c r="K686" s="65"/>
      <c r="L686" s="65"/>
    </row>
    <row r="687" ht="15.75" customHeight="1">
      <c r="C687" s="65"/>
      <c r="D687" s="65"/>
      <c r="E687" s="65"/>
      <c r="F687" s="65"/>
      <c r="H687" s="65"/>
      <c r="J687" s="65"/>
      <c r="K687" s="65"/>
      <c r="L687" s="65"/>
    </row>
    <row r="688" ht="15.75" customHeight="1">
      <c r="C688" s="65"/>
      <c r="D688" s="65"/>
      <c r="E688" s="65"/>
      <c r="F688" s="65"/>
      <c r="H688" s="65"/>
      <c r="J688" s="65"/>
      <c r="K688" s="65"/>
      <c r="L688" s="65"/>
    </row>
    <row r="689" ht="15.75" customHeight="1">
      <c r="C689" s="65"/>
      <c r="D689" s="65"/>
      <c r="E689" s="65"/>
      <c r="F689" s="65"/>
      <c r="H689" s="65"/>
      <c r="J689" s="65"/>
      <c r="K689" s="65"/>
      <c r="L689" s="65"/>
    </row>
    <row r="690" ht="15.75" customHeight="1">
      <c r="C690" s="65"/>
      <c r="D690" s="65"/>
      <c r="E690" s="65"/>
      <c r="F690" s="65"/>
      <c r="H690" s="65"/>
      <c r="J690" s="65"/>
      <c r="K690" s="65"/>
      <c r="L690" s="65"/>
    </row>
    <row r="691" ht="15.75" customHeight="1">
      <c r="C691" s="65"/>
      <c r="D691" s="65"/>
      <c r="E691" s="65"/>
      <c r="F691" s="65"/>
      <c r="H691" s="65"/>
      <c r="J691" s="65"/>
      <c r="K691" s="65"/>
      <c r="L691" s="65"/>
    </row>
    <row r="692" ht="15.75" customHeight="1">
      <c r="C692" s="65"/>
      <c r="D692" s="65"/>
      <c r="E692" s="65"/>
      <c r="F692" s="65"/>
      <c r="H692" s="65"/>
      <c r="J692" s="65"/>
      <c r="K692" s="65"/>
      <c r="L692" s="65"/>
    </row>
    <row r="693" ht="15.75" customHeight="1">
      <c r="C693" s="65"/>
      <c r="D693" s="65"/>
      <c r="E693" s="65"/>
      <c r="F693" s="65"/>
      <c r="H693" s="65"/>
      <c r="J693" s="65"/>
      <c r="K693" s="65"/>
      <c r="L693" s="65"/>
    </row>
    <row r="694" ht="15.75" customHeight="1">
      <c r="C694" s="65"/>
      <c r="D694" s="65"/>
      <c r="E694" s="65"/>
      <c r="F694" s="65"/>
      <c r="H694" s="65"/>
      <c r="J694" s="65"/>
      <c r="K694" s="65"/>
      <c r="L694" s="65"/>
    </row>
    <row r="695" ht="15.75" customHeight="1">
      <c r="C695" s="65"/>
      <c r="D695" s="65"/>
      <c r="E695" s="65"/>
      <c r="F695" s="65"/>
      <c r="H695" s="65"/>
      <c r="J695" s="65"/>
      <c r="K695" s="65"/>
      <c r="L695" s="65"/>
    </row>
    <row r="696" ht="15.75" customHeight="1">
      <c r="C696" s="65"/>
      <c r="D696" s="65"/>
      <c r="E696" s="65"/>
      <c r="F696" s="65"/>
      <c r="H696" s="65"/>
      <c r="J696" s="65"/>
      <c r="K696" s="65"/>
      <c r="L696" s="65"/>
    </row>
    <row r="697" ht="15.75" customHeight="1">
      <c r="C697" s="65"/>
      <c r="D697" s="65"/>
      <c r="E697" s="65"/>
      <c r="F697" s="65"/>
      <c r="H697" s="65"/>
      <c r="J697" s="65"/>
      <c r="K697" s="65"/>
      <c r="L697" s="65"/>
    </row>
    <row r="698" ht="15.75" customHeight="1">
      <c r="C698" s="65"/>
      <c r="D698" s="65"/>
      <c r="E698" s="65"/>
      <c r="F698" s="65"/>
      <c r="H698" s="65"/>
      <c r="J698" s="65"/>
      <c r="K698" s="65"/>
      <c r="L698" s="65"/>
    </row>
    <row r="699" ht="15.75" customHeight="1">
      <c r="C699" s="65"/>
      <c r="D699" s="65"/>
      <c r="E699" s="65"/>
      <c r="F699" s="65"/>
      <c r="H699" s="65"/>
      <c r="J699" s="65"/>
      <c r="K699" s="65"/>
      <c r="L699" s="65"/>
    </row>
    <row r="700" ht="15.75" customHeight="1">
      <c r="C700" s="65"/>
      <c r="D700" s="65"/>
      <c r="E700" s="65"/>
      <c r="F700" s="65"/>
      <c r="H700" s="65"/>
      <c r="J700" s="65"/>
      <c r="K700" s="65"/>
      <c r="L700" s="65"/>
    </row>
    <row r="701" ht="15.75" customHeight="1">
      <c r="C701" s="65"/>
      <c r="D701" s="65"/>
      <c r="E701" s="65"/>
      <c r="F701" s="65"/>
      <c r="H701" s="65"/>
      <c r="J701" s="65"/>
      <c r="K701" s="65"/>
      <c r="L701" s="65"/>
    </row>
    <row r="702" ht="15.75" customHeight="1">
      <c r="C702" s="65"/>
      <c r="D702" s="65"/>
      <c r="E702" s="65"/>
      <c r="F702" s="65"/>
      <c r="H702" s="65"/>
      <c r="J702" s="65"/>
      <c r="K702" s="65"/>
      <c r="L702" s="65"/>
    </row>
    <row r="703" ht="15.75" customHeight="1">
      <c r="C703" s="65"/>
      <c r="D703" s="65"/>
      <c r="E703" s="65"/>
      <c r="F703" s="65"/>
      <c r="H703" s="65"/>
      <c r="J703" s="65"/>
      <c r="K703" s="65"/>
      <c r="L703" s="65"/>
    </row>
    <row r="704" ht="15.75" customHeight="1">
      <c r="C704" s="65"/>
      <c r="D704" s="65"/>
      <c r="E704" s="65"/>
      <c r="F704" s="65"/>
      <c r="H704" s="65"/>
      <c r="J704" s="65"/>
      <c r="K704" s="65"/>
      <c r="L704" s="65"/>
    </row>
    <row r="705" ht="15.75" customHeight="1">
      <c r="C705" s="65"/>
      <c r="D705" s="65"/>
      <c r="E705" s="65"/>
      <c r="F705" s="65"/>
      <c r="H705" s="65"/>
      <c r="J705" s="65"/>
      <c r="K705" s="65"/>
      <c r="L705" s="65"/>
    </row>
    <row r="706" ht="15.75" customHeight="1">
      <c r="C706" s="65"/>
      <c r="D706" s="65"/>
      <c r="E706" s="65"/>
      <c r="F706" s="65"/>
      <c r="H706" s="65"/>
      <c r="J706" s="65"/>
      <c r="K706" s="65"/>
      <c r="L706" s="65"/>
    </row>
    <row r="707" ht="15.75" customHeight="1">
      <c r="C707" s="65"/>
      <c r="D707" s="65"/>
      <c r="E707" s="65"/>
      <c r="F707" s="65"/>
      <c r="H707" s="65"/>
      <c r="J707" s="65"/>
      <c r="K707" s="65"/>
      <c r="L707" s="65"/>
    </row>
    <row r="708" ht="15.75" customHeight="1">
      <c r="C708" s="65"/>
      <c r="D708" s="65"/>
      <c r="E708" s="65"/>
      <c r="F708" s="65"/>
      <c r="H708" s="65"/>
      <c r="J708" s="65"/>
      <c r="K708" s="65"/>
      <c r="L708" s="65"/>
    </row>
    <row r="709" ht="15.75" customHeight="1">
      <c r="C709" s="65"/>
      <c r="D709" s="65"/>
      <c r="E709" s="65"/>
      <c r="F709" s="65"/>
      <c r="H709" s="65"/>
      <c r="J709" s="65"/>
      <c r="K709" s="65"/>
      <c r="L709" s="65"/>
    </row>
    <row r="710" ht="15.75" customHeight="1">
      <c r="C710" s="65"/>
      <c r="D710" s="65"/>
      <c r="E710" s="65"/>
      <c r="F710" s="65"/>
      <c r="H710" s="65"/>
      <c r="J710" s="65"/>
      <c r="K710" s="65"/>
      <c r="L710" s="65"/>
    </row>
    <row r="711" ht="15.75" customHeight="1">
      <c r="C711" s="65"/>
      <c r="D711" s="65"/>
      <c r="E711" s="65"/>
      <c r="F711" s="65"/>
      <c r="H711" s="65"/>
      <c r="J711" s="65"/>
      <c r="K711" s="65"/>
      <c r="L711" s="65"/>
    </row>
    <row r="712" ht="15.75" customHeight="1">
      <c r="C712" s="65"/>
      <c r="D712" s="65"/>
      <c r="E712" s="65"/>
      <c r="F712" s="65"/>
      <c r="H712" s="65"/>
      <c r="J712" s="65"/>
      <c r="K712" s="65"/>
      <c r="L712" s="65"/>
    </row>
    <row r="713" ht="15.75" customHeight="1">
      <c r="C713" s="65"/>
      <c r="D713" s="65"/>
      <c r="E713" s="65"/>
      <c r="F713" s="65"/>
      <c r="H713" s="65"/>
      <c r="J713" s="65"/>
      <c r="K713" s="65"/>
      <c r="L713" s="65"/>
    </row>
    <row r="714" ht="15.75" customHeight="1">
      <c r="C714" s="65"/>
      <c r="D714" s="65"/>
      <c r="E714" s="65"/>
      <c r="F714" s="65"/>
      <c r="H714" s="65"/>
      <c r="J714" s="65"/>
      <c r="K714" s="65"/>
      <c r="L714" s="65"/>
    </row>
    <row r="715" ht="15.75" customHeight="1">
      <c r="C715" s="65"/>
      <c r="D715" s="65"/>
      <c r="E715" s="65"/>
      <c r="F715" s="65"/>
      <c r="H715" s="65"/>
      <c r="J715" s="65"/>
      <c r="K715" s="65"/>
      <c r="L715" s="65"/>
    </row>
    <row r="716" ht="15.75" customHeight="1">
      <c r="C716" s="65"/>
      <c r="D716" s="65"/>
      <c r="E716" s="65"/>
      <c r="F716" s="65"/>
      <c r="H716" s="65"/>
      <c r="J716" s="65"/>
      <c r="K716" s="65"/>
      <c r="L716" s="65"/>
    </row>
    <row r="717" ht="15.75" customHeight="1">
      <c r="C717" s="65"/>
      <c r="D717" s="65"/>
      <c r="E717" s="65"/>
      <c r="F717" s="65"/>
      <c r="H717" s="65"/>
      <c r="J717" s="65"/>
      <c r="K717" s="65"/>
      <c r="L717" s="65"/>
    </row>
    <row r="718" ht="15.75" customHeight="1">
      <c r="C718" s="65"/>
      <c r="D718" s="65"/>
      <c r="E718" s="65"/>
      <c r="F718" s="65"/>
      <c r="H718" s="65"/>
      <c r="J718" s="65"/>
      <c r="K718" s="65"/>
      <c r="L718" s="65"/>
    </row>
    <row r="719" ht="15.75" customHeight="1">
      <c r="C719" s="65"/>
      <c r="D719" s="65"/>
      <c r="E719" s="65"/>
      <c r="F719" s="65"/>
      <c r="H719" s="65"/>
      <c r="J719" s="65"/>
      <c r="K719" s="65"/>
      <c r="L719" s="65"/>
    </row>
    <row r="720" ht="15.75" customHeight="1">
      <c r="C720" s="65"/>
      <c r="D720" s="65"/>
      <c r="E720" s="65"/>
      <c r="F720" s="65"/>
      <c r="H720" s="65"/>
      <c r="J720" s="65"/>
      <c r="K720" s="65"/>
      <c r="L720" s="65"/>
    </row>
    <row r="721" ht="15.75" customHeight="1">
      <c r="C721" s="65"/>
      <c r="D721" s="65"/>
      <c r="E721" s="65"/>
      <c r="F721" s="65"/>
      <c r="H721" s="65"/>
      <c r="J721" s="65"/>
      <c r="K721" s="65"/>
      <c r="L721" s="65"/>
    </row>
    <row r="722" ht="15.75" customHeight="1">
      <c r="C722" s="65"/>
      <c r="D722" s="65"/>
      <c r="E722" s="65"/>
      <c r="F722" s="65"/>
      <c r="H722" s="65"/>
      <c r="J722" s="65"/>
      <c r="K722" s="65"/>
      <c r="L722" s="65"/>
    </row>
    <row r="723" ht="15.75" customHeight="1">
      <c r="C723" s="65"/>
      <c r="D723" s="65"/>
      <c r="E723" s="65"/>
      <c r="F723" s="65"/>
      <c r="H723" s="65"/>
      <c r="J723" s="65"/>
      <c r="K723" s="65"/>
      <c r="L723" s="65"/>
    </row>
    <row r="724" ht="15.75" customHeight="1">
      <c r="C724" s="65"/>
      <c r="D724" s="65"/>
      <c r="E724" s="65"/>
      <c r="F724" s="65"/>
      <c r="H724" s="65"/>
      <c r="J724" s="65"/>
      <c r="K724" s="65"/>
      <c r="L724" s="65"/>
    </row>
    <row r="725" ht="15.75" customHeight="1">
      <c r="C725" s="65"/>
      <c r="D725" s="65"/>
      <c r="E725" s="65"/>
      <c r="F725" s="65"/>
      <c r="H725" s="65"/>
      <c r="J725" s="65"/>
      <c r="K725" s="65"/>
      <c r="L725" s="65"/>
    </row>
    <row r="726" ht="15.75" customHeight="1">
      <c r="C726" s="65"/>
      <c r="D726" s="65"/>
      <c r="E726" s="65"/>
      <c r="F726" s="65"/>
      <c r="H726" s="65"/>
      <c r="J726" s="65"/>
      <c r="K726" s="65"/>
      <c r="L726" s="65"/>
    </row>
    <row r="727" ht="15.75" customHeight="1">
      <c r="C727" s="65"/>
      <c r="D727" s="65"/>
      <c r="E727" s="65"/>
      <c r="F727" s="65"/>
      <c r="H727" s="65"/>
      <c r="J727" s="65"/>
      <c r="K727" s="65"/>
      <c r="L727" s="65"/>
    </row>
    <row r="728" ht="15.75" customHeight="1">
      <c r="C728" s="65"/>
      <c r="D728" s="65"/>
      <c r="E728" s="65"/>
      <c r="F728" s="65"/>
      <c r="H728" s="65"/>
      <c r="J728" s="65"/>
      <c r="K728" s="65"/>
      <c r="L728" s="65"/>
    </row>
    <row r="729" ht="15.75" customHeight="1">
      <c r="C729" s="65"/>
      <c r="D729" s="65"/>
      <c r="E729" s="65"/>
      <c r="F729" s="65"/>
      <c r="H729" s="65"/>
      <c r="J729" s="65"/>
      <c r="K729" s="65"/>
      <c r="L729" s="65"/>
    </row>
    <row r="730" ht="15.75" customHeight="1">
      <c r="C730" s="65"/>
      <c r="D730" s="65"/>
      <c r="E730" s="65"/>
      <c r="F730" s="65"/>
      <c r="H730" s="65"/>
      <c r="J730" s="65"/>
      <c r="K730" s="65"/>
      <c r="L730" s="65"/>
    </row>
    <row r="731" ht="15.75" customHeight="1">
      <c r="C731" s="65"/>
      <c r="D731" s="65"/>
      <c r="E731" s="65"/>
      <c r="F731" s="65"/>
      <c r="H731" s="65"/>
      <c r="J731" s="65"/>
      <c r="K731" s="65"/>
      <c r="L731" s="65"/>
    </row>
    <row r="732" ht="15.75" customHeight="1">
      <c r="C732" s="65"/>
      <c r="D732" s="65"/>
      <c r="E732" s="65"/>
      <c r="F732" s="65"/>
      <c r="H732" s="65"/>
      <c r="J732" s="65"/>
      <c r="K732" s="65"/>
      <c r="L732" s="65"/>
    </row>
    <row r="733" ht="15.75" customHeight="1">
      <c r="C733" s="65"/>
      <c r="D733" s="65"/>
      <c r="E733" s="65"/>
      <c r="F733" s="65"/>
      <c r="H733" s="65"/>
      <c r="J733" s="65"/>
      <c r="K733" s="65"/>
      <c r="L733" s="65"/>
    </row>
    <row r="734" ht="15.75" customHeight="1">
      <c r="C734" s="65"/>
      <c r="D734" s="65"/>
      <c r="E734" s="65"/>
      <c r="F734" s="65"/>
      <c r="H734" s="65"/>
      <c r="J734" s="65"/>
      <c r="K734" s="65"/>
      <c r="L734" s="65"/>
    </row>
    <row r="735" ht="15.75" customHeight="1">
      <c r="C735" s="65"/>
      <c r="D735" s="65"/>
      <c r="E735" s="65"/>
      <c r="F735" s="65"/>
      <c r="H735" s="65"/>
      <c r="J735" s="65"/>
      <c r="K735" s="65"/>
      <c r="L735" s="65"/>
    </row>
    <row r="736" ht="15.75" customHeight="1">
      <c r="C736" s="65"/>
      <c r="D736" s="65"/>
      <c r="E736" s="65"/>
      <c r="F736" s="65"/>
      <c r="H736" s="65"/>
      <c r="J736" s="65"/>
      <c r="K736" s="65"/>
      <c r="L736" s="65"/>
    </row>
    <row r="737" ht="15.75" customHeight="1">
      <c r="C737" s="65"/>
      <c r="D737" s="65"/>
      <c r="E737" s="65"/>
      <c r="F737" s="65"/>
      <c r="H737" s="65"/>
      <c r="J737" s="65"/>
      <c r="K737" s="65"/>
      <c r="L737" s="65"/>
    </row>
    <row r="738" ht="15.75" customHeight="1">
      <c r="C738" s="65"/>
      <c r="D738" s="65"/>
      <c r="E738" s="65"/>
      <c r="F738" s="65"/>
      <c r="H738" s="65"/>
      <c r="J738" s="65"/>
      <c r="K738" s="65"/>
      <c r="L738" s="65"/>
    </row>
    <row r="739" ht="15.75" customHeight="1">
      <c r="C739" s="65"/>
      <c r="D739" s="65"/>
      <c r="E739" s="65"/>
      <c r="F739" s="65"/>
      <c r="H739" s="65"/>
      <c r="J739" s="65"/>
      <c r="K739" s="65"/>
      <c r="L739" s="65"/>
    </row>
    <row r="740" ht="15.75" customHeight="1">
      <c r="C740" s="65"/>
      <c r="D740" s="65"/>
      <c r="E740" s="65"/>
      <c r="F740" s="65"/>
      <c r="H740" s="65"/>
      <c r="J740" s="65"/>
      <c r="K740" s="65"/>
      <c r="L740" s="65"/>
    </row>
    <row r="741" ht="15.75" customHeight="1">
      <c r="C741" s="65"/>
      <c r="D741" s="65"/>
      <c r="E741" s="65"/>
      <c r="F741" s="65"/>
      <c r="H741" s="65"/>
      <c r="J741" s="65"/>
      <c r="K741" s="65"/>
      <c r="L741" s="65"/>
    </row>
    <row r="742" ht="15.75" customHeight="1">
      <c r="C742" s="65"/>
      <c r="D742" s="65"/>
      <c r="E742" s="65"/>
      <c r="F742" s="65"/>
      <c r="H742" s="65"/>
      <c r="J742" s="65"/>
      <c r="K742" s="65"/>
      <c r="L742" s="65"/>
    </row>
    <row r="743" ht="15.75" customHeight="1">
      <c r="C743" s="65"/>
      <c r="D743" s="65"/>
      <c r="E743" s="65"/>
      <c r="F743" s="65"/>
      <c r="H743" s="65"/>
      <c r="J743" s="65"/>
      <c r="K743" s="65"/>
      <c r="L743" s="65"/>
    </row>
    <row r="744" ht="15.75" customHeight="1">
      <c r="C744" s="65"/>
      <c r="D744" s="65"/>
      <c r="E744" s="65"/>
      <c r="F744" s="65"/>
      <c r="H744" s="65"/>
      <c r="J744" s="65"/>
      <c r="K744" s="65"/>
      <c r="L744" s="65"/>
    </row>
    <row r="745" ht="15.75" customHeight="1">
      <c r="C745" s="65"/>
      <c r="D745" s="65"/>
      <c r="E745" s="65"/>
      <c r="F745" s="65"/>
      <c r="H745" s="65"/>
      <c r="J745" s="65"/>
      <c r="K745" s="65"/>
      <c r="L745" s="65"/>
    </row>
    <row r="746" ht="15.75" customHeight="1">
      <c r="C746" s="65"/>
      <c r="D746" s="65"/>
      <c r="E746" s="65"/>
      <c r="F746" s="65"/>
      <c r="H746" s="65"/>
      <c r="J746" s="65"/>
      <c r="K746" s="65"/>
      <c r="L746" s="65"/>
    </row>
    <row r="747" ht="15.75" customHeight="1">
      <c r="C747" s="65"/>
      <c r="D747" s="65"/>
      <c r="E747" s="65"/>
      <c r="F747" s="65"/>
      <c r="H747" s="65"/>
      <c r="J747" s="65"/>
      <c r="K747" s="65"/>
      <c r="L747" s="65"/>
    </row>
    <row r="748" ht="15.75" customHeight="1">
      <c r="C748" s="65"/>
      <c r="D748" s="65"/>
      <c r="E748" s="65"/>
      <c r="F748" s="65"/>
      <c r="H748" s="65"/>
      <c r="J748" s="65"/>
      <c r="K748" s="65"/>
      <c r="L748" s="65"/>
    </row>
    <row r="749" ht="15.75" customHeight="1">
      <c r="C749" s="65"/>
      <c r="D749" s="65"/>
      <c r="E749" s="65"/>
      <c r="F749" s="65"/>
      <c r="H749" s="65"/>
      <c r="J749" s="65"/>
      <c r="K749" s="65"/>
      <c r="L749" s="65"/>
    </row>
    <row r="750" ht="15.75" customHeight="1">
      <c r="C750" s="65"/>
      <c r="D750" s="65"/>
      <c r="E750" s="65"/>
      <c r="F750" s="65"/>
      <c r="H750" s="65"/>
      <c r="J750" s="65"/>
      <c r="K750" s="65"/>
      <c r="L750" s="65"/>
    </row>
    <row r="751" ht="15.75" customHeight="1">
      <c r="C751" s="65"/>
      <c r="D751" s="65"/>
      <c r="E751" s="65"/>
      <c r="F751" s="65"/>
      <c r="H751" s="65"/>
      <c r="J751" s="65"/>
      <c r="K751" s="65"/>
      <c r="L751" s="65"/>
    </row>
    <row r="752" ht="15.75" customHeight="1">
      <c r="C752" s="65"/>
      <c r="D752" s="65"/>
      <c r="E752" s="65"/>
      <c r="F752" s="65"/>
      <c r="H752" s="65"/>
      <c r="J752" s="65"/>
      <c r="K752" s="65"/>
      <c r="L752" s="65"/>
    </row>
    <row r="753" ht="15.75" customHeight="1">
      <c r="C753" s="65"/>
      <c r="D753" s="65"/>
      <c r="E753" s="65"/>
      <c r="F753" s="65"/>
      <c r="H753" s="65"/>
      <c r="J753" s="65"/>
      <c r="K753" s="65"/>
      <c r="L753" s="65"/>
    </row>
    <row r="754" ht="15.75" customHeight="1">
      <c r="C754" s="65"/>
      <c r="D754" s="65"/>
      <c r="E754" s="65"/>
      <c r="F754" s="65"/>
      <c r="H754" s="65"/>
      <c r="J754" s="65"/>
      <c r="K754" s="65"/>
      <c r="L754" s="65"/>
    </row>
    <row r="755" ht="15.75" customHeight="1">
      <c r="C755" s="65"/>
      <c r="D755" s="65"/>
      <c r="E755" s="65"/>
      <c r="F755" s="65"/>
      <c r="H755" s="65"/>
      <c r="J755" s="65"/>
      <c r="K755" s="65"/>
      <c r="L755" s="65"/>
    </row>
    <row r="756" ht="15.75" customHeight="1">
      <c r="C756" s="65"/>
      <c r="D756" s="65"/>
      <c r="E756" s="65"/>
      <c r="F756" s="65"/>
      <c r="H756" s="65"/>
      <c r="J756" s="65"/>
      <c r="K756" s="65"/>
      <c r="L756" s="65"/>
    </row>
    <row r="757" ht="15.75" customHeight="1">
      <c r="C757" s="65"/>
      <c r="D757" s="65"/>
      <c r="E757" s="65"/>
      <c r="F757" s="65"/>
      <c r="H757" s="65"/>
      <c r="J757" s="65"/>
      <c r="K757" s="65"/>
      <c r="L757" s="65"/>
    </row>
    <row r="758" ht="15.75" customHeight="1">
      <c r="C758" s="65"/>
      <c r="D758" s="65"/>
      <c r="E758" s="65"/>
      <c r="F758" s="65"/>
      <c r="H758" s="65"/>
      <c r="J758" s="65"/>
      <c r="K758" s="65"/>
      <c r="L758" s="65"/>
    </row>
    <row r="759" ht="15.75" customHeight="1">
      <c r="C759" s="65"/>
      <c r="D759" s="65"/>
      <c r="E759" s="65"/>
      <c r="F759" s="65"/>
      <c r="H759" s="65"/>
      <c r="J759" s="65"/>
      <c r="K759" s="65"/>
      <c r="L759" s="65"/>
    </row>
    <row r="760" ht="15.75" customHeight="1">
      <c r="C760" s="65"/>
      <c r="D760" s="65"/>
      <c r="E760" s="65"/>
      <c r="F760" s="65"/>
      <c r="H760" s="65"/>
      <c r="J760" s="65"/>
      <c r="K760" s="65"/>
      <c r="L760" s="65"/>
    </row>
    <row r="761" ht="15.75" customHeight="1">
      <c r="C761" s="65"/>
      <c r="D761" s="65"/>
      <c r="E761" s="65"/>
      <c r="F761" s="65"/>
      <c r="H761" s="65"/>
      <c r="J761" s="65"/>
      <c r="K761" s="65"/>
      <c r="L761" s="65"/>
    </row>
    <row r="762" ht="15.75" customHeight="1">
      <c r="C762" s="65"/>
      <c r="D762" s="65"/>
      <c r="E762" s="65"/>
      <c r="F762" s="65"/>
      <c r="H762" s="65"/>
      <c r="J762" s="65"/>
      <c r="K762" s="65"/>
      <c r="L762" s="65"/>
    </row>
    <row r="763" ht="15.75" customHeight="1">
      <c r="C763" s="65"/>
      <c r="D763" s="65"/>
      <c r="E763" s="65"/>
      <c r="F763" s="65"/>
      <c r="H763" s="65"/>
      <c r="J763" s="65"/>
      <c r="K763" s="65"/>
      <c r="L763" s="65"/>
    </row>
    <row r="764" ht="15.75" customHeight="1">
      <c r="C764" s="65"/>
      <c r="D764" s="65"/>
      <c r="E764" s="65"/>
      <c r="F764" s="65"/>
      <c r="H764" s="65"/>
      <c r="J764" s="65"/>
      <c r="K764" s="65"/>
      <c r="L764" s="65"/>
    </row>
    <row r="765" ht="15.75" customHeight="1">
      <c r="C765" s="65"/>
      <c r="D765" s="65"/>
      <c r="E765" s="65"/>
      <c r="F765" s="65"/>
      <c r="H765" s="65"/>
      <c r="J765" s="65"/>
      <c r="K765" s="65"/>
      <c r="L765" s="65"/>
    </row>
    <row r="766" ht="15.75" customHeight="1">
      <c r="C766" s="65"/>
      <c r="D766" s="65"/>
      <c r="E766" s="65"/>
      <c r="F766" s="65"/>
      <c r="H766" s="65"/>
      <c r="J766" s="65"/>
      <c r="K766" s="65"/>
      <c r="L766" s="65"/>
    </row>
    <row r="767" ht="15.75" customHeight="1">
      <c r="C767" s="65"/>
      <c r="D767" s="65"/>
      <c r="E767" s="65"/>
      <c r="F767" s="65"/>
      <c r="H767" s="65"/>
      <c r="J767" s="65"/>
      <c r="K767" s="65"/>
      <c r="L767" s="65"/>
    </row>
    <row r="768" ht="15.75" customHeight="1">
      <c r="C768" s="65"/>
      <c r="D768" s="65"/>
      <c r="E768" s="65"/>
      <c r="F768" s="65"/>
      <c r="H768" s="65"/>
      <c r="J768" s="65"/>
      <c r="K768" s="65"/>
      <c r="L768" s="65"/>
    </row>
    <row r="769" ht="15.75" customHeight="1">
      <c r="C769" s="65"/>
      <c r="D769" s="65"/>
      <c r="E769" s="65"/>
      <c r="F769" s="65"/>
      <c r="H769" s="65"/>
      <c r="J769" s="65"/>
      <c r="K769" s="65"/>
      <c r="L769" s="65"/>
    </row>
    <row r="770" ht="15.75" customHeight="1">
      <c r="C770" s="65"/>
      <c r="D770" s="65"/>
      <c r="E770" s="65"/>
      <c r="F770" s="65"/>
      <c r="H770" s="65"/>
      <c r="J770" s="65"/>
      <c r="K770" s="65"/>
      <c r="L770" s="65"/>
    </row>
    <row r="771" ht="15.75" customHeight="1">
      <c r="C771" s="65"/>
      <c r="D771" s="65"/>
      <c r="E771" s="65"/>
      <c r="F771" s="65"/>
      <c r="H771" s="65"/>
      <c r="J771" s="65"/>
      <c r="K771" s="65"/>
      <c r="L771" s="65"/>
    </row>
    <row r="772" ht="15.75" customHeight="1">
      <c r="C772" s="65"/>
      <c r="D772" s="65"/>
      <c r="E772" s="65"/>
      <c r="F772" s="65"/>
      <c r="H772" s="65"/>
      <c r="J772" s="65"/>
      <c r="K772" s="65"/>
      <c r="L772" s="65"/>
    </row>
    <row r="773" ht="15.75" customHeight="1">
      <c r="C773" s="65"/>
      <c r="D773" s="65"/>
      <c r="E773" s="65"/>
      <c r="F773" s="65"/>
      <c r="H773" s="65"/>
      <c r="J773" s="65"/>
      <c r="K773" s="65"/>
      <c r="L773" s="65"/>
    </row>
    <row r="774" ht="15.75" customHeight="1">
      <c r="C774" s="65"/>
      <c r="D774" s="65"/>
      <c r="E774" s="65"/>
      <c r="F774" s="65"/>
      <c r="H774" s="65"/>
      <c r="J774" s="65"/>
      <c r="K774" s="65"/>
      <c r="L774" s="65"/>
    </row>
    <row r="775" ht="15.75" customHeight="1">
      <c r="C775" s="65"/>
      <c r="D775" s="65"/>
      <c r="E775" s="65"/>
      <c r="F775" s="65"/>
      <c r="H775" s="65"/>
      <c r="J775" s="65"/>
      <c r="K775" s="65"/>
      <c r="L775" s="65"/>
    </row>
    <row r="776" ht="15.75" customHeight="1">
      <c r="C776" s="65"/>
      <c r="D776" s="65"/>
      <c r="E776" s="65"/>
      <c r="F776" s="65"/>
      <c r="H776" s="65"/>
      <c r="J776" s="65"/>
      <c r="K776" s="65"/>
      <c r="L776" s="65"/>
    </row>
    <row r="777" ht="15.75" customHeight="1">
      <c r="C777" s="65"/>
      <c r="D777" s="65"/>
      <c r="E777" s="65"/>
      <c r="F777" s="65"/>
      <c r="H777" s="65"/>
      <c r="J777" s="65"/>
      <c r="K777" s="65"/>
      <c r="L777" s="65"/>
    </row>
    <row r="778" ht="15.75" customHeight="1">
      <c r="C778" s="65"/>
      <c r="D778" s="65"/>
      <c r="E778" s="65"/>
      <c r="F778" s="65"/>
      <c r="H778" s="65"/>
      <c r="J778" s="65"/>
      <c r="K778" s="65"/>
      <c r="L778" s="65"/>
    </row>
    <row r="779" ht="15.75" customHeight="1">
      <c r="C779" s="65"/>
      <c r="D779" s="65"/>
      <c r="E779" s="65"/>
      <c r="F779" s="65"/>
      <c r="H779" s="65"/>
      <c r="J779" s="65"/>
      <c r="K779" s="65"/>
      <c r="L779" s="65"/>
    </row>
    <row r="780" ht="15.75" customHeight="1">
      <c r="C780" s="65"/>
      <c r="D780" s="65"/>
      <c r="E780" s="65"/>
      <c r="F780" s="65"/>
      <c r="H780" s="65"/>
      <c r="J780" s="65"/>
      <c r="K780" s="65"/>
      <c r="L780" s="65"/>
    </row>
    <row r="781" ht="15.75" customHeight="1">
      <c r="C781" s="65"/>
      <c r="D781" s="65"/>
      <c r="E781" s="65"/>
      <c r="F781" s="65"/>
      <c r="H781" s="65"/>
      <c r="J781" s="65"/>
      <c r="K781" s="65"/>
      <c r="L781" s="65"/>
    </row>
    <row r="782" ht="15.75" customHeight="1">
      <c r="C782" s="65"/>
      <c r="D782" s="65"/>
      <c r="E782" s="65"/>
      <c r="F782" s="65"/>
      <c r="H782" s="65"/>
      <c r="J782" s="65"/>
      <c r="K782" s="65"/>
      <c r="L782" s="65"/>
    </row>
    <row r="783" ht="15.75" customHeight="1">
      <c r="C783" s="65"/>
      <c r="D783" s="65"/>
      <c r="E783" s="65"/>
      <c r="F783" s="65"/>
      <c r="H783" s="65"/>
      <c r="J783" s="65"/>
      <c r="K783" s="65"/>
      <c r="L783" s="65"/>
    </row>
    <row r="784" ht="15.75" customHeight="1">
      <c r="C784" s="65"/>
      <c r="D784" s="65"/>
      <c r="E784" s="65"/>
      <c r="F784" s="65"/>
      <c r="H784" s="65"/>
      <c r="J784" s="65"/>
      <c r="K784" s="65"/>
      <c r="L784" s="65"/>
    </row>
    <row r="785" ht="15.75" customHeight="1">
      <c r="C785" s="65"/>
      <c r="D785" s="65"/>
      <c r="E785" s="65"/>
      <c r="F785" s="65"/>
      <c r="H785" s="65"/>
      <c r="J785" s="65"/>
      <c r="K785" s="65"/>
      <c r="L785" s="65"/>
    </row>
    <row r="786" ht="15.75" customHeight="1">
      <c r="C786" s="65"/>
      <c r="D786" s="65"/>
      <c r="E786" s="65"/>
      <c r="F786" s="65"/>
      <c r="H786" s="65"/>
      <c r="J786" s="65"/>
      <c r="K786" s="65"/>
      <c r="L786" s="65"/>
    </row>
    <row r="787" ht="15.75" customHeight="1">
      <c r="C787" s="65"/>
      <c r="D787" s="65"/>
      <c r="E787" s="65"/>
      <c r="F787" s="65"/>
      <c r="H787" s="65"/>
      <c r="J787" s="65"/>
      <c r="K787" s="65"/>
      <c r="L787" s="65"/>
    </row>
    <row r="788" ht="15.75" customHeight="1">
      <c r="C788" s="65"/>
      <c r="D788" s="65"/>
      <c r="E788" s="65"/>
      <c r="F788" s="65"/>
      <c r="H788" s="65"/>
      <c r="J788" s="65"/>
      <c r="K788" s="65"/>
      <c r="L788" s="65"/>
    </row>
    <row r="789" ht="15.75" customHeight="1">
      <c r="C789" s="65"/>
      <c r="D789" s="65"/>
      <c r="E789" s="65"/>
      <c r="F789" s="65"/>
      <c r="H789" s="65"/>
      <c r="J789" s="65"/>
      <c r="K789" s="65"/>
      <c r="L789" s="65"/>
    </row>
    <row r="790" ht="15.75" customHeight="1">
      <c r="C790" s="65"/>
      <c r="D790" s="65"/>
      <c r="E790" s="65"/>
      <c r="F790" s="65"/>
      <c r="H790" s="65"/>
      <c r="J790" s="65"/>
      <c r="K790" s="65"/>
      <c r="L790" s="65"/>
    </row>
    <row r="791" ht="15.75" customHeight="1">
      <c r="C791" s="65"/>
      <c r="D791" s="65"/>
      <c r="E791" s="65"/>
      <c r="F791" s="65"/>
      <c r="H791" s="65"/>
      <c r="J791" s="65"/>
      <c r="K791" s="65"/>
      <c r="L791" s="65"/>
    </row>
    <row r="792" ht="15.75" customHeight="1">
      <c r="C792" s="65"/>
      <c r="D792" s="65"/>
      <c r="E792" s="65"/>
      <c r="F792" s="65"/>
      <c r="H792" s="65"/>
      <c r="J792" s="65"/>
      <c r="K792" s="65"/>
      <c r="L792" s="65"/>
    </row>
    <row r="793" ht="15.75" customHeight="1">
      <c r="C793" s="65"/>
      <c r="D793" s="65"/>
      <c r="E793" s="65"/>
      <c r="F793" s="65"/>
      <c r="H793" s="65"/>
      <c r="J793" s="65"/>
      <c r="K793" s="65"/>
      <c r="L793" s="65"/>
    </row>
    <row r="794" ht="15.75" customHeight="1">
      <c r="C794" s="65"/>
      <c r="D794" s="65"/>
      <c r="E794" s="65"/>
      <c r="F794" s="65"/>
      <c r="H794" s="65"/>
      <c r="J794" s="65"/>
      <c r="K794" s="65"/>
      <c r="L794" s="65"/>
    </row>
    <row r="795" ht="15.75" customHeight="1">
      <c r="C795" s="65"/>
      <c r="D795" s="65"/>
      <c r="E795" s="65"/>
      <c r="F795" s="65"/>
      <c r="H795" s="65"/>
      <c r="J795" s="65"/>
      <c r="K795" s="65"/>
      <c r="L795" s="65"/>
    </row>
    <row r="796" ht="15.75" customHeight="1">
      <c r="C796" s="65"/>
      <c r="D796" s="65"/>
      <c r="E796" s="65"/>
      <c r="F796" s="65"/>
      <c r="H796" s="65"/>
      <c r="J796" s="65"/>
      <c r="K796" s="65"/>
      <c r="L796" s="65"/>
    </row>
    <row r="797" ht="15.75" customHeight="1">
      <c r="C797" s="65"/>
      <c r="D797" s="65"/>
      <c r="E797" s="65"/>
      <c r="F797" s="65"/>
      <c r="H797" s="65"/>
      <c r="J797" s="65"/>
      <c r="K797" s="65"/>
      <c r="L797" s="65"/>
    </row>
    <row r="798" ht="15.75" customHeight="1">
      <c r="C798" s="65"/>
      <c r="D798" s="65"/>
      <c r="E798" s="65"/>
      <c r="F798" s="65"/>
      <c r="H798" s="65"/>
      <c r="J798" s="65"/>
      <c r="K798" s="65"/>
      <c r="L798" s="65"/>
    </row>
    <row r="799" ht="15.75" customHeight="1">
      <c r="C799" s="65"/>
      <c r="D799" s="65"/>
      <c r="E799" s="65"/>
      <c r="F799" s="65"/>
      <c r="H799" s="65"/>
      <c r="J799" s="65"/>
      <c r="K799" s="65"/>
      <c r="L799" s="65"/>
    </row>
    <row r="800" ht="15.75" customHeight="1">
      <c r="C800" s="65"/>
      <c r="D800" s="65"/>
      <c r="E800" s="65"/>
      <c r="F800" s="65"/>
      <c r="H800" s="65"/>
      <c r="J800" s="65"/>
      <c r="K800" s="65"/>
      <c r="L800" s="65"/>
    </row>
    <row r="801" ht="15.75" customHeight="1">
      <c r="C801" s="65"/>
      <c r="D801" s="65"/>
      <c r="E801" s="65"/>
      <c r="F801" s="65"/>
      <c r="H801" s="65"/>
      <c r="J801" s="65"/>
      <c r="K801" s="65"/>
      <c r="L801" s="65"/>
    </row>
    <row r="802" ht="15.75" customHeight="1">
      <c r="C802" s="65"/>
      <c r="D802" s="65"/>
      <c r="E802" s="65"/>
      <c r="F802" s="65"/>
      <c r="H802" s="65"/>
      <c r="J802" s="65"/>
      <c r="K802" s="65"/>
      <c r="L802" s="65"/>
    </row>
    <row r="803" ht="15.75" customHeight="1">
      <c r="C803" s="65"/>
      <c r="D803" s="65"/>
      <c r="E803" s="65"/>
      <c r="F803" s="65"/>
      <c r="H803" s="65"/>
      <c r="J803" s="65"/>
      <c r="K803" s="65"/>
      <c r="L803" s="65"/>
    </row>
    <row r="804" ht="15.75" customHeight="1">
      <c r="C804" s="65"/>
      <c r="D804" s="65"/>
      <c r="E804" s="65"/>
      <c r="F804" s="65"/>
      <c r="H804" s="65"/>
      <c r="J804" s="65"/>
      <c r="K804" s="65"/>
      <c r="L804" s="65"/>
    </row>
    <row r="805" ht="15.75" customHeight="1">
      <c r="C805" s="65"/>
      <c r="D805" s="65"/>
      <c r="E805" s="65"/>
      <c r="F805" s="65"/>
      <c r="H805" s="65"/>
      <c r="J805" s="65"/>
      <c r="K805" s="65"/>
      <c r="L805" s="65"/>
    </row>
    <row r="806" ht="15.75" customHeight="1">
      <c r="C806" s="65"/>
      <c r="D806" s="65"/>
      <c r="E806" s="65"/>
      <c r="F806" s="65"/>
      <c r="H806" s="65"/>
      <c r="J806" s="65"/>
      <c r="K806" s="65"/>
      <c r="L806" s="65"/>
    </row>
    <row r="807" ht="15.75" customHeight="1">
      <c r="C807" s="65"/>
      <c r="D807" s="65"/>
      <c r="E807" s="65"/>
      <c r="F807" s="65"/>
      <c r="H807" s="65"/>
      <c r="J807" s="65"/>
      <c r="K807" s="65"/>
      <c r="L807" s="65"/>
    </row>
    <row r="808" ht="15.75" customHeight="1">
      <c r="C808" s="65"/>
      <c r="D808" s="65"/>
      <c r="E808" s="65"/>
      <c r="F808" s="65"/>
      <c r="H808" s="65"/>
      <c r="J808" s="65"/>
      <c r="K808" s="65"/>
      <c r="L808" s="65"/>
    </row>
    <row r="809" ht="15.75" customHeight="1">
      <c r="C809" s="65"/>
      <c r="D809" s="65"/>
      <c r="E809" s="65"/>
      <c r="F809" s="65"/>
      <c r="H809" s="65"/>
      <c r="J809" s="65"/>
      <c r="K809" s="65"/>
      <c r="L809" s="65"/>
    </row>
    <row r="810" ht="15.75" customHeight="1">
      <c r="C810" s="65"/>
      <c r="D810" s="65"/>
      <c r="E810" s="65"/>
      <c r="F810" s="65"/>
      <c r="H810" s="65"/>
      <c r="J810" s="65"/>
      <c r="K810" s="65"/>
      <c r="L810" s="65"/>
    </row>
    <row r="811" ht="15.75" customHeight="1">
      <c r="C811" s="65"/>
      <c r="D811" s="65"/>
      <c r="E811" s="65"/>
      <c r="F811" s="65"/>
      <c r="H811" s="65"/>
      <c r="J811" s="65"/>
      <c r="K811" s="65"/>
      <c r="L811" s="65"/>
    </row>
    <row r="812" ht="15.75" customHeight="1">
      <c r="C812" s="65"/>
      <c r="D812" s="65"/>
      <c r="E812" s="65"/>
      <c r="F812" s="65"/>
      <c r="H812" s="65"/>
      <c r="J812" s="65"/>
      <c r="K812" s="65"/>
      <c r="L812" s="65"/>
    </row>
    <row r="813" ht="15.75" customHeight="1">
      <c r="C813" s="65"/>
      <c r="D813" s="65"/>
      <c r="E813" s="65"/>
      <c r="F813" s="65"/>
      <c r="H813" s="65"/>
      <c r="J813" s="65"/>
      <c r="K813" s="65"/>
      <c r="L813" s="65"/>
    </row>
    <row r="814" ht="15.75" customHeight="1">
      <c r="C814" s="65"/>
      <c r="D814" s="65"/>
      <c r="E814" s="65"/>
      <c r="F814" s="65"/>
      <c r="H814" s="65"/>
      <c r="J814" s="65"/>
      <c r="K814" s="65"/>
      <c r="L814" s="65"/>
    </row>
    <row r="815" ht="15.75" customHeight="1">
      <c r="C815" s="65"/>
      <c r="D815" s="65"/>
      <c r="E815" s="65"/>
      <c r="F815" s="65"/>
      <c r="H815" s="65"/>
      <c r="J815" s="65"/>
      <c r="K815" s="65"/>
      <c r="L815" s="65"/>
    </row>
    <row r="816" ht="15.75" customHeight="1">
      <c r="C816" s="65"/>
      <c r="D816" s="65"/>
      <c r="E816" s="65"/>
      <c r="F816" s="65"/>
      <c r="H816" s="65"/>
      <c r="J816" s="65"/>
      <c r="K816" s="65"/>
      <c r="L816" s="65"/>
    </row>
    <row r="817" ht="15.75" customHeight="1">
      <c r="C817" s="65"/>
      <c r="D817" s="65"/>
      <c r="E817" s="65"/>
      <c r="F817" s="65"/>
      <c r="H817" s="65"/>
      <c r="J817" s="65"/>
      <c r="K817" s="65"/>
      <c r="L817" s="65"/>
    </row>
    <row r="818" ht="15.75" customHeight="1">
      <c r="C818" s="65"/>
      <c r="D818" s="65"/>
      <c r="E818" s="65"/>
      <c r="F818" s="65"/>
      <c r="H818" s="65"/>
      <c r="J818" s="65"/>
      <c r="K818" s="65"/>
      <c r="L818" s="65"/>
    </row>
    <row r="819" ht="15.75" customHeight="1">
      <c r="C819" s="65"/>
      <c r="D819" s="65"/>
      <c r="E819" s="65"/>
      <c r="F819" s="65"/>
      <c r="H819" s="65"/>
      <c r="J819" s="65"/>
      <c r="K819" s="65"/>
      <c r="L819" s="65"/>
    </row>
    <row r="820" ht="15.75" customHeight="1">
      <c r="C820" s="65"/>
      <c r="D820" s="65"/>
      <c r="E820" s="65"/>
      <c r="F820" s="65"/>
      <c r="H820" s="65"/>
      <c r="J820" s="65"/>
      <c r="K820" s="65"/>
      <c r="L820" s="65"/>
    </row>
    <row r="821" ht="15.75" customHeight="1">
      <c r="C821" s="65"/>
      <c r="D821" s="65"/>
      <c r="E821" s="65"/>
      <c r="F821" s="65"/>
      <c r="H821" s="65"/>
      <c r="J821" s="65"/>
      <c r="K821" s="65"/>
      <c r="L821" s="65"/>
    </row>
    <row r="822" ht="15.75" customHeight="1">
      <c r="C822" s="65"/>
      <c r="D822" s="65"/>
      <c r="E822" s="65"/>
      <c r="F822" s="65"/>
      <c r="H822" s="65"/>
      <c r="J822" s="65"/>
      <c r="K822" s="65"/>
      <c r="L822" s="65"/>
    </row>
    <row r="823" ht="15.75" customHeight="1">
      <c r="C823" s="65"/>
      <c r="D823" s="65"/>
      <c r="E823" s="65"/>
      <c r="F823" s="65"/>
      <c r="H823" s="65"/>
      <c r="J823" s="65"/>
      <c r="K823" s="65"/>
      <c r="L823" s="65"/>
    </row>
    <row r="824" ht="15.75" customHeight="1">
      <c r="C824" s="65"/>
      <c r="D824" s="65"/>
      <c r="E824" s="65"/>
      <c r="F824" s="65"/>
      <c r="H824" s="65"/>
      <c r="J824" s="65"/>
      <c r="K824" s="65"/>
      <c r="L824" s="65"/>
    </row>
    <row r="825" ht="15.75" customHeight="1">
      <c r="C825" s="65"/>
      <c r="D825" s="65"/>
      <c r="E825" s="65"/>
      <c r="F825" s="65"/>
      <c r="H825" s="65"/>
      <c r="J825" s="65"/>
      <c r="K825" s="65"/>
      <c r="L825" s="65"/>
    </row>
    <row r="826" ht="15.75" customHeight="1">
      <c r="C826" s="65"/>
      <c r="D826" s="65"/>
      <c r="E826" s="65"/>
      <c r="F826" s="65"/>
      <c r="H826" s="65"/>
      <c r="J826" s="65"/>
      <c r="K826" s="65"/>
      <c r="L826" s="65"/>
    </row>
    <row r="827" ht="15.75" customHeight="1">
      <c r="C827" s="65"/>
      <c r="D827" s="65"/>
      <c r="E827" s="65"/>
      <c r="F827" s="65"/>
      <c r="H827" s="65"/>
      <c r="J827" s="65"/>
      <c r="K827" s="65"/>
      <c r="L827" s="65"/>
    </row>
    <row r="828" ht="15.75" customHeight="1">
      <c r="C828" s="65"/>
      <c r="D828" s="65"/>
      <c r="E828" s="65"/>
      <c r="F828" s="65"/>
      <c r="H828" s="65"/>
      <c r="J828" s="65"/>
      <c r="K828" s="65"/>
      <c r="L828" s="65"/>
    </row>
    <row r="829" ht="15.75" customHeight="1">
      <c r="C829" s="65"/>
      <c r="D829" s="65"/>
      <c r="E829" s="65"/>
      <c r="F829" s="65"/>
      <c r="H829" s="65"/>
      <c r="J829" s="65"/>
      <c r="K829" s="65"/>
      <c r="L829" s="65"/>
    </row>
    <row r="830" ht="15.75" customHeight="1">
      <c r="C830" s="65"/>
      <c r="D830" s="65"/>
      <c r="E830" s="65"/>
      <c r="F830" s="65"/>
      <c r="H830" s="65"/>
      <c r="J830" s="65"/>
      <c r="K830" s="65"/>
      <c r="L830" s="65"/>
    </row>
    <row r="831" ht="15.75" customHeight="1">
      <c r="C831" s="65"/>
      <c r="D831" s="65"/>
      <c r="E831" s="65"/>
      <c r="F831" s="65"/>
      <c r="H831" s="65"/>
      <c r="J831" s="65"/>
      <c r="K831" s="65"/>
      <c r="L831" s="65"/>
    </row>
    <row r="832" ht="15.75" customHeight="1">
      <c r="C832" s="65"/>
      <c r="D832" s="65"/>
      <c r="E832" s="65"/>
      <c r="F832" s="65"/>
      <c r="H832" s="65"/>
      <c r="J832" s="65"/>
      <c r="K832" s="65"/>
      <c r="L832" s="65"/>
    </row>
    <row r="833" ht="15.75" customHeight="1">
      <c r="C833" s="65"/>
      <c r="D833" s="65"/>
      <c r="E833" s="65"/>
      <c r="F833" s="65"/>
      <c r="H833" s="65"/>
      <c r="J833" s="65"/>
      <c r="K833" s="65"/>
      <c r="L833" s="65"/>
    </row>
    <row r="834" ht="15.75" customHeight="1">
      <c r="C834" s="65"/>
      <c r="D834" s="65"/>
      <c r="E834" s="65"/>
      <c r="F834" s="65"/>
      <c r="H834" s="65"/>
      <c r="J834" s="65"/>
      <c r="K834" s="65"/>
      <c r="L834" s="65"/>
    </row>
    <row r="835" ht="15.75" customHeight="1">
      <c r="C835" s="65"/>
      <c r="D835" s="65"/>
      <c r="E835" s="65"/>
      <c r="F835" s="65"/>
      <c r="H835" s="65"/>
      <c r="J835" s="65"/>
      <c r="K835" s="65"/>
      <c r="L835" s="65"/>
    </row>
    <row r="836" ht="15.75" customHeight="1">
      <c r="C836" s="65"/>
      <c r="D836" s="65"/>
      <c r="E836" s="65"/>
      <c r="F836" s="65"/>
      <c r="H836" s="65"/>
      <c r="J836" s="65"/>
      <c r="K836" s="65"/>
      <c r="L836" s="65"/>
    </row>
    <row r="837" ht="15.75" customHeight="1">
      <c r="C837" s="65"/>
      <c r="D837" s="65"/>
      <c r="E837" s="65"/>
      <c r="F837" s="65"/>
      <c r="H837" s="65"/>
      <c r="J837" s="65"/>
      <c r="K837" s="65"/>
      <c r="L837" s="65"/>
    </row>
    <row r="838" ht="15.75" customHeight="1">
      <c r="C838" s="65"/>
      <c r="D838" s="65"/>
      <c r="E838" s="65"/>
      <c r="F838" s="65"/>
      <c r="H838" s="65"/>
      <c r="J838" s="65"/>
      <c r="K838" s="65"/>
      <c r="L838" s="65"/>
    </row>
    <row r="839" ht="15.75" customHeight="1">
      <c r="C839" s="65"/>
      <c r="D839" s="65"/>
      <c r="E839" s="65"/>
      <c r="F839" s="65"/>
      <c r="H839" s="65"/>
      <c r="J839" s="65"/>
      <c r="K839" s="65"/>
      <c r="L839" s="65"/>
    </row>
    <row r="840" ht="15.75" customHeight="1">
      <c r="C840" s="65"/>
      <c r="D840" s="65"/>
      <c r="E840" s="65"/>
      <c r="F840" s="65"/>
      <c r="H840" s="65"/>
      <c r="J840" s="65"/>
      <c r="K840" s="65"/>
      <c r="L840" s="65"/>
    </row>
    <row r="841" ht="15.75" customHeight="1">
      <c r="C841" s="65"/>
      <c r="D841" s="65"/>
      <c r="E841" s="65"/>
      <c r="F841" s="65"/>
      <c r="H841" s="65"/>
      <c r="J841" s="65"/>
      <c r="K841" s="65"/>
      <c r="L841" s="65"/>
    </row>
    <row r="842" ht="15.75" customHeight="1">
      <c r="C842" s="65"/>
      <c r="D842" s="65"/>
      <c r="E842" s="65"/>
      <c r="F842" s="65"/>
      <c r="H842" s="65"/>
      <c r="J842" s="65"/>
      <c r="K842" s="65"/>
      <c r="L842" s="65"/>
    </row>
    <row r="843" ht="15.75" customHeight="1">
      <c r="C843" s="65"/>
      <c r="D843" s="65"/>
      <c r="E843" s="65"/>
      <c r="F843" s="65"/>
      <c r="H843" s="65"/>
      <c r="J843" s="65"/>
      <c r="K843" s="65"/>
      <c r="L843" s="65"/>
    </row>
    <row r="844" ht="15.75" customHeight="1">
      <c r="C844" s="65"/>
      <c r="D844" s="65"/>
      <c r="E844" s="65"/>
      <c r="F844" s="65"/>
      <c r="H844" s="65"/>
      <c r="J844" s="65"/>
      <c r="K844" s="65"/>
      <c r="L844" s="65"/>
    </row>
    <row r="845" ht="15.75" customHeight="1">
      <c r="C845" s="65"/>
      <c r="D845" s="65"/>
      <c r="E845" s="65"/>
      <c r="F845" s="65"/>
      <c r="H845" s="65"/>
      <c r="J845" s="65"/>
      <c r="K845" s="65"/>
      <c r="L845" s="65"/>
    </row>
    <row r="846" ht="15.75" customHeight="1">
      <c r="C846" s="65"/>
      <c r="D846" s="65"/>
      <c r="E846" s="65"/>
      <c r="F846" s="65"/>
      <c r="H846" s="65"/>
      <c r="J846" s="65"/>
      <c r="K846" s="65"/>
      <c r="L846" s="65"/>
    </row>
    <row r="847" ht="15.75" customHeight="1">
      <c r="C847" s="65"/>
      <c r="D847" s="65"/>
      <c r="E847" s="65"/>
      <c r="F847" s="65"/>
      <c r="H847" s="65"/>
      <c r="J847" s="65"/>
      <c r="K847" s="65"/>
      <c r="L847" s="65"/>
    </row>
    <row r="848" ht="15.75" customHeight="1">
      <c r="C848" s="65"/>
      <c r="D848" s="65"/>
      <c r="E848" s="65"/>
      <c r="F848" s="65"/>
      <c r="H848" s="65"/>
      <c r="J848" s="65"/>
      <c r="K848" s="65"/>
      <c r="L848" s="65"/>
    </row>
    <row r="849" ht="15.75" customHeight="1">
      <c r="C849" s="65"/>
      <c r="D849" s="65"/>
      <c r="E849" s="65"/>
      <c r="F849" s="65"/>
      <c r="H849" s="65"/>
      <c r="J849" s="65"/>
      <c r="K849" s="65"/>
      <c r="L849" s="65"/>
    </row>
    <row r="850" ht="15.75" customHeight="1">
      <c r="C850" s="65"/>
      <c r="D850" s="65"/>
      <c r="E850" s="65"/>
      <c r="F850" s="65"/>
      <c r="H850" s="65"/>
      <c r="J850" s="65"/>
      <c r="K850" s="65"/>
      <c r="L850" s="65"/>
    </row>
    <row r="851" ht="15.75" customHeight="1">
      <c r="C851" s="65"/>
      <c r="D851" s="65"/>
      <c r="E851" s="65"/>
      <c r="F851" s="65"/>
      <c r="H851" s="65"/>
      <c r="J851" s="65"/>
      <c r="K851" s="65"/>
      <c r="L851" s="65"/>
    </row>
    <row r="852" ht="15.75" customHeight="1">
      <c r="C852" s="65"/>
      <c r="D852" s="65"/>
      <c r="E852" s="65"/>
      <c r="F852" s="65"/>
      <c r="H852" s="65"/>
      <c r="J852" s="65"/>
      <c r="K852" s="65"/>
      <c r="L852" s="65"/>
    </row>
    <row r="853" ht="15.75" customHeight="1">
      <c r="C853" s="65"/>
      <c r="D853" s="65"/>
      <c r="E853" s="65"/>
      <c r="F853" s="65"/>
      <c r="H853" s="65"/>
      <c r="J853" s="65"/>
      <c r="K853" s="65"/>
      <c r="L853" s="65"/>
    </row>
    <row r="854" ht="15.75" customHeight="1">
      <c r="C854" s="65"/>
      <c r="D854" s="65"/>
      <c r="E854" s="65"/>
      <c r="F854" s="65"/>
      <c r="H854" s="65"/>
      <c r="J854" s="65"/>
      <c r="K854" s="65"/>
      <c r="L854" s="65"/>
    </row>
    <row r="855" ht="15.75" customHeight="1">
      <c r="C855" s="65"/>
      <c r="D855" s="65"/>
      <c r="E855" s="65"/>
      <c r="F855" s="65"/>
      <c r="H855" s="65"/>
      <c r="J855" s="65"/>
      <c r="K855" s="65"/>
      <c r="L855" s="65"/>
    </row>
    <row r="856" ht="15.75" customHeight="1">
      <c r="C856" s="65"/>
      <c r="D856" s="65"/>
      <c r="E856" s="65"/>
      <c r="F856" s="65"/>
      <c r="H856" s="65"/>
      <c r="J856" s="65"/>
      <c r="K856" s="65"/>
      <c r="L856" s="65"/>
    </row>
    <row r="857" ht="15.75" customHeight="1">
      <c r="C857" s="65"/>
      <c r="D857" s="65"/>
      <c r="E857" s="65"/>
      <c r="F857" s="65"/>
      <c r="H857" s="65"/>
      <c r="J857" s="65"/>
      <c r="K857" s="65"/>
      <c r="L857" s="65"/>
    </row>
    <row r="858" ht="15.75" customHeight="1">
      <c r="C858" s="65"/>
      <c r="D858" s="65"/>
      <c r="E858" s="65"/>
      <c r="F858" s="65"/>
      <c r="H858" s="65"/>
      <c r="J858" s="65"/>
      <c r="K858" s="65"/>
      <c r="L858" s="65"/>
    </row>
    <row r="859" ht="15.75" customHeight="1">
      <c r="C859" s="65"/>
      <c r="D859" s="65"/>
      <c r="E859" s="65"/>
      <c r="F859" s="65"/>
      <c r="H859" s="65"/>
      <c r="J859" s="65"/>
      <c r="K859" s="65"/>
      <c r="L859" s="65"/>
    </row>
    <row r="860" ht="15.75" customHeight="1">
      <c r="C860" s="65"/>
      <c r="D860" s="65"/>
      <c r="E860" s="65"/>
      <c r="F860" s="65"/>
      <c r="H860" s="65"/>
      <c r="J860" s="65"/>
      <c r="K860" s="65"/>
      <c r="L860" s="65"/>
    </row>
    <row r="861" ht="15.75" customHeight="1">
      <c r="C861" s="65"/>
      <c r="D861" s="65"/>
      <c r="E861" s="65"/>
      <c r="F861" s="65"/>
      <c r="H861" s="65"/>
      <c r="J861" s="65"/>
      <c r="K861" s="65"/>
      <c r="L861" s="65"/>
    </row>
    <row r="862" ht="15.75" customHeight="1">
      <c r="C862" s="65"/>
      <c r="D862" s="65"/>
      <c r="E862" s="65"/>
      <c r="F862" s="65"/>
      <c r="H862" s="65"/>
      <c r="J862" s="65"/>
      <c r="K862" s="65"/>
      <c r="L862" s="65"/>
    </row>
    <row r="863" ht="15.75" customHeight="1">
      <c r="C863" s="65"/>
      <c r="D863" s="65"/>
      <c r="E863" s="65"/>
      <c r="F863" s="65"/>
      <c r="H863" s="65"/>
      <c r="J863" s="65"/>
      <c r="K863" s="65"/>
      <c r="L863" s="65"/>
    </row>
    <row r="864" ht="15.75" customHeight="1">
      <c r="C864" s="65"/>
      <c r="D864" s="65"/>
      <c r="E864" s="65"/>
      <c r="F864" s="65"/>
      <c r="H864" s="65"/>
      <c r="J864" s="65"/>
      <c r="K864" s="65"/>
      <c r="L864" s="65"/>
    </row>
    <row r="865" ht="15.75" customHeight="1">
      <c r="C865" s="65"/>
      <c r="D865" s="65"/>
      <c r="E865" s="65"/>
      <c r="F865" s="65"/>
      <c r="H865" s="65"/>
      <c r="J865" s="65"/>
      <c r="K865" s="65"/>
      <c r="L865" s="65"/>
    </row>
    <row r="866" ht="15.75" customHeight="1">
      <c r="C866" s="65"/>
      <c r="D866" s="65"/>
      <c r="E866" s="65"/>
      <c r="F866" s="65"/>
      <c r="H866" s="65"/>
      <c r="J866" s="65"/>
      <c r="K866" s="65"/>
      <c r="L866" s="65"/>
    </row>
    <row r="867" ht="15.75" customHeight="1">
      <c r="C867" s="65"/>
      <c r="D867" s="65"/>
      <c r="E867" s="65"/>
      <c r="F867" s="65"/>
      <c r="H867" s="65"/>
      <c r="J867" s="65"/>
      <c r="K867" s="65"/>
      <c r="L867" s="65"/>
    </row>
    <row r="868" ht="15.75" customHeight="1">
      <c r="C868" s="65"/>
      <c r="D868" s="65"/>
      <c r="E868" s="65"/>
      <c r="F868" s="65"/>
      <c r="H868" s="65"/>
      <c r="J868" s="65"/>
      <c r="K868" s="65"/>
      <c r="L868" s="65"/>
    </row>
    <row r="869" ht="15.75" customHeight="1">
      <c r="C869" s="65"/>
      <c r="D869" s="65"/>
      <c r="E869" s="65"/>
      <c r="F869" s="65"/>
      <c r="H869" s="65"/>
      <c r="J869" s="65"/>
      <c r="K869" s="65"/>
      <c r="L869" s="65"/>
    </row>
    <row r="870" ht="15.75" customHeight="1">
      <c r="C870" s="65"/>
      <c r="D870" s="65"/>
      <c r="E870" s="65"/>
      <c r="F870" s="65"/>
      <c r="H870" s="65"/>
      <c r="J870" s="65"/>
      <c r="K870" s="65"/>
      <c r="L870" s="65"/>
    </row>
    <row r="871" ht="15.75" customHeight="1">
      <c r="C871" s="65"/>
      <c r="D871" s="65"/>
      <c r="E871" s="65"/>
      <c r="F871" s="65"/>
      <c r="H871" s="65"/>
      <c r="J871" s="65"/>
      <c r="K871" s="65"/>
      <c r="L871" s="65"/>
    </row>
    <row r="872" ht="15.75" customHeight="1">
      <c r="C872" s="65"/>
      <c r="D872" s="65"/>
      <c r="E872" s="65"/>
      <c r="F872" s="65"/>
      <c r="H872" s="65"/>
      <c r="J872" s="65"/>
      <c r="K872" s="65"/>
      <c r="L872" s="65"/>
    </row>
    <row r="873" ht="15.75" customHeight="1">
      <c r="C873" s="65"/>
      <c r="D873" s="65"/>
      <c r="E873" s="65"/>
      <c r="F873" s="65"/>
      <c r="H873" s="65"/>
      <c r="J873" s="65"/>
      <c r="K873" s="65"/>
      <c r="L873" s="65"/>
    </row>
    <row r="874" ht="15.75" customHeight="1">
      <c r="C874" s="65"/>
      <c r="D874" s="65"/>
      <c r="E874" s="65"/>
      <c r="F874" s="65"/>
      <c r="H874" s="65"/>
      <c r="J874" s="65"/>
      <c r="K874" s="65"/>
      <c r="L874" s="65"/>
    </row>
    <row r="875" ht="15.75" customHeight="1">
      <c r="C875" s="65"/>
      <c r="D875" s="65"/>
      <c r="E875" s="65"/>
      <c r="F875" s="65"/>
      <c r="H875" s="65"/>
      <c r="J875" s="65"/>
      <c r="K875" s="65"/>
      <c r="L875" s="65"/>
    </row>
    <row r="876" ht="15.75" customHeight="1">
      <c r="C876" s="65"/>
      <c r="D876" s="65"/>
      <c r="E876" s="65"/>
      <c r="F876" s="65"/>
      <c r="H876" s="65"/>
      <c r="J876" s="65"/>
      <c r="K876" s="65"/>
      <c r="L876" s="65"/>
    </row>
    <row r="877" ht="15.75" customHeight="1">
      <c r="C877" s="65"/>
      <c r="D877" s="65"/>
      <c r="E877" s="65"/>
      <c r="F877" s="65"/>
      <c r="H877" s="65"/>
      <c r="J877" s="65"/>
      <c r="K877" s="65"/>
      <c r="L877" s="65"/>
    </row>
    <row r="878" ht="15.75" customHeight="1">
      <c r="C878" s="65"/>
      <c r="D878" s="65"/>
      <c r="E878" s="65"/>
      <c r="F878" s="65"/>
      <c r="H878" s="65"/>
      <c r="J878" s="65"/>
      <c r="K878" s="65"/>
      <c r="L878" s="65"/>
    </row>
    <row r="879" ht="15.75" customHeight="1">
      <c r="C879" s="65"/>
      <c r="D879" s="65"/>
      <c r="E879" s="65"/>
      <c r="F879" s="65"/>
      <c r="H879" s="65"/>
      <c r="J879" s="65"/>
      <c r="K879" s="65"/>
      <c r="L879" s="65"/>
    </row>
    <row r="880" ht="15.75" customHeight="1">
      <c r="C880" s="65"/>
      <c r="D880" s="65"/>
      <c r="E880" s="65"/>
      <c r="F880" s="65"/>
      <c r="H880" s="65"/>
      <c r="J880" s="65"/>
      <c r="K880" s="65"/>
      <c r="L880" s="65"/>
    </row>
    <row r="881" ht="15.75" customHeight="1">
      <c r="C881" s="65"/>
      <c r="D881" s="65"/>
      <c r="E881" s="65"/>
      <c r="F881" s="65"/>
      <c r="H881" s="65"/>
      <c r="J881" s="65"/>
      <c r="K881" s="65"/>
      <c r="L881" s="65"/>
    </row>
    <row r="882" ht="15.75" customHeight="1">
      <c r="C882" s="65"/>
      <c r="D882" s="65"/>
      <c r="E882" s="65"/>
      <c r="F882" s="65"/>
      <c r="H882" s="65"/>
      <c r="J882" s="65"/>
      <c r="K882" s="65"/>
      <c r="L882" s="65"/>
    </row>
    <row r="883" ht="15.75" customHeight="1">
      <c r="C883" s="65"/>
      <c r="D883" s="65"/>
      <c r="E883" s="65"/>
      <c r="F883" s="65"/>
      <c r="H883" s="65"/>
      <c r="J883" s="65"/>
      <c r="K883" s="65"/>
      <c r="L883" s="65"/>
    </row>
    <row r="884" ht="15.75" customHeight="1">
      <c r="C884" s="65"/>
      <c r="D884" s="65"/>
      <c r="E884" s="65"/>
      <c r="F884" s="65"/>
      <c r="H884" s="65"/>
      <c r="J884" s="65"/>
      <c r="K884" s="65"/>
      <c r="L884" s="65"/>
    </row>
    <row r="885" ht="15.75" customHeight="1">
      <c r="C885" s="65"/>
      <c r="D885" s="65"/>
      <c r="E885" s="65"/>
      <c r="F885" s="65"/>
      <c r="H885" s="65"/>
      <c r="J885" s="65"/>
      <c r="K885" s="65"/>
      <c r="L885" s="65"/>
    </row>
    <row r="886" ht="15.75" customHeight="1">
      <c r="C886" s="65"/>
      <c r="D886" s="65"/>
      <c r="E886" s="65"/>
      <c r="F886" s="65"/>
      <c r="H886" s="65"/>
      <c r="J886" s="65"/>
      <c r="K886" s="65"/>
      <c r="L886" s="65"/>
    </row>
    <row r="887" ht="15.75" customHeight="1">
      <c r="C887" s="65"/>
      <c r="D887" s="65"/>
      <c r="E887" s="65"/>
      <c r="F887" s="65"/>
      <c r="H887" s="65"/>
      <c r="J887" s="65"/>
      <c r="K887" s="65"/>
      <c r="L887" s="65"/>
    </row>
    <row r="888" ht="15.75" customHeight="1">
      <c r="C888" s="65"/>
      <c r="D888" s="65"/>
      <c r="E888" s="65"/>
      <c r="F888" s="65"/>
      <c r="H888" s="65"/>
      <c r="J888" s="65"/>
      <c r="K888" s="65"/>
      <c r="L888" s="65"/>
    </row>
    <row r="889" ht="15.75" customHeight="1">
      <c r="C889" s="65"/>
      <c r="D889" s="65"/>
      <c r="E889" s="65"/>
      <c r="F889" s="65"/>
      <c r="H889" s="65"/>
      <c r="J889" s="65"/>
      <c r="K889" s="65"/>
      <c r="L889" s="65"/>
    </row>
    <row r="890" ht="15.75" customHeight="1">
      <c r="C890" s="65"/>
      <c r="D890" s="65"/>
      <c r="E890" s="65"/>
      <c r="F890" s="65"/>
      <c r="H890" s="65"/>
      <c r="J890" s="65"/>
      <c r="K890" s="65"/>
      <c r="L890" s="65"/>
    </row>
    <row r="891" ht="15.75" customHeight="1">
      <c r="C891" s="65"/>
      <c r="D891" s="65"/>
      <c r="E891" s="65"/>
      <c r="F891" s="65"/>
      <c r="H891" s="65"/>
      <c r="J891" s="65"/>
      <c r="K891" s="65"/>
      <c r="L891" s="65"/>
    </row>
    <row r="892" ht="15.75" customHeight="1">
      <c r="C892" s="65"/>
      <c r="D892" s="65"/>
      <c r="E892" s="65"/>
      <c r="F892" s="65"/>
      <c r="H892" s="65"/>
      <c r="J892" s="65"/>
      <c r="K892" s="65"/>
      <c r="L892" s="65"/>
    </row>
    <row r="893" ht="15.75" customHeight="1">
      <c r="C893" s="65"/>
      <c r="D893" s="65"/>
      <c r="E893" s="65"/>
      <c r="F893" s="65"/>
      <c r="H893" s="65"/>
      <c r="J893" s="65"/>
      <c r="K893" s="65"/>
      <c r="L893" s="65"/>
    </row>
    <row r="894" ht="15.75" customHeight="1">
      <c r="C894" s="65"/>
      <c r="D894" s="65"/>
      <c r="E894" s="65"/>
      <c r="F894" s="65"/>
      <c r="H894" s="65"/>
      <c r="J894" s="65"/>
      <c r="K894" s="65"/>
      <c r="L894" s="65"/>
    </row>
    <row r="895" ht="15.75" customHeight="1">
      <c r="C895" s="65"/>
      <c r="D895" s="65"/>
      <c r="E895" s="65"/>
      <c r="F895" s="65"/>
      <c r="H895" s="65"/>
      <c r="J895" s="65"/>
      <c r="K895" s="65"/>
      <c r="L895" s="65"/>
    </row>
    <row r="896" ht="15.75" customHeight="1">
      <c r="C896" s="65"/>
      <c r="D896" s="65"/>
      <c r="E896" s="65"/>
      <c r="F896" s="65"/>
      <c r="H896" s="65"/>
      <c r="J896" s="65"/>
      <c r="K896" s="65"/>
      <c r="L896" s="65"/>
    </row>
    <row r="897" ht="15.75" customHeight="1">
      <c r="C897" s="65"/>
      <c r="D897" s="65"/>
      <c r="E897" s="65"/>
      <c r="F897" s="65"/>
      <c r="H897" s="65"/>
      <c r="J897" s="65"/>
      <c r="K897" s="65"/>
      <c r="L897" s="65"/>
    </row>
    <row r="898" ht="15.75" customHeight="1">
      <c r="C898" s="65"/>
      <c r="D898" s="65"/>
      <c r="E898" s="65"/>
      <c r="F898" s="65"/>
      <c r="H898" s="65"/>
      <c r="J898" s="65"/>
      <c r="K898" s="65"/>
      <c r="L898" s="65"/>
    </row>
    <row r="899" ht="15.75" customHeight="1">
      <c r="C899" s="65"/>
      <c r="D899" s="65"/>
      <c r="E899" s="65"/>
      <c r="F899" s="65"/>
      <c r="H899" s="65"/>
      <c r="J899" s="65"/>
      <c r="K899" s="65"/>
      <c r="L899" s="65"/>
    </row>
    <row r="900" ht="15.75" customHeight="1">
      <c r="C900" s="65"/>
      <c r="D900" s="65"/>
      <c r="E900" s="65"/>
      <c r="F900" s="65"/>
      <c r="H900" s="65"/>
      <c r="J900" s="65"/>
      <c r="K900" s="65"/>
      <c r="L900" s="65"/>
    </row>
    <row r="901" ht="15.75" customHeight="1">
      <c r="C901" s="65"/>
      <c r="D901" s="65"/>
      <c r="E901" s="65"/>
      <c r="F901" s="65"/>
      <c r="H901" s="65"/>
      <c r="J901" s="65"/>
      <c r="K901" s="65"/>
      <c r="L901" s="65"/>
    </row>
    <row r="902" ht="15.75" customHeight="1">
      <c r="C902" s="65"/>
      <c r="D902" s="65"/>
      <c r="E902" s="65"/>
      <c r="F902" s="65"/>
      <c r="H902" s="65"/>
      <c r="J902" s="65"/>
      <c r="K902" s="65"/>
      <c r="L902" s="65"/>
    </row>
    <row r="903" ht="15.75" customHeight="1">
      <c r="C903" s="65"/>
      <c r="D903" s="65"/>
      <c r="E903" s="65"/>
      <c r="F903" s="65"/>
      <c r="H903" s="65"/>
      <c r="J903" s="65"/>
      <c r="K903" s="65"/>
      <c r="L903" s="65"/>
    </row>
    <row r="904" ht="15.75" customHeight="1">
      <c r="C904" s="65"/>
      <c r="D904" s="65"/>
      <c r="E904" s="65"/>
      <c r="F904" s="65"/>
      <c r="H904" s="65"/>
      <c r="J904" s="65"/>
      <c r="K904" s="65"/>
      <c r="L904" s="65"/>
    </row>
    <row r="905" ht="15.75" customHeight="1">
      <c r="C905" s="65"/>
      <c r="D905" s="65"/>
      <c r="E905" s="65"/>
      <c r="F905" s="65"/>
      <c r="H905" s="65"/>
      <c r="J905" s="65"/>
      <c r="K905" s="65"/>
      <c r="L905" s="65"/>
    </row>
    <row r="906" ht="15.75" customHeight="1">
      <c r="C906" s="65"/>
      <c r="D906" s="65"/>
      <c r="E906" s="65"/>
      <c r="F906" s="65"/>
      <c r="H906" s="65"/>
      <c r="J906" s="65"/>
      <c r="K906" s="65"/>
      <c r="L906" s="65"/>
    </row>
    <row r="907" ht="15.75" customHeight="1">
      <c r="C907" s="65"/>
      <c r="D907" s="65"/>
      <c r="E907" s="65"/>
      <c r="F907" s="65"/>
      <c r="H907" s="65"/>
      <c r="J907" s="65"/>
      <c r="K907" s="65"/>
      <c r="L907" s="65"/>
    </row>
    <row r="908" ht="15.75" customHeight="1">
      <c r="C908" s="65"/>
      <c r="D908" s="65"/>
      <c r="E908" s="65"/>
      <c r="F908" s="65"/>
      <c r="H908" s="65"/>
      <c r="J908" s="65"/>
      <c r="K908" s="65"/>
      <c r="L908" s="65"/>
    </row>
    <row r="909" ht="15.75" customHeight="1">
      <c r="C909" s="65"/>
      <c r="D909" s="65"/>
      <c r="E909" s="65"/>
      <c r="F909" s="65"/>
      <c r="H909" s="65"/>
      <c r="J909" s="65"/>
      <c r="K909" s="65"/>
      <c r="L909" s="65"/>
    </row>
    <row r="910" ht="15.75" customHeight="1">
      <c r="C910" s="65"/>
      <c r="D910" s="65"/>
      <c r="E910" s="65"/>
      <c r="F910" s="65"/>
      <c r="H910" s="65"/>
      <c r="J910" s="65"/>
      <c r="K910" s="65"/>
      <c r="L910" s="65"/>
    </row>
    <row r="911" ht="15.75" customHeight="1">
      <c r="C911" s="65"/>
      <c r="D911" s="65"/>
      <c r="E911" s="65"/>
      <c r="F911" s="65"/>
      <c r="H911" s="65"/>
      <c r="J911" s="65"/>
      <c r="K911" s="65"/>
      <c r="L911" s="65"/>
    </row>
    <row r="912" ht="15.75" customHeight="1">
      <c r="C912" s="65"/>
      <c r="D912" s="65"/>
      <c r="E912" s="65"/>
      <c r="F912" s="65"/>
      <c r="H912" s="65"/>
      <c r="J912" s="65"/>
      <c r="K912" s="65"/>
      <c r="L912" s="65"/>
    </row>
    <row r="913" ht="15.75" customHeight="1">
      <c r="C913" s="65"/>
      <c r="D913" s="65"/>
      <c r="E913" s="65"/>
      <c r="F913" s="65"/>
      <c r="H913" s="65"/>
      <c r="J913" s="65"/>
      <c r="K913" s="65"/>
      <c r="L913" s="65"/>
    </row>
    <row r="914" ht="15.75" customHeight="1">
      <c r="C914" s="65"/>
      <c r="D914" s="65"/>
      <c r="E914" s="65"/>
      <c r="F914" s="65"/>
      <c r="H914" s="65"/>
      <c r="J914" s="65"/>
      <c r="K914" s="65"/>
      <c r="L914" s="65"/>
    </row>
    <row r="915" ht="15.75" customHeight="1">
      <c r="C915" s="65"/>
      <c r="D915" s="65"/>
      <c r="E915" s="65"/>
      <c r="F915" s="65"/>
      <c r="H915" s="65"/>
      <c r="J915" s="65"/>
      <c r="K915" s="65"/>
      <c r="L915" s="65"/>
    </row>
    <row r="916" ht="15.75" customHeight="1">
      <c r="C916" s="65"/>
      <c r="D916" s="65"/>
      <c r="E916" s="65"/>
      <c r="F916" s="65"/>
      <c r="H916" s="65"/>
      <c r="J916" s="65"/>
      <c r="K916" s="65"/>
      <c r="L916" s="65"/>
    </row>
    <row r="917" ht="15.75" customHeight="1">
      <c r="C917" s="65"/>
      <c r="D917" s="65"/>
      <c r="E917" s="65"/>
      <c r="F917" s="65"/>
      <c r="H917" s="65"/>
      <c r="J917" s="65"/>
      <c r="K917" s="65"/>
      <c r="L917" s="65"/>
    </row>
    <row r="918" ht="15.75" customHeight="1">
      <c r="C918" s="65"/>
      <c r="D918" s="65"/>
      <c r="E918" s="65"/>
      <c r="F918" s="65"/>
      <c r="H918" s="65"/>
      <c r="J918" s="65"/>
      <c r="K918" s="65"/>
      <c r="L918" s="65"/>
    </row>
    <row r="919" ht="15.75" customHeight="1">
      <c r="C919" s="65"/>
      <c r="D919" s="65"/>
      <c r="E919" s="65"/>
      <c r="F919" s="65"/>
      <c r="H919" s="65"/>
      <c r="J919" s="65"/>
      <c r="K919" s="65"/>
      <c r="L919" s="65"/>
    </row>
    <row r="920" ht="15.75" customHeight="1">
      <c r="C920" s="65"/>
      <c r="D920" s="65"/>
      <c r="E920" s="65"/>
      <c r="F920" s="65"/>
      <c r="H920" s="65"/>
      <c r="J920" s="65"/>
      <c r="K920" s="65"/>
      <c r="L920" s="65"/>
    </row>
    <row r="921" ht="15.75" customHeight="1">
      <c r="C921" s="65"/>
      <c r="D921" s="65"/>
      <c r="E921" s="65"/>
      <c r="F921" s="65"/>
      <c r="H921" s="65"/>
      <c r="J921" s="65"/>
      <c r="K921" s="65"/>
      <c r="L921" s="65"/>
    </row>
    <row r="922" ht="15.75" customHeight="1">
      <c r="C922" s="65"/>
      <c r="D922" s="65"/>
      <c r="E922" s="65"/>
      <c r="F922" s="65"/>
      <c r="H922" s="65"/>
      <c r="J922" s="65"/>
      <c r="K922" s="65"/>
      <c r="L922" s="65"/>
    </row>
    <row r="923" ht="15.75" customHeight="1">
      <c r="C923" s="65"/>
      <c r="D923" s="65"/>
      <c r="E923" s="65"/>
      <c r="F923" s="65"/>
      <c r="H923" s="65"/>
      <c r="J923" s="65"/>
      <c r="K923" s="65"/>
      <c r="L923" s="65"/>
    </row>
    <row r="924" ht="15.75" customHeight="1">
      <c r="C924" s="65"/>
      <c r="D924" s="65"/>
      <c r="E924" s="65"/>
      <c r="F924" s="65"/>
      <c r="H924" s="65"/>
      <c r="J924" s="65"/>
      <c r="K924" s="65"/>
      <c r="L924" s="65"/>
    </row>
    <row r="925" ht="15.75" customHeight="1">
      <c r="C925" s="65"/>
      <c r="D925" s="65"/>
      <c r="E925" s="65"/>
      <c r="F925" s="65"/>
      <c r="H925" s="65"/>
      <c r="J925" s="65"/>
      <c r="K925" s="65"/>
      <c r="L925" s="65"/>
    </row>
    <row r="926" ht="15.75" customHeight="1">
      <c r="C926" s="65"/>
      <c r="D926" s="65"/>
      <c r="E926" s="65"/>
      <c r="F926" s="65"/>
      <c r="H926" s="65"/>
      <c r="J926" s="65"/>
      <c r="K926" s="65"/>
      <c r="L926" s="65"/>
    </row>
    <row r="927" ht="15.75" customHeight="1">
      <c r="C927" s="65"/>
      <c r="D927" s="65"/>
      <c r="E927" s="65"/>
      <c r="F927" s="65"/>
      <c r="H927" s="65"/>
      <c r="J927" s="65"/>
      <c r="K927" s="65"/>
      <c r="L927" s="65"/>
    </row>
    <row r="928" ht="15.75" customHeight="1">
      <c r="C928" s="65"/>
      <c r="D928" s="65"/>
      <c r="E928" s="65"/>
      <c r="F928" s="65"/>
      <c r="H928" s="65"/>
      <c r="J928" s="65"/>
      <c r="K928" s="65"/>
      <c r="L928" s="65"/>
    </row>
    <row r="929" ht="15.75" customHeight="1">
      <c r="C929" s="65"/>
      <c r="D929" s="65"/>
      <c r="E929" s="65"/>
      <c r="F929" s="65"/>
      <c r="H929" s="65"/>
      <c r="J929" s="65"/>
      <c r="K929" s="65"/>
      <c r="L929" s="65"/>
    </row>
    <row r="930" ht="15.75" customHeight="1">
      <c r="C930" s="65"/>
      <c r="D930" s="65"/>
      <c r="E930" s="65"/>
      <c r="F930" s="65"/>
      <c r="H930" s="65"/>
      <c r="J930" s="65"/>
      <c r="K930" s="65"/>
      <c r="L930" s="65"/>
    </row>
    <row r="931" ht="15.75" customHeight="1">
      <c r="C931" s="65"/>
      <c r="D931" s="65"/>
      <c r="E931" s="65"/>
      <c r="F931" s="65"/>
      <c r="H931" s="65"/>
      <c r="J931" s="65"/>
      <c r="K931" s="65"/>
      <c r="L931" s="65"/>
    </row>
    <row r="932" ht="15.75" customHeight="1">
      <c r="C932" s="65"/>
      <c r="D932" s="65"/>
      <c r="E932" s="65"/>
      <c r="F932" s="65"/>
      <c r="H932" s="65"/>
      <c r="J932" s="65"/>
      <c r="K932" s="65"/>
      <c r="L932" s="65"/>
    </row>
    <row r="933" ht="15.75" customHeight="1">
      <c r="C933" s="65"/>
      <c r="D933" s="65"/>
      <c r="E933" s="65"/>
      <c r="F933" s="65"/>
      <c r="H933" s="65"/>
      <c r="J933" s="65"/>
      <c r="K933" s="65"/>
      <c r="L933" s="65"/>
    </row>
    <row r="934" ht="15.75" customHeight="1">
      <c r="C934" s="65"/>
      <c r="D934" s="65"/>
      <c r="E934" s="65"/>
      <c r="F934" s="65"/>
      <c r="H934" s="65"/>
      <c r="J934" s="65"/>
      <c r="K934" s="65"/>
      <c r="L934" s="65"/>
    </row>
    <row r="935" ht="15.75" customHeight="1">
      <c r="C935" s="65"/>
      <c r="D935" s="65"/>
      <c r="E935" s="65"/>
      <c r="F935" s="65"/>
      <c r="H935" s="65"/>
      <c r="J935" s="65"/>
      <c r="K935" s="65"/>
      <c r="L935" s="65"/>
    </row>
    <row r="936" ht="15.75" customHeight="1">
      <c r="C936" s="65"/>
      <c r="D936" s="65"/>
      <c r="E936" s="65"/>
      <c r="F936" s="65"/>
      <c r="H936" s="65"/>
      <c r="J936" s="65"/>
      <c r="K936" s="65"/>
      <c r="L936" s="65"/>
    </row>
    <row r="937" ht="15.75" customHeight="1">
      <c r="C937" s="65"/>
      <c r="D937" s="65"/>
      <c r="E937" s="65"/>
      <c r="F937" s="65"/>
      <c r="H937" s="65"/>
      <c r="J937" s="65"/>
      <c r="K937" s="65"/>
      <c r="L937" s="65"/>
    </row>
    <row r="938" ht="15.75" customHeight="1">
      <c r="C938" s="65"/>
      <c r="D938" s="65"/>
      <c r="E938" s="65"/>
      <c r="F938" s="65"/>
      <c r="H938" s="65"/>
      <c r="J938" s="65"/>
      <c r="K938" s="65"/>
      <c r="L938" s="65"/>
    </row>
    <row r="939" ht="15.75" customHeight="1">
      <c r="C939" s="65"/>
      <c r="D939" s="65"/>
      <c r="E939" s="65"/>
      <c r="F939" s="65"/>
      <c r="H939" s="65"/>
      <c r="J939" s="65"/>
      <c r="K939" s="65"/>
      <c r="L939" s="65"/>
    </row>
    <row r="940" ht="15.75" customHeight="1">
      <c r="C940" s="65"/>
      <c r="D940" s="65"/>
      <c r="E940" s="65"/>
      <c r="F940" s="65"/>
      <c r="H940" s="65"/>
      <c r="J940" s="65"/>
      <c r="K940" s="65"/>
      <c r="L940" s="65"/>
    </row>
    <row r="941" ht="15.75" customHeight="1">
      <c r="C941" s="65"/>
      <c r="D941" s="65"/>
      <c r="E941" s="65"/>
      <c r="F941" s="65"/>
      <c r="H941" s="65"/>
      <c r="J941" s="65"/>
      <c r="K941" s="65"/>
      <c r="L941" s="65"/>
    </row>
    <row r="942" ht="15.75" customHeight="1">
      <c r="C942" s="65"/>
      <c r="D942" s="65"/>
      <c r="E942" s="65"/>
      <c r="F942" s="65"/>
      <c r="H942" s="65"/>
      <c r="J942" s="65"/>
      <c r="K942" s="65"/>
      <c r="L942" s="65"/>
    </row>
    <row r="943" ht="15.75" customHeight="1">
      <c r="C943" s="65"/>
      <c r="D943" s="65"/>
      <c r="E943" s="65"/>
      <c r="F943" s="65"/>
      <c r="H943" s="65"/>
      <c r="J943" s="65"/>
      <c r="K943" s="65"/>
      <c r="L943" s="65"/>
    </row>
    <row r="944" ht="15.75" customHeight="1">
      <c r="C944" s="65"/>
      <c r="D944" s="65"/>
      <c r="E944" s="65"/>
      <c r="F944" s="65"/>
      <c r="H944" s="65"/>
      <c r="J944" s="65"/>
      <c r="K944" s="65"/>
      <c r="L944" s="65"/>
    </row>
    <row r="945" ht="15.75" customHeight="1">
      <c r="C945" s="65"/>
      <c r="D945" s="65"/>
      <c r="E945" s="65"/>
      <c r="F945" s="65"/>
      <c r="H945" s="65"/>
      <c r="J945" s="65"/>
      <c r="K945" s="65"/>
      <c r="L945" s="65"/>
    </row>
    <row r="946" ht="15.75" customHeight="1">
      <c r="C946" s="65"/>
      <c r="D946" s="65"/>
      <c r="E946" s="65"/>
      <c r="F946" s="65"/>
      <c r="H946" s="65"/>
      <c r="J946" s="65"/>
      <c r="K946" s="65"/>
      <c r="L946" s="65"/>
    </row>
    <row r="947" ht="15.75" customHeight="1">
      <c r="C947" s="65"/>
      <c r="D947" s="65"/>
      <c r="E947" s="65"/>
      <c r="F947" s="65"/>
      <c r="H947" s="65"/>
      <c r="J947" s="65"/>
      <c r="K947" s="65"/>
      <c r="L947" s="65"/>
    </row>
    <row r="948" ht="15.75" customHeight="1">
      <c r="C948" s="65"/>
      <c r="D948" s="65"/>
      <c r="E948" s="65"/>
      <c r="F948" s="65"/>
      <c r="H948" s="65"/>
      <c r="J948" s="65"/>
      <c r="K948" s="65"/>
      <c r="L948" s="65"/>
    </row>
    <row r="949" ht="15.75" customHeight="1">
      <c r="C949" s="65"/>
      <c r="D949" s="65"/>
      <c r="E949" s="65"/>
      <c r="F949" s="65"/>
      <c r="H949" s="65"/>
      <c r="J949" s="65"/>
      <c r="K949" s="65"/>
      <c r="L949" s="65"/>
    </row>
    <row r="950" ht="15.75" customHeight="1">
      <c r="C950" s="65"/>
      <c r="D950" s="65"/>
      <c r="E950" s="65"/>
      <c r="F950" s="65"/>
      <c r="H950" s="65"/>
      <c r="J950" s="65"/>
      <c r="K950" s="65"/>
      <c r="L950" s="65"/>
    </row>
    <row r="951" ht="15.75" customHeight="1">
      <c r="C951" s="65"/>
      <c r="D951" s="65"/>
      <c r="E951" s="65"/>
      <c r="F951" s="65"/>
      <c r="H951" s="65"/>
      <c r="J951" s="65"/>
      <c r="K951" s="65"/>
      <c r="L951" s="65"/>
    </row>
    <row r="952" ht="15.75" customHeight="1">
      <c r="C952" s="65"/>
      <c r="D952" s="65"/>
      <c r="E952" s="65"/>
      <c r="F952" s="65"/>
      <c r="H952" s="65"/>
      <c r="J952" s="65"/>
      <c r="K952" s="65"/>
      <c r="L952" s="65"/>
    </row>
    <row r="953" ht="15.75" customHeight="1">
      <c r="C953" s="65"/>
      <c r="D953" s="65"/>
      <c r="E953" s="65"/>
      <c r="F953" s="65"/>
      <c r="H953" s="65"/>
      <c r="J953" s="65"/>
      <c r="K953" s="65"/>
      <c r="L953" s="65"/>
    </row>
    <row r="954" ht="15.75" customHeight="1">
      <c r="C954" s="65"/>
      <c r="D954" s="65"/>
      <c r="E954" s="65"/>
      <c r="F954" s="65"/>
      <c r="H954" s="65"/>
      <c r="J954" s="65"/>
      <c r="K954" s="65"/>
      <c r="L954" s="65"/>
    </row>
    <row r="955" ht="15.75" customHeight="1">
      <c r="C955" s="65"/>
      <c r="D955" s="65"/>
      <c r="E955" s="65"/>
      <c r="F955" s="65"/>
      <c r="H955" s="65"/>
      <c r="J955" s="65"/>
      <c r="K955" s="65"/>
      <c r="L955" s="65"/>
    </row>
    <row r="956" ht="15.75" customHeight="1">
      <c r="C956" s="65"/>
      <c r="D956" s="65"/>
      <c r="E956" s="65"/>
      <c r="F956" s="65"/>
      <c r="H956" s="65"/>
      <c r="J956" s="65"/>
      <c r="K956" s="65"/>
      <c r="L956" s="65"/>
    </row>
    <row r="957" ht="15.75" customHeight="1">
      <c r="C957" s="65"/>
      <c r="D957" s="65"/>
      <c r="E957" s="65"/>
      <c r="F957" s="65"/>
      <c r="H957" s="65"/>
      <c r="J957" s="65"/>
      <c r="K957" s="65"/>
      <c r="L957" s="65"/>
    </row>
    <row r="958" ht="15.75" customHeight="1">
      <c r="C958" s="65"/>
      <c r="D958" s="65"/>
      <c r="E958" s="65"/>
      <c r="F958" s="65"/>
      <c r="H958" s="65"/>
      <c r="J958" s="65"/>
      <c r="K958" s="65"/>
      <c r="L958" s="65"/>
    </row>
    <row r="959" ht="15.75" customHeight="1">
      <c r="C959" s="65"/>
      <c r="D959" s="65"/>
      <c r="E959" s="65"/>
      <c r="F959" s="65"/>
      <c r="H959" s="65"/>
      <c r="J959" s="65"/>
      <c r="K959" s="65"/>
      <c r="L959" s="65"/>
    </row>
    <row r="960" ht="15.75" customHeight="1">
      <c r="C960" s="65"/>
      <c r="D960" s="65"/>
      <c r="E960" s="65"/>
      <c r="F960" s="65"/>
      <c r="H960" s="65"/>
      <c r="J960" s="65"/>
      <c r="K960" s="65"/>
      <c r="L960" s="65"/>
    </row>
    <row r="961" ht="15.75" customHeight="1">
      <c r="C961" s="65"/>
      <c r="D961" s="65"/>
      <c r="E961" s="65"/>
      <c r="F961" s="65"/>
      <c r="H961" s="65"/>
      <c r="J961" s="65"/>
      <c r="K961" s="65"/>
      <c r="L961" s="65"/>
    </row>
    <row r="962" ht="15.75" customHeight="1">
      <c r="C962" s="65"/>
      <c r="D962" s="65"/>
      <c r="E962" s="65"/>
      <c r="F962" s="65"/>
      <c r="H962" s="65"/>
      <c r="J962" s="65"/>
      <c r="K962" s="65"/>
      <c r="L962" s="65"/>
    </row>
    <row r="963" ht="15.75" customHeight="1">
      <c r="C963" s="65"/>
      <c r="D963" s="65"/>
      <c r="E963" s="65"/>
      <c r="F963" s="65"/>
      <c r="H963" s="65"/>
      <c r="J963" s="65"/>
      <c r="K963" s="65"/>
      <c r="L963" s="65"/>
    </row>
    <row r="964" ht="15.75" customHeight="1">
      <c r="C964" s="65"/>
      <c r="D964" s="65"/>
      <c r="E964" s="65"/>
      <c r="F964" s="65"/>
      <c r="H964" s="65"/>
      <c r="J964" s="65"/>
      <c r="K964" s="65"/>
      <c r="L964" s="65"/>
    </row>
    <row r="965" ht="15.75" customHeight="1">
      <c r="C965" s="65"/>
      <c r="D965" s="65"/>
      <c r="E965" s="65"/>
      <c r="F965" s="65"/>
      <c r="H965" s="65"/>
      <c r="J965" s="65"/>
      <c r="K965" s="65"/>
      <c r="L965" s="65"/>
    </row>
    <row r="966" ht="15.75" customHeight="1">
      <c r="C966" s="65"/>
      <c r="D966" s="65"/>
      <c r="E966" s="65"/>
      <c r="F966" s="65"/>
      <c r="H966" s="65"/>
      <c r="J966" s="65"/>
      <c r="K966" s="65"/>
      <c r="L966" s="65"/>
    </row>
    <row r="967" ht="15.75" customHeight="1">
      <c r="C967" s="65"/>
      <c r="D967" s="65"/>
      <c r="E967" s="65"/>
      <c r="F967" s="65"/>
      <c r="H967" s="65"/>
      <c r="J967" s="65"/>
      <c r="K967" s="65"/>
      <c r="L967" s="65"/>
    </row>
    <row r="968" ht="15.75" customHeight="1">
      <c r="C968" s="65"/>
      <c r="D968" s="65"/>
      <c r="E968" s="65"/>
      <c r="F968" s="65"/>
      <c r="H968" s="65"/>
      <c r="J968" s="65"/>
      <c r="K968" s="65"/>
      <c r="L968" s="65"/>
    </row>
    <row r="969" ht="15.75" customHeight="1">
      <c r="C969" s="65"/>
      <c r="D969" s="65"/>
      <c r="E969" s="65"/>
      <c r="F969" s="65"/>
      <c r="H969" s="65"/>
      <c r="J969" s="65"/>
      <c r="K969" s="65"/>
      <c r="L969" s="65"/>
    </row>
    <row r="970" ht="15.75" customHeight="1">
      <c r="C970" s="65"/>
      <c r="D970" s="65"/>
      <c r="E970" s="65"/>
      <c r="F970" s="65"/>
      <c r="H970" s="65"/>
      <c r="J970" s="65"/>
      <c r="K970" s="65"/>
      <c r="L970" s="65"/>
    </row>
    <row r="971" ht="15.75" customHeight="1">
      <c r="C971" s="65"/>
      <c r="D971" s="65"/>
      <c r="E971" s="65"/>
      <c r="F971" s="65"/>
      <c r="H971" s="65"/>
      <c r="J971" s="65"/>
      <c r="K971" s="65"/>
      <c r="L971" s="65"/>
    </row>
    <row r="972" ht="15.75" customHeight="1">
      <c r="C972" s="65"/>
      <c r="D972" s="65"/>
      <c r="E972" s="65"/>
      <c r="F972" s="65"/>
      <c r="H972" s="65"/>
      <c r="J972" s="65"/>
      <c r="K972" s="65"/>
      <c r="L972" s="65"/>
    </row>
    <row r="973" ht="15.75" customHeight="1">
      <c r="C973" s="65"/>
      <c r="D973" s="65"/>
      <c r="E973" s="65"/>
      <c r="F973" s="65"/>
      <c r="H973" s="65"/>
      <c r="J973" s="65"/>
      <c r="K973" s="65"/>
      <c r="L973" s="65"/>
    </row>
    <row r="974" ht="15.75" customHeight="1">
      <c r="C974" s="65"/>
      <c r="D974" s="65"/>
      <c r="E974" s="65"/>
      <c r="F974" s="65"/>
      <c r="H974" s="65"/>
      <c r="J974" s="65"/>
      <c r="K974" s="65"/>
      <c r="L974" s="65"/>
    </row>
    <row r="975" ht="15.75" customHeight="1">
      <c r="C975" s="65"/>
      <c r="D975" s="65"/>
      <c r="E975" s="65"/>
      <c r="F975" s="65"/>
      <c r="H975" s="65"/>
      <c r="J975" s="65"/>
      <c r="K975" s="65"/>
      <c r="L975" s="65"/>
    </row>
    <row r="976" ht="15.75" customHeight="1">
      <c r="C976" s="65"/>
      <c r="D976" s="65"/>
      <c r="E976" s="65"/>
      <c r="F976" s="65"/>
      <c r="H976" s="65"/>
      <c r="J976" s="65"/>
      <c r="K976" s="65"/>
      <c r="L976" s="65"/>
    </row>
    <row r="977" ht="15.75" customHeight="1">
      <c r="C977" s="65"/>
      <c r="D977" s="65"/>
      <c r="E977" s="65"/>
      <c r="F977" s="65"/>
      <c r="H977" s="65"/>
      <c r="J977" s="65"/>
      <c r="K977" s="65"/>
      <c r="L977" s="65"/>
    </row>
    <row r="978" ht="15.75" customHeight="1">
      <c r="C978" s="65"/>
      <c r="D978" s="65"/>
      <c r="E978" s="65"/>
      <c r="F978" s="65"/>
      <c r="H978" s="65"/>
      <c r="J978" s="65"/>
      <c r="K978" s="65"/>
      <c r="L978" s="65"/>
    </row>
    <row r="979" ht="15.75" customHeight="1">
      <c r="C979" s="65"/>
      <c r="D979" s="65"/>
      <c r="E979" s="65"/>
      <c r="F979" s="65"/>
      <c r="H979" s="65"/>
      <c r="J979" s="65"/>
      <c r="K979" s="65"/>
      <c r="L979" s="65"/>
    </row>
    <row r="980" ht="15.75" customHeight="1">
      <c r="C980" s="65"/>
      <c r="D980" s="65"/>
      <c r="E980" s="65"/>
      <c r="F980" s="65"/>
      <c r="H980" s="65"/>
      <c r="J980" s="65"/>
      <c r="K980" s="65"/>
      <c r="L980" s="65"/>
    </row>
    <row r="981" ht="15.75" customHeight="1">
      <c r="C981" s="65"/>
      <c r="D981" s="65"/>
      <c r="E981" s="65"/>
      <c r="F981" s="65"/>
      <c r="H981" s="65"/>
      <c r="J981" s="65"/>
      <c r="K981" s="65"/>
      <c r="L981" s="65"/>
    </row>
    <row r="982" ht="15.75" customHeight="1">
      <c r="C982" s="65"/>
      <c r="D982" s="65"/>
      <c r="E982" s="65"/>
      <c r="F982" s="65"/>
      <c r="H982" s="65"/>
      <c r="J982" s="65"/>
      <c r="K982" s="65"/>
      <c r="L982" s="65"/>
    </row>
    <row r="983" ht="15.75" customHeight="1">
      <c r="C983" s="65"/>
      <c r="D983" s="65"/>
      <c r="E983" s="65"/>
      <c r="F983" s="65"/>
      <c r="H983" s="65"/>
      <c r="J983" s="65"/>
      <c r="K983" s="65"/>
      <c r="L983" s="65"/>
    </row>
    <row r="984" ht="15.75" customHeight="1">
      <c r="C984" s="65"/>
      <c r="D984" s="65"/>
      <c r="E984" s="65"/>
      <c r="F984" s="65"/>
      <c r="H984" s="65"/>
      <c r="J984" s="65"/>
      <c r="K984" s="65"/>
      <c r="L984" s="65"/>
    </row>
    <row r="985" ht="15.75" customHeight="1">
      <c r="C985" s="65"/>
      <c r="D985" s="65"/>
      <c r="E985" s="65"/>
      <c r="F985" s="65"/>
      <c r="H985" s="65"/>
      <c r="J985" s="65"/>
      <c r="K985" s="65"/>
      <c r="L985" s="65"/>
    </row>
    <row r="986" ht="15.75" customHeight="1">
      <c r="C986" s="65"/>
      <c r="D986" s="65"/>
      <c r="E986" s="65"/>
      <c r="F986" s="65"/>
      <c r="H986" s="65"/>
      <c r="J986" s="65"/>
      <c r="K986" s="65"/>
      <c r="L986" s="65"/>
    </row>
    <row r="987" ht="15.75" customHeight="1">
      <c r="C987" s="65"/>
      <c r="D987" s="65"/>
      <c r="E987" s="65"/>
      <c r="F987" s="65"/>
      <c r="H987" s="65"/>
      <c r="J987" s="65"/>
      <c r="K987" s="65"/>
      <c r="L987" s="65"/>
    </row>
    <row r="988" ht="15.75" customHeight="1">
      <c r="C988" s="65"/>
      <c r="D988" s="65"/>
      <c r="E988" s="65"/>
      <c r="F988" s="65"/>
      <c r="H988" s="65"/>
      <c r="J988" s="65"/>
      <c r="K988" s="65"/>
      <c r="L988" s="65"/>
    </row>
    <row r="989" ht="15.75" customHeight="1">
      <c r="C989" s="65"/>
      <c r="D989" s="65"/>
      <c r="E989" s="65"/>
      <c r="F989" s="65"/>
      <c r="H989" s="65"/>
      <c r="J989" s="65"/>
      <c r="K989" s="65"/>
      <c r="L989" s="65"/>
    </row>
    <row r="990" ht="15.75" customHeight="1">
      <c r="C990" s="65"/>
      <c r="D990" s="65"/>
      <c r="E990" s="65"/>
      <c r="F990" s="65"/>
      <c r="H990" s="65"/>
      <c r="J990" s="65"/>
      <c r="K990" s="65"/>
      <c r="L990" s="65"/>
    </row>
    <row r="991" ht="15.75" customHeight="1">
      <c r="C991" s="65"/>
      <c r="D991" s="65"/>
      <c r="E991" s="65"/>
      <c r="F991" s="65"/>
      <c r="H991" s="65"/>
      <c r="J991" s="65"/>
      <c r="K991" s="65"/>
      <c r="L991" s="65"/>
    </row>
    <row r="992" ht="15.75" customHeight="1">
      <c r="C992" s="65"/>
      <c r="D992" s="65"/>
      <c r="E992" s="65"/>
      <c r="F992" s="65"/>
      <c r="H992" s="65"/>
      <c r="J992" s="65"/>
      <c r="K992" s="65"/>
      <c r="L992" s="65"/>
    </row>
    <row r="993" ht="15.75" customHeight="1">
      <c r="C993" s="65"/>
      <c r="D993" s="65"/>
      <c r="E993" s="65"/>
      <c r="F993" s="65"/>
      <c r="H993" s="65"/>
      <c r="J993" s="65"/>
      <c r="K993" s="65"/>
      <c r="L993" s="65"/>
    </row>
    <row r="994" ht="15.75" customHeight="1">
      <c r="C994" s="65"/>
      <c r="D994" s="65"/>
      <c r="E994" s="65"/>
      <c r="F994" s="65"/>
      <c r="H994" s="65"/>
      <c r="J994" s="65"/>
      <c r="K994" s="65"/>
      <c r="L994" s="65"/>
    </row>
    <row r="995" ht="15.75" customHeight="1">
      <c r="C995" s="65"/>
      <c r="D995" s="65"/>
      <c r="E995" s="65"/>
      <c r="F995" s="65"/>
      <c r="H995" s="65"/>
      <c r="J995" s="65"/>
      <c r="K995" s="65"/>
      <c r="L995" s="65"/>
    </row>
    <row r="996" ht="15.75" customHeight="1">
      <c r="C996" s="65"/>
      <c r="D996" s="65"/>
      <c r="E996" s="65"/>
      <c r="F996" s="65"/>
      <c r="H996" s="65"/>
      <c r="J996" s="65"/>
      <c r="K996" s="65"/>
      <c r="L996" s="65"/>
    </row>
    <row r="997" ht="15.75" customHeight="1">
      <c r="C997" s="65"/>
      <c r="D997" s="65"/>
      <c r="E997" s="65"/>
      <c r="F997" s="65"/>
      <c r="H997" s="65"/>
      <c r="J997" s="65"/>
      <c r="K997" s="65"/>
      <c r="L997" s="65"/>
    </row>
    <row r="998" ht="15.75" customHeight="1">
      <c r="C998" s="65"/>
      <c r="D998" s="65"/>
      <c r="E998" s="65"/>
      <c r="F998" s="65"/>
      <c r="H998" s="65"/>
      <c r="J998" s="65"/>
      <c r="K998" s="65"/>
      <c r="L998" s="65"/>
    </row>
    <row r="999" ht="15.75" customHeight="1">
      <c r="C999" s="65"/>
      <c r="D999" s="65"/>
      <c r="E999" s="65"/>
      <c r="F999" s="65"/>
      <c r="H999" s="65"/>
      <c r="J999" s="65"/>
      <c r="K999" s="65"/>
      <c r="L999" s="65"/>
    </row>
    <row r="1000" ht="15.75" customHeight="1">
      <c r="C1000" s="65"/>
      <c r="D1000" s="65"/>
      <c r="E1000" s="65"/>
      <c r="F1000" s="65"/>
      <c r="H1000" s="65"/>
      <c r="J1000" s="65"/>
      <c r="K1000" s="65"/>
      <c r="L1000" s="65"/>
    </row>
  </sheetData>
  <autoFilter ref="$A$1:$M$14"/>
  <dataValidations>
    <dataValidation type="list" allowBlank="1" sqref="L2:L1000">
      <formula1>'_Lists'!$A$2:$A$43</formula1>
    </dataValidation>
    <dataValidation type="date" operator="greaterThanOrEqual" allowBlank="1" showInputMessage="1" prompt="Due Date - Enter a date (YYYY-MM-DD)" sqref="H2:H1000">
      <formula1>2020-1-1</formula1>
    </dataValidation>
    <dataValidation type="list" allowBlank="1" sqref="F2:F1000">
      <formula1>"Amy Tripp,Napadech,Nattapat Suwansipaisan,Nutgritta Prasomthongsuk,Thiraphat Panthong"</formula1>
    </dataValidation>
    <dataValidation type="list" allowBlank="1" sqref="K2:K1000">
      <formula1>"SCRUM-58,SCRUM-317,SCRUM-324,SCRUM-323,SCRUM-322,SCRUM-321,SCRUM-320,SCRUM-319,SCRUM-318,SCRUM-59,SCRUM-304,SCRUM-303,SCRUM-302"</formula1>
    </dataValidation>
    <dataValidation type="list" allowBlank="1" sqref="D2:D1000">
      <formula1>"To Do,In Progress,Done,Closed,Resolved"</formula1>
    </dataValidation>
    <dataValidation type="list" allowBlank="1" sqref="E2:E1000">
      <formula1>"Highest,High,Medium,Low,Lowest"</formula1>
    </dataValidation>
    <dataValidation type="list" allowBlank="1" sqref="J2:J1000">
      <formula1>"SCRUM Sprint 1,SCRUM Sprint 2,SCRUM Sprint 3,SCRUM Sprint 4"</formula1>
    </dataValidation>
    <dataValidation type="list" allowBlank="1" sqref="C2:C1000">
      <formula1>"Epic,Task,Test,Subtask"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98" t="s">
        <v>660</v>
      </c>
      <c r="B1" s="98" t="s">
        <v>661</v>
      </c>
      <c r="C1" s="98" t="s">
        <v>662</v>
      </c>
      <c r="D1" s="98" t="s">
        <v>54</v>
      </c>
      <c r="E1" s="98" t="s">
        <v>38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17</v>
      </c>
      <c r="B2" s="4" t="s">
        <v>16</v>
      </c>
      <c r="C2" s="4">
        <f t="shared" ref="C2:C255" si="1">IFERROR(VALUE(MID(B2,7,LEN(B2)-6)),"")</f>
        <v>3</v>
      </c>
      <c r="D2" s="4" t="s">
        <v>62</v>
      </c>
      <c r="E2" s="4" t="s">
        <v>14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17</v>
      </c>
      <c r="B3" s="4" t="s">
        <v>359</v>
      </c>
      <c r="C3" s="4">
        <f t="shared" si="1"/>
        <v>191</v>
      </c>
      <c r="D3" s="4" t="s">
        <v>68</v>
      </c>
      <c r="E3" s="4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17</v>
      </c>
      <c r="B4" s="4" t="s">
        <v>362</v>
      </c>
      <c r="C4" s="4">
        <f t="shared" si="1"/>
        <v>13</v>
      </c>
      <c r="D4" s="4" t="s">
        <v>68</v>
      </c>
      <c r="E4" s="4" t="s">
        <v>14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17</v>
      </c>
      <c r="B5" s="4" t="s">
        <v>364</v>
      </c>
      <c r="C5" s="4">
        <f t="shared" si="1"/>
        <v>226</v>
      </c>
      <c r="D5" s="4" t="s">
        <v>75</v>
      </c>
      <c r="E5" s="4" t="s">
        <v>14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17</v>
      </c>
      <c r="B6" s="4" t="s">
        <v>366</v>
      </c>
      <c r="C6" s="4">
        <f t="shared" si="1"/>
        <v>225</v>
      </c>
      <c r="D6" s="4" t="s">
        <v>75</v>
      </c>
      <c r="E6" s="4" t="s">
        <v>14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17</v>
      </c>
      <c r="B7" s="4" t="s">
        <v>368</v>
      </c>
      <c r="C7" s="4">
        <f t="shared" si="1"/>
        <v>224</v>
      </c>
      <c r="D7" s="4" t="s">
        <v>75</v>
      </c>
      <c r="E7" s="4" t="s">
        <v>14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17</v>
      </c>
      <c r="B8" s="4" t="s">
        <v>370</v>
      </c>
      <c r="C8" s="4">
        <f t="shared" si="1"/>
        <v>223</v>
      </c>
      <c r="D8" s="4" t="s">
        <v>75</v>
      </c>
      <c r="E8" s="4" t="s">
        <v>14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17</v>
      </c>
      <c r="B9" s="4" t="s">
        <v>372</v>
      </c>
      <c r="C9" s="4">
        <f t="shared" si="1"/>
        <v>221</v>
      </c>
      <c r="D9" s="4" t="s">
        <v>75</v>
      </c>
      <c r="E9" s="4" t="s">
        <v>14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17</v>
      </c>
      <c r="B10" s="4" t="s">
        <v>374</v>
      </c>
      <c r="C10" s="4">
        <f t="shared" si="1"/>
        <v>220</v>
      </c>
      <c r="D10" s="4" t="s">
        <v>75</v>
      </c>
      <c r="E10" s="4" t="s">
        <v>14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17</v>
      </c>
      <c r="B11" s="4" t="s">
        <v>376</v>
      </c>
      <c r="C11" s="4">
        <f t="shared" si="1"/>
        <v>15</v>
      </c>
      <c r="D11" s="4" t="s">
        <v>68</v>
      </c>
      <c r="E11" s="4" t="s">
        <v>14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17</v>
      </c>
      <c r="B12" s="4" t="s">
        <v>379</v>
      </c>
      <c r="C12" s="4">
        <f t="shared" si="1"/>
        <v>230</v>
      </c>
      <c r="D12" s="4" t="s">
        <v>75</v>
      </c>
      <c r="E12" s="4" t="s">
        <v>14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17</v>
      </c>
      <c r="B13" s="4" t="s">
        <v>381</v>
      </c>
      <c r="C13" s="4">
        <f t="shared" si="1"/>
        <v>227</v>
      </c>
      <c r="D13" s="4" t="s">
        <v>75</v>
      </c>
      <c r="E13" s="4" t="s">
        <v>14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17</v>
      </c>
      <c r="B14" s="4" t="s">
        <v>383</v>
      </c>
      <c r="C14" s="4">
        <f t="shared" si="1"/>
        <v>233</v>
      </c>
      <c r="D14" s="4" t="s">
        <v>75</v>
      </c>
      <c r="E14" s="4" t="s">
        <v>14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17</v>
      </c>
      <c r="B15" s="4" t="s">
        <v>385</v>
      </c>
      <c r="C15" s="4">
        <f t="shared" si="1"/>
        <v>232</v>
      </c>
      <c r="D15" s="4" t="s">
        <v>75</v>
      </c>
      <c r="E15" s="4" t="s">
        <v>14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17</v>
      </c>
      <c r="B16" s="4" t="s">
        <v>387</v>
      </c>
      <c r="C16" s="4">
        <f t="shared" si="1"/>
        <v>231</v>
      </c>
      <c r="D16" s="4" t="s">
        <v>75</v>
      </c>
      <c r="E16" s="4" t="s">
        <v>14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17</v>
      </c>
      <c r="B17" s="4" t="s">
        <v>389</v>
      </c>
      <c r="C17" s="4">
        <f t="shared" si="1"/>
        <v>229</v>
      </c>
      <c r="D17" s="4" t="s">
        <v>75</v>
      </c>
      <c r="E17" s="4" t="s">
        <v>14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17</v>
      </c>
      <c r="B18" s="4" t="s">
        <v>391</v>
      </c>
      <c r="C18" s="4">
        <f t="shared" si="1"/>
        <v>228</v>
      </c>
      <c r="D18" s="4" t="s">
        <v>75</v>
      </c>
      <c r="E18" s="4" t="s">
        <v>14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17</v>
      </c>
      <c r="B19" s="4" t="s">
        <v>393</v>
      </c>
      <c r="C19" s="4">
        <f t="shared" si="1"/>
        <v>253</v>
      </c>
      <c r="D19" s="4" t="s">
        <v>68</v>
      </c>
      <c r="E19" s="4" t="s">
        <v>14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17</v>
      </c>
      <c r="B20" s="4" t="s">
        <v>399</v>
      </c>
      <c r="C20" s="4">
        <f t="shared" si="1"/>
        <v>238</v>
      </c>
      <c r="D20" s="4" t="s">
        <v>68</v>
      </c>
      <c r="E20" s="4" t="s">
        <v>14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17</v>
      </c>
      <c r="B21" s="4" t="s">
        <v>404</v>
      </c>
      <c r="C21" s="4">
        <f t="shared" si="1"/>
        <v>16</v>
      </c>
      <c r="D21" s="4" t="s">
        <v>68</v>
      </c>
      <c r="E21" s="4" t="s">
        <v>14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19</v>
      </c>
      <c r="B22" s="4" t="s">
        <v>18</v>
      </c>
      <c r="C22" s="4">
        <f t="shared" si="1"/>
        <v>1</v>
      </c>
      <c r="D22" s="4" t="s">
        <v>62</v>
      </c>
      <c r="E22" s="4" t="s">
        <v>14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19</v>
      </c>
      <c r="B23" s="4" t="s">
        <v>406</v>
      </c>
      <c r="C23" s="4">
        <f t="shared" si="1"/>
        <v>193</v>
      </c>
      <c r="D23" s="4" t="s">
        <v>68</v>
      </c>
      <c r="E23" s="4" t="s">
        <v>14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19</v>
      </c>
      <c r="B24" s="4" t="s">
        <v>407</v>
      </c>
      <c r="C24" s="4">
        <f t="shared" si="1"/>
        <v>189</v>
      </c>
      <c r="D24" s="4" t="s">
        <v>68</v>
      </c>
      <c r="E24" s="4" t="s">
        <v>14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19</v>
      </c>
      <c r="B25" s="4" t="s">
        <v>409</v>
      </c>
      <c r="C25" s="4">
        <f t="shared" si="1"/>
        <v>208</v>
      </c>
      <c r="D25" s="4" t="s">
        <v>75</v>
      </c>
      <c r="E25" s="4" t="s">
        <v>14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19</v>
      </c>
      <c r="B26" s="4" t="s">
        <v>411</v>
      </c>
      <c r="C26" s="4">
        <f t="shared" si="1"/>
        <v>204</v>
      </c>
      <c r="D26" s="4" t="s">
        <v>75</v>
      </c>
      <c r="E26" s="4" t="s">
        <v>14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19</v>
      </c>
      <c r="B27" s="4" t="s">
        <v>412</v>
      </c>
      <c r="C27" s="4">
        <f t="shared" si="1"/>
        <v>203</v>
      </c>
      <c r="D27" s="4" t="s">
        <v>75</v>
      </c>
      <c r="E27" s="4" t="s">
        <v>14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19</v>
      </c>
      <c r="B28" s="4" t="s">
        <v>414</v>
      </c>
      <c r="C28" s="4">
        <f t="shared" si="1"/>
        <v>215</v>
      </c>
      <c r="D28" s="4" t="s">
        <v>75</v>
      </c>
      <c r="E28" s="4" t="s">
        <v>14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19</v>
      </c>
      <c r="B29" s="4" t="s">
        <v>417</v>
      </c>
      <c r="C29" s="4">
        <f t="shared" si="1"/>
        <v>207</v>
      </c>
      <c r="D29" s="4" t="s">
        <v>75</v>
      </c>
      <c r="E29" s="4" t="s">
        <v>14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19</v>
      </c>
      <c r="B30" s="4" t="s">
        <v>419</v>
      </c>
      <c r="C30" s="4">
        <f t="shared" si="1"/>
        <v>206</v>
      </c>
      <c r="D30" s="4" t="s">
        <v>75</v>
      </c>
      <c r="E30" s="4" t="s">
        <v>14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19</v>
      </c>
      <c r="B31" s="4" t="s">
        <v>421</v>
      </c>
      <c r="C31" s="4">
        <f t="shared" si="1"/>
        <v>205</v>
      </c>
      <c r="D31" s="4" t="s">
        <v>75</v>
      </c>
      <c r="E31" s="4" t="s">
        <v>14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19</v>
      </c>
      <c r="B32" s="4" t="s">
        <v>423</v>
      </c>
      <c r="C32" s="4">
        <f t="shared" si="1"/>
        <v>55</v>
      </c>
      <c r="D32" s="4" t="s">
        <v>68</v>
      </c>
      <c r="E32" s="4" t="s">
        <v>14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19</v>
      </c>
      <c r="B33" s="4" t="s">
        <v>425</v>
      </c>
      <c r="C33" s="4">
        <f t="shared" si="1"/>
        <v>196</v>
      </c>
      <c r="D33" s="4" t="s">
        <v>75</v>
      </c>
      <c r="E33" s="4" t="s">
        <v>14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19</v>
      </c>
      <c r="B34" s="4" t="s">
        <v>427</v>
      </c>
      <c r="C34" s="4">
        <f t="shared" si="1"/>
        <v>98</v>
      </c>
      <c r="D34" s="4" t="s">
        <v>75</v>
      </c>
      <c r="E34" s="4" t="s">
        <v>14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19</v>
      </c>
      <c r="B35" s="4" t="s">
        <v>429</v>
      </c>
      <c r="C35" s="4">
        <f t="shared" si="1"/>
        <v>93</v>
      </c>
      <c r="D35" s="4" t="s">
        <v>75</v>
      </c>
      <c r="E35" s="4" t="s">
        <v>14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19</v>
      </c>
      <c r="B36" s="4" t="s">
        <v>431</v>
      </c>
      <c r="C36" s="4">
        <f t="shared" si="1"/>
        <v>91</v>
      </c>
      <c r="D36" s="4" t="s">
        <v>75</v>
      </c>
      <c r="E36" s="4" t="s">
        <v>14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19</v>
      </c>
      <c r="B37" s="4" t="s">
        <v>433</v>
      </c>
      <c r="C37" s="4">
        <f t="shared" si="1"/>
        <v>90</v>
      </c>
      <c r="D37" s="4" t="s">
        <v>75</v>
      </c>
      <c r="E37" s="4" t="s">
        <v>14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19</v>
      </c>
      <c r="B38" s="4" t="s">
        <v>435</v>
      </c>
      <c r="C38" s="4">
        <f t="shared" si="1"/>
        <v>9</v>
      </c>
      <c r="D38" s="4" t="s">
        <v>68</v>
      </c>
      <c r="E38" s="4" t="s">
        <v>14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19</v>
      </c>
      <c r="B39" s="4" t="s">
        <v>437</v>
      </c>
      <c r="C39" s="4">
        <f t="shared" si="1"/>
        <v>100</v>
      </c>
      <c r="D39" s="4" t="s">
        <v>75</v>
      </c>
      <c r="E39" s="4" t="s">
        <v>14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19</v>
      </c>
      <c r="B40" s="4" t="s">
        <v>440</v>
      </c>
      <c r="C40" s="4">
        <f t="shared" si="1"/>
        <v>99</v>
      </c>
      <c r="D40" s="4" t="s">
        <v>75</v>
      </c>
      <c r="E40" s="4" t="s">
        <v>14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19</v>
      </c>
      <c r="B41" s="4" t="s">
        <v>442</v>
      </c>
      <c r="C41" s="4">
        <f t="shared" si="1"/>
        <v>248</v>
      </c>
      <c r="D41" s="4" t="s">
        <v>75</v>
      </c>
      <c r="E41" s="4" t="s">
        <v>14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19</v>
      </c>
      <c r="B42" s="4" t="s">
        <v>443</v>
      </c>
      <c r="C42" s="4">
        <f t="shared" si="1"/>
        <v>247</v>
      </c>
      <c r="D42" s="4" t="s">
        <v>75</v>
      </c>
      <c r="E42" s="4" t="s">
        <v>14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19</v>
      </c>
      <c r="B43" s="4" t="s">
        <v>444</v>
      </c>
      <c r="C43" s="4">
        <f t="shared" si="1"/>
        <v>245</v>
      </c>
      <c r="D43" s="4" t="s">
        <v>75</v>
      </c>
      <c r="E43" s="4" t="s">
        <v>14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19</v>
      </c>
      <c r="B44" s="4" t="s">
        <v>445</v>
      </c>
      <c r="C44" s="4">
        <f t="shared" si="1"/>
        <v>244</v>
      </c>
      <c r="D44" s="4" t="s">
        <v>75</v>
      </c>
      <c r="E44" s="4" t="s">
        <v>14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19</v>
      </c>
      <c r="B45" s="4" t="s">
        <v>446</v>
      </c>
      <c r="C45" s="4">
        <f t="shared" si="1"/>
        <v>243</v>
      </c>
      <c r="D45" s="4" t="s">
        <v>75</v>
      </c>
      <c r="E45" s="4" t="s">
        <v>14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19</v>
      </c>
      <c r="B46" s="4" t="s">
        <v>448</v>
      </c>
      <c r="C46" s="4">
        <f t="shared" si="1"/>
        <v>242</v>
      </c>
      <c r="D46" s="4" t="s">
        <v>75</v>
      </c>
      <c r="E46" s="4" t="s">
        <v>14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19</v>
      </c>
      <c r="B47" s="4" t="s">
        <v>449</v>
      </c>
      <c r="C47" s="4">
        <f t="shared" si="1"/>
        <v>239</v>
      </c>
      <c r="D47" s="4" t="s">
        <v>68</v>
      </c>
      <c r="E47" s="4" t="s">
        <v>14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19</v>
      </c>
      <c r="B48" s="4" t="s">
        <v>451</v>
      </c>
      <c r="C48" s="4">
        <f t="shared" si="1"/>
        <v>240</v>
      </c>
      <c r="D48" s="4" t="s">
        <v>75</v>
      </c>
      <c r="E48" s="4" t="s">
        <v>14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19</v>
      </c>
      <c r="B49" s="4" t="s">
        <v>453</v>
      </c>
      <c r="C49" s="4">
        <f t="shared" si="1"/>
        <v>252</v>
      </c>
      <c r="D49" s="4" t="s">
        <v>75</v>
      </c>
      <c r="E49" s="4" t="s">
        <v>14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19</v>
      </c>
      <c r="B50" s="4" t="s">
        <v>456</v>
      </c>
      <c r="C50" s="4">
        <f t="shared" si="1"/>
        <v>251</v>
      </c>
      <c r="D50" s="4" t="s">
        <v>75</v>
      </c>
      <c r="E50" s="4" t="s">
        <v>14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19</v>
      </c>
      <c r="B51" s="4" t="s">
        <v>458</v>
      </c>
      <c r="C51" s="4">
        <f t="shared" si="1"/>
        <v>115</v>
      </c>
      <c r="D51" s="4" t="s">
        <v>68</v>
      </c>
      <c r="E51" s="4" t="s">
        <v>14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19</v>
      </c>
      <c r="B52" s="4" t="s">
        <v>461</v>
      </c>
      <c r="C52" s="4">
        <f t="shared" si="1"/>
        <v>118</v>
      </c>
      <c r="D52" s="4" t="s">
        <v>75</v>
      </c>
      <c r="E52" s="4" t="s">
        <v>14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19</v>
      </c>
      <c r="B53" s="4" t="s">
        <v>463</v>
      </c>
      <c r="C53" s="4">
        <f t="shared" si="1"/>
        <v>117</v>
      </c>
      <c r="D53" s="4" t="s">
        <v>75</v>
      </c>
      <c r="E53" s="4" t="s">
        <v>14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19</v>
      </c>
      <c r="B54" s="4" t="s">
        <v>465</v>
      </c>
      <c r="C54" s="4">
        <f t="shared" si="1"/>
        <v>116</v>
      </c>
      <c r="D54" s="4" t="s">
        <v>75</v>
      </c>
      <c r="E54" s="4" t="s">
        <v>14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19</v>
      </c>
      <c r="B55" s="4" t="s">
        <v>467</v>
      </c>
      <c r="C55" s="4">
        <f t="shared" si="1"/>
        <v>10</v>
      </c>
      <c r="D55" s="4" t="s">
        <v>68</v>
      </c>
      <c r="E55" s="4" t="s">
        <v>14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19</v>
      </c>
      <c r="B56" s="4" t="s">
        <v>469</v>
      </c>
      <c r="C56" s="4">
        <f t="shared" si="1"/>
        <v>123</v>
      </c>
      <c r="D56" s="4" t="s">
        <v>75</v>
      </c>
      <c r="E56" s="4" t="s">
        <v>14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19</v>
      </c>
      <c r="B57" s="4" t="s">
        <v>471</v>
      </c>
      <c r="C57" s="4">
        <f t="shared" si="1"/>
        <v>122</v>
      </c>
      <c r="D57" s="4" t="s">
        <v>75</v>
      </c>
      <c r="E57" s="4" t="s">
        <v>14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19</v>
      </c>
      <c r="B58" s="4" t="s">
        <v>473</v>
      </c>
      <c r="C58" s="4">
        <f t="shared" si="1"/>
        <v>121</v>
      </c>
      <c r="D58" s="4" t="s">
        <v>75</v>
      </c>
      <c r="E58" s="4" t="s">
        <v>14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19</v>
      </c>
      <c r="B59" s="4" t="s">
        <v>475</v>
      </c>
      <c r="C59" s="4">
        <f t="shared" si="1"/>
        <v>120</v>
      </c>
      <c r="D59" s="4" t="s">
        <v>75</v>
      </c>
      <c r="E59" s="4" t="s">
        <v>14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19</v>
      </c>
      <c r="B60" s="4" t="s">
        <v>477</v>
      </c>
      <c r="C60" s="4">
        <f t="shared" si="1"/>
        <v>119</v>
      </c>
      <c r="D60" s="4" t="s">
        <v>75</v>
      </c>
      <c r="E60" s="4" t="s">
        <v>14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19</v>
      </c>
      <c r="B61" s="4" t="s">
        <v>479</v>
      </c>
      <c r="C61" s="4">
        <f t="shared" si="1"/>
        <v>11</v>
      </c>
      <c r="D61" s="4" t="s">
        <v>68</v>
      </c>
      <c r="E61" s="4" t="s">
        <v>14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19</v>
      </c>
      <c r="B62" s="4" t="s">
        <v>481</v>
      </c>
      <c r="C62" s="4">
        <f t="shared" si="1"/>
        <v>113</v>
      </c>
      <c r="D62" s="4" t="s">
        <v>75</v>
      </c>
      <c r="E62" s="4" t="s">
        <v>14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19</v>
      </c>
      <c r="B63" s="4" t="s">
        <v>484</v>
      </c>
      <c r="C63" s="4">
        <f t="shared" si="1"/>
        <v>112</v>
      </c>
      <c r="D63" s="4" t="s">
        <v>75</v>
      </c>
      <c r="E63" s="4" t="s">
        <v>14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19</v>
      </c>
      <c r="B64" s="4" t="s">
        <v>486</v>
      </c>
      <c r="C64" s="4">
        <f t="shared" si="1"/>
        <v>110</v>
      </c>
      <c r="D64" s="4" t="s">
        <v>75</v>
      </c>
      <c r="E64" s="4" t="s">
        <v>14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19</v>
      </c>
      <c r="B65" s="4" t="s">
        <v>488</v>
      </c>
      <c r="C65" s="4">
        <f t="shared" si="1"/>
        <v>109</v>
      </c>
      <c r="D65" s="4" t="s">
        <v>75</v>
      </c>
      <c r="E65" s="4" t="s">
        <v>14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21</v>
      </c>
      <c r="B66" s="4" t="s">
        <v>20</v>
      </c>
      <c r="C66" s="4">
        <f t="shared" si="1"/>
        <v>8</v>
      </c>
      <c r="D66" s="4" t="s">
        <v>62</v>
      </c>
      <c r="E66" s="4" t="s">
        <v>44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21</v>
      </c>
      <c r="B67" s="4" t="s">
        <v>66</v>
      </c>
      <c r="C67" s="4">
        <f t="shared" si="1"/>
        <v>64</v>
      </c>
      <c r="D67" s="4" t="s">
        <v>68</v>
      </c>
      <c r="E67" s="4" t="s">
        <v>14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21</v>
      </c>
      <c r="B68" s="4" t="s">
        <v>73</v>
      </c>
      <c r="C68" s="4">
        <f t="shared" si="1"/>
        <v>72</v>
      </c>
      <c r="D68" s="4" t="s">
        <v>75</v>
      </c>
      <c r="E68" s="4" t="s">
        <v>14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21</v>
      </c>
      <c r="B69" s="4" t="s">
        <v>77</v>
      </c>
      <c r="C69" s="4">
        <f t="shared" si="1"/>
        <v>71</v>
      </c>
      <c r="D69" s="4" t="s">
        <v>75</v>
      </c>
      <c r="E69" s="4" t="s">
        <v>14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21</v>
      </c>
      <c r="B70" s="4" t="s">
        <v>79</v>
      </c>
      <c r="C70" s="4">
        <f t="shared" si="1"/>
        <v>70</v>
      </c>
      <c r="D70" s="4" t="s">
        <v>75</v>
      </c>
      <c r="E70" s="4" t="s">
        <v>14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21</v>
      </c>
      <c r="B71" s="4" t="s">
        <v>81</v>
      </c>
      <c r="C71" s="4">
        <f t="shared" si="1"/>
        <v>69</v>
      </c>
      <c r="D71" s="4" t="s">
        <v>75</v>
      </c>
      <c r="E71" s="4" t="s">
        <v>14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21</v>
      </c>
      <c r="B72" s="4" t="s">
        <v>83</v>
      </c>
      <c r="C72" s="4">
        <f t="shared" si="1"/>
        <v>68</v>
      </c>
      <c r="D72" s="4" t="s">
        <v>75</v>
      </c>
      <c r="E72" s="4" t="s">
        <v>14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21</v>
      </c>
      <c r="B73" s="4" t="s">
        <v>85</v>
      </c>
      <c r="C73" s="4">
        <f t="shared" si="1"/>
        <v>45</v>
      </c>
      <c r="D73" s="4" t="s">
        <v>68</v>
      </c>
      <c r="E73" s="4" t="s">
        <v>14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21</v>
      </c>
      <c r="B74" s="4" t="s">
        <v>88</v>
      </c>
      <c r="C74" s="4">
        <f t="shared" si="1"/>
        <v>195</v>
      </c>
      <c r="D74" s="4" t="s">
        <v>75</v>
      </c>
      <c r="E74" s="4" t="s">
        <v>14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21</v>
      </c>
      <c r="B75" s="4" t="s">
        <v>92</v>
      </c>
      <c r="C75" s="4">
        <f t="shared" si="1"/>
        <v>83</v>
      </c>
      <c r="D75" s="4" t="s">
        <v>75</v>
      </c>
      <c r="E75" s="4" t="s">
        <v>14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21</v>
      </c>
      <c r="B76" s="4" t="s">
        <v>94</v>
      </c>
      <c r="C76" s="4">
        <f t="shared" si="1"/>
        <v>78</v>
      </c>
      <c r="D76" s="4" t="s">
        <v>75</v>
      </c>
      <c r="E76" s="4" t="s">
        <v>14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21</v>
      </c>
      <c r="B77" s="4" t="s">
        <v>97</v>
      </c>
      <c r="C77" s="4">
        <f t="shared" si="1"/>
        <v>80</v>
      </c>
      <c r="D77" s="4" t="s">
        <v>75</v>
      </c>
      <c r="E77" s="4" t="s">
        <v>14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21</v>
      </c>
      <c r="B78" s="4" t="s">
        <v>99</v>
      </c>
      <c r="C78" s="4">
        <f t="shared" si="1"/>
        <v>89</v>
      </c>
      <c r="D78" s="4" t="s">
        <v>68</v>
      </c>
      <c r="E78" s="4" t="s">
        <v>14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21</v>
      </c>
      <c r="B79" s="4" t="s">
        <v>102</v>
      </c>
      <c r="C79" s="4">
        <f t="shared" si="1"/>
        <v>211</v>
      </c>
      <c r="D79" s="4" t="s">
        <v>75</v>
      </c>
      <c r="E79" s="4" t="s">
        <v>14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21</v>
      </c>
      <c r="B80" s="4" t="s">
        <v>104</v>
      </c>
      <c r="C80" s="4">
        <f t="shared" si="1"/>
        <v>107</v>
      </c>
      <c r="D80" s="4" t="s">
        <v>75</v>
      </c>
      <c r="E80" s="4" t="s">
        <v>14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21</v>
      </c>
      <c r="B81" s="4" t="s">
        <v>106</v>
      </c>
      <c r="C81" s="4">
        <f t="shared" si="1"/>
        <v>104</v>
      </c>
      <c r="D81" s="4" t="s">
        <v>75</v>
      </c>
      <c r="E81" s="4" t="s">
        <v>14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21</v>
      </c>
      <c r="B82" s="4" t="s">
        <v>108</v>
      </c>
      <c r="C82" s="4">
        <f t="shared" si="1"/>
        <v>102</v>
      </c>
      <c r="D82" s="4" t="s">
        <v>75</v>
      </c>
      <c r="E82" s="4" t="s">
        <v>14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21</v>
      </c>
      <c r="B83" s="4" t="s">
        <v>110</v>
      </c>
      <c r="C83" s="4">
        <f t="shared" si="1"/>
        <v>212</v>
      </c>
      <c r="D83" s="4" t="s">
        <v>75</v>
      </c>
      <c r="E83" s="4" t="s">
        <v>14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21</v>
      </c>
      <c r="B84" s="4" t="s">
        <v>113</v>
      </c>
      <c r="C84" s="4">
        <f t="shared" si="1"/>
        <v>108</v>
      </c>
      <c r="D84" s="4" t="s">
        <v>75</v>
      </c>
      <c r="E84" s="4" t="s">
        <v>14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21</v>
      </c>
      <c r="B85" s="4" t="s">
        <v>115</v>
      </c>
      <c r="C85" s="4">
        <f t="shared" si="1"/>
        <v>209</v>
      </c>
      <c r="D85" s="4" t="s">
        <v>68</v>
      </c>
      <c r="E85" s="4" t="s">
        <v>14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21</v>
      </c>
      <c r="B86" s="4" t="s">
        <v>119</v>
      </c>
      <c r="C86" s="4">
        <f t="shared" si="1"/>
        <v>292</v>
      </c>
      <c r="D86" s="4" t="s">
        <v>75</v>
      </c>
      <c r="E86" s="4" t="s">
        <v>14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21</v>
      </c>
      <c r="B87" s="4" t="s">
        <v>122</v>
      </c>
      <c r="C87" s="4">
        <f t="shared" si="1"/>
        <v>291</v>
      </c>
      <c r="D87" s="4" t="s">
        <v>75</v>
      </c>
      <c r="E87" s="4" t="s">
        <v>14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21</v>
      </c>
      <c r="B88" s="4" t="s">
        <v>124</v>
      </c>
      <c r="C88" s="4">
        <f t="shared" si="1"/>
        <v>290</v>
      </c>
      <c r="D88" s="4" t="s">
        <v>75</v>
      </c>
      <c r="E88" s="4" t="s">
        <v>14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21</v>
      </c>
      <c r="B89" s="4" t="s">
        <v>126</v>
      </c>
      <c r="C89" s="4">
        <f t="shared" si="1"/>
        <v>286</v>
      </c>
      <c r="D89" s="4" t="s">
        <v>68</v>
      </c>
      <c r="E89" s="4" t="s">
        <v>14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21</v>
      </c>
      <c r="B90" s="4" t="s">
        <v>130</v>
      </c>
      <c r="C90" s="4">
        <f t="shared" si="1"/>
        <v>289</v>
      </c>
      <c r="D90" s="4" t="s">
        <v>75</v>
      </c>
      <c r="E90" s="4" t="s">
        <v>14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21</v>
      </c>
      <c r="B91" s="4" t="s">
        <v>132</v>
      </c>
      <c r="C91" s="4">
        <f t="shared" si="1"/>
        <v>288</v>
      </c>
      <c r="D91" s="4" t="s">
        <v>75</v>
      </c>
      <c r="E91" s="4" t="s">
        <v>14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21</v>
      </c>
      <c r="B92" s="4" t="s">
        <v>135</v>
      </c>
      <c r="C92" s="4">
        <f t="shared" si="1"/>
        <v>46</v>
      </c>
      <c r="D92" s="4" t="s">
        <v>68</v>
      </c>
      <c r="E92" s="4" t="s">
        <v>44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21</v>
      </c>
      <c r="B93" s="4" t="s">
        <v>137</v>
      </c>
      <c r="C93" s="4">
        <f t="shared" si="1"/>
        <v>202</v>
      </c>
      <c r="D93" s="4" t="s">
        <v>75</v>
      </c>
      <c r="E93" s="4" t="s">
        <v>14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21</v>
      </c>
      <c r="B94" s="4" t="s">
        <v>141</v>
      </c>
      <c r="C94" s="4">
        <f t="shared" si="1"/>
        <v>201</v>
      </c>
      <c r="D94" s="4" t="s">
        <v>75</v>
      </c>
      <c r="E94" s="4" t="s">
        <v>14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21</v>
      </c>
      <c r="B95" s="4" t="s">
        <v>143</v>
      </c>
      <c r="C95" s="4">
        <f t="shared" si="1"/>
        <v>200</v>
      </c>
      <c r="D95" s="4" t="s">
        <v>75</v>
      </c>
      <c r="E95" s="4" t="s">
        <v>14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21</v>
      </c>
      <c r="B96" s="4" t="s">
        <v>145</v>
      </c>
      <c r="C96" s="4">
        <f t="shared" si="1"/>
        <v>199</v>
      </c>
      <c r="D96" s="4" t="s">
        <v>75</v>
      </c>
      <c r="E96" s="4" t="s">
        <v>14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21</v>
      </c>
      <c r="B97" s="4" t="s">
        <v>147</v>
      </c>
      <c r="C97" s="4">
        <f t="shared" si="1"/>
        <v>143</v>
      </c>
      <c r="D97" s="4" t="s">
        <v>75</v>
      </c>
      <c r="E97" s="4" t="s">
        <v>14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21</v>
      </c>
      <c r="B98" s="4" t="s">
        <v>150</v>
      </c>
      <c r="C98" s="4">
        <f t="shared" si="1"/>
        <v>142</v>
      </c>
      <c r="D98" s="4" t="s">
        <v>75</v>
      </c>
      <c r="E98" s="4" t="s">
        <v>14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21</v>
      </c>
      <c r="B99" s="4" t="s">
        <v>152</v>
      </c>
      <c r="C99" s="4">
        <f t="shared" si="1"/>
        <v>141</v>
      </c>
      <c r="D99" s="4" t="s">
        <v>75</v>
      </c>
      <c r="E99" s="4" t="s">
        <v>14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21</v>
      </c>
      <c r="B100" s="4" t="s">
        <v>154</v>
      </c>
      <c r="C100" s="4">
        <f t="shared" si="1"/>
        <v>194</v>
      </c>
      <c r="D100" s="4" t="s">
        <v>75</v>
      </c>
      <c r="E100" s="4" t="s">
        <v>44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21</v>
      </c>
      <c r="B101" s="4" t="s">
        <v>159</v>
      </c>
      <c r="C101" s="4">
        <f t="shared" si="1"/>
        <v>140</v>
      </c>
      <c r="D101" s="4" t="s">
        <v>75</v>
      </c>
      <c r="E101" s="4" t="s">
        <v>44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21</v>
      </c>
      <c r="B102" s="4" t="s">
        <v>162</v>
      </c>
      <c r="C102" s="4">
        <f t="shared" si="1"/>
        <v>77</v>
      </c>
      <c r="D102" s="4" t="s">
        <v>75</v>
      </c>
      <c r="E102" s="4" t="s">
        <v>44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21</v>
      </c>
      <c r="B103" s="4" t="s">
        <v>164</v>
      </c>
      <c r="C103" s="4">
        <f t="shared" si="1"/>
        <v>217</v>
      </c>
      <c r="D103" s="4" t="s">
        <v>75</v>
      </c>
      <c r="E103" s="4" t="s">
        <v>235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663</v>
      </c>
      <c r="B104" s="4" t="s">
        <v>22</v>
      </c>
      <c r="C104" s="4">
        <f t="shared" si="1"/>
        <v>49</v>
      </c>
      <c r="D104" s="4" t="s">
        <v>62</v>
      </c>
      <c r="E104" s="4" t="s">
        <v>44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663</v>
      </c>
      <c r="B105" s="4" t="s">
        <v>168</v>
      </c>
      <c r="C105" s="4">
        <f t="shared" si="1"/>
        <v>181</v>
      </c>
      <c r="D105" s="4" t="s">
        <v>68</v>
      </c>
      <c r="E105" s="4" t="s">
        <v>14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663</v>
      </c>
      <c r="B106" s="4" t="s">
        <v>172</v>
      </c>
      <c r="C106" s="4">
        <f t="shared" si="1"/>
        <v>186</v>
      </c>
      <c r="D106" s="4" t="s">
        <v>75</v>
      </c>
      <c r="E106" s="4" t="s">
        <v>14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663</v>
      </c>
      <c r="B107" s="4" t="s">
        <v>175</v>
      </c>
      <c r="C107" s="4">
        <f t="shared" si="1"/>
        <v>185</v>
      </c>
      <c r="D107" s="4" t="s">
        <v>75</v>
      </c>
      <c r="E107" s="4" t="s">
        <v>14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663</v>
      </c>
      <c r="B108" s="4" t="s">
        <v>177</v>
      </c>
      <c r="C108" s="4">
        <f t="shared" si="1"/>
        <v>184</v>
      </c>
      <c r="D108" s="4" t="s">
        <v>75</v>
      </c>
      <c r="E108" s="4" t="s">
        <v>14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663</v>
      </c>
      <c r="B109" s="4" t="s">
        <v>179</v>
      </c>
      <c r="C109" s="4">
        <f t="shared" si="1"/>
        <v>183</v>
      </c>
      <c r="D109" s="4" t="s">
        <v>75</v>
      </c>
      <c r="E109" s="4" t="s">
        <v>14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663</v>
      </c>
      <c r="B110" s="4" t="s">
        <v>181</v>
      </c>
      <c r="C110" s="4">
        <f t="shared" si="1"/>
        <v>51</v>
      </c>
      <c r="D110" s="4" t="s">
        <v>68</v>
      </c>
      <c r="E110" s="4" t="s">
        <v>44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663</v>
      </c>
      <c r="B111" s="4" t="s">
        <v>184</v>
      </c>
      <c r="C111" s="4">
        <f t="shared" si="1"/>
        <v>81</v>
      </c>
      <c r="D111" s="4" t="s">
        <v>75</v>
      </c>
      <c r="E111" s="4" t="s">
        <v>14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663</v>
      </c>
      <c r="B112" s="4" t="s">
        <v>188</v>
      </c>
      <c r="C112" s="4">
        <f t="shared" si="1"/>
        <v>92</v>
      </c>
      <c r="D112" s="4" t="s">
        <v>75</v>
      </c>
      <c r="E112" s="4" t="s">
        <v>14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663</v>
      </c>
      <c r="B113" s="4" t="s">
        <v>190</v>
      </c>
      <c r="C113" s="4">
        <f t="shared" si="1"/>
        <v>87</v>
      </c>
      <c r="D113" s="4" t="s">
        <v>75</v>
      </c>
      <c r="E113" s="4" t="s">
        <v>14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663</v>
      </c>
      <c r="B114" s="4" t="s">
        <v>193</v>
      </c>
      <c r="C114" s="4">
        <f t="shared" si="1"/>
        <v>84</v>
      </c>
      <c r="D114" s="4" t="s">
        <v>75</v>
      </c>
      <c r="E114" s="4" t="s">
        <v>14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663</v>
      </c>
      <c r="B115" s="4" t="s">
        <v>195</v>
      </c>
      <c r="C115" s="4">
        <f t="shared" si="1"/>
        <v>88</v>
      </c>
      <c r="D115" s="4" t="s">
        <v>75</v>
      </c>
      <c r="E115" s="4" t="s">
        <v>14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663</v>
      </c>
      <c r="B116" s="4" t="s">
        <v>197</v>
      </c>
      <c r="C116" s="4">
        <f t="shared" si="1"/>
        <v>94</v>
      </c>
      <c r="D116" s="4" t="s">
        <v>75</v>
      </c>
      <c r="E116" s="4" t="s">
        <v>14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663</v>
      </c>
      <c r="B117" s="4" t="s">
        <v>199</v>
      </c>
      <c r="C117" s="4">
        <f t="shared" si="1"/>
        <v>250</v>
      </c>
      <c r="D117" s="4" t="s">
        <v>75</v>
      </c>
      <c r="E117" s="4" t="s">
        <v>14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663</v>
      </c>
      <c r="B118" s="4" t="s">
        <v>203</v>
      </c>
      <c r="C118" s="4">
        <f t="shared" si="1"/>
        <v>86</v>
      </c>
      <c r="D118" s="4" t="s">
        <v>75</v>
      </c>
      <c r="E118" s="4" t="s">
        <v>14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663</v>
      </c>
      <c r="B119" s="4" t="s">
        <v>206</v>
      </c>
      <c r="C119" s="4">
        <f t="shared" si="1"/>
        <v>85</v>
      </c>
      <c r="D119" s="4" t="s">
        <v>75</v>
      </c>
      <c r="E119" s="4" t="s">
        <v>14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663</v>
      </c>
      <c r="B120" s="4" t="s">
        <v>208</v>
      </c>
      <c r="C120" s="4">
        <f t="shared" si="1"/>
        <v>95</v>
      </c>
      <c r="D120" s="4" t="s">
        <v>75</v>
      </c>
      <c r="E120" s="4" t="s">
        <v>14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663</v>
      </c>
      <c r="B121" s="4" t="s">
        <v>210</v>
      </c>
      <c r="C121" s="4">
        <f t="shared" si="1"/>
        <v>96</v>
      </c>
      <c r="D121" s="4" t="s">
        <v>75</v>
      </c>
      <c r="E121" s="4" t="s">
        <v>14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663</v>
      </c>
      <c r="B122" s="4" t="s">
        <v>212</v>
      </c>
      <c r="C122" s="4">
        <f t="shared" si="1"/>
        <v>300</v>
      </c>
      <c r="D122" s="4" t="s">
        <v>75</v>
      </c>
      <c r="E122" s="4" t="s">
        <v>14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663</v>
      </c>
      <c r="B123" s="4" t="s">
        <v>215</v>
      </c>
      <c r="C123" s="4">
        <f t="shared" si="1"/>
        <v>299</v>
      </c>
      <c r="D123" s="4" t="s">
        <v>75</v>
      </c>
      <c r="E123" s="4" t="s">
        <v>14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663</v>
      </c>
      <c r="B124" s="4" t="s">
        <v>217</v>
      </c>
      <c r="C124" s="4">
        <f t="shared" si="1"/>
        <v>298</v>
      </c>
      <c r="D124" s="4" t="s">
        <v>75</v>
      </c>
      <c r="E124" s="4" t="s">
        <v>14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663</v>
      </c>
      <c r="B125" s="4" t="s">
        <v>219</v>
      </c>
      <c r="C125" s="4">
        <f t="shared" si="1"/>
        <v>293</v>
      </c>
      <c r="D125" s="4" t="s">
        <v>75</v>
      </c>
      <c r="E125" s="4" t="s">
        <v>14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663</v>
      </c>
      <c r="B126" s="4" t="s">
        <v>222</v>
      </c>
      <c r="C126" s="4">
        <f t="shared" si="1"/>
        <v>346</v>
      </c>
      <c r="D126" s="4" t="s">
        <v>75</v>
      </c>
      <c r="E126" s="4" t="s">
        <v>14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663</v>
      </c>
      <c r="B127" s="4" t="s">
        <v>225</v>
      </c>
      <c r="C127" s="4">
        <f t="shared" si="1"/>
        <v>297</v>
      </c>
      <c r="D127" s="4" t="s">
        <v>75</v>
      </c>
      <c r="E127" s="4" t="s">
        <v>14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663</v>
      </c>
      <c r="B128" s="4" t="s">
        <v>227</v>
      </c>
      <c r="C128" s="4">
        <f t="shared" si="1"/>
        <v>296</v>
      </c>
      <c r="D128" s="4" t="s">
        <v>75</v>
      </c>
      <c r="E128" s="4" t="s">
        <v>14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663</v>
      </c>
      <c r="B129" s="4" t="s">
        <v>229</v>
      </c>
      <c r="C129" s="4">
        <f t="shared" si="1"/>
        <v>82</v>
      </c>
      <c r="D129" s="4" t="s">
        <v>75</v>
      </c>
      <c r="E129" s="4" t="s">
        <v>14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663</v>
      </c>
      <c r="B130" s="4" t="s">
        <v>232</v>
      </c>
      <c r="C130" s="4">
        <f t="shared" si="1"/>
        <v>75</v>
      </c>
      <c r="D130" s="4" t="s">
        <v>75</v>
      </c>
      <c r="E130" s="4" t="s">
        <v>14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663</v>
      </c>
      <c r="B131" s="4" t="s">
        <v>233</v>
      </c>
      <c r="C131" s="4">
        <f t="shared" si="1"/>
        <v>347</v>
      </c>
      <c r="D131" s="4" t="s">
        <v>75</v>
      </c>
      <c r="E131" s="4" t="s">
        <v>235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663</v>
      </c>
      <c r="B132" s="4" t="s">
        <v>236</v>
      </c>
      <c r="C132" s="4">
        <f t="shared" si="1"/>
        <v>50</v>
      </c>
      <c r="D132" s="4" t="s">
        <v>68</v>
      </c>
      <c r="E132" s="4" t="s">
        <v>44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663</v>
      </c>
      <c r="B133" s="4" t="s">
        <v>238</v>
      </c>
      <c r="C133" s="4">
        <f t="shared" si="1"/>
        <v>74</v>
      </c>
      <c r="D133" s="4" t="s">
        <v>75</v>
      </c>
      <c r="E133" s="4" t="s">
        <v>14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663</v>
      </c>
      <c r="B134" s="4" t="s">
        <v>240</v>
      </c>
      <c r="C134" s="4">
        <f t="shared" si="1"/>
        <v>155</v>
      </c>
      <c r="D134" s="4" t="s">
        <v>75</v>
      </c>
      <c r="E134" s="4" t="s">
        <v>14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663</v>
      </c>
      <c r="B135" s="4" t="s">
        <v>243</v>
      </c>
      <c r="C135" s="4">
        <f t="shared" si="1"/>
        <v>168</v>
      </c>
      <c r="D135" s="4" t="s">
        <v>75</v>
      </c>
      <c r="E135" s="4" t="s">
        <v>14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663</v>
      </c>
      <c r="B136" s="4" t="s">
        <v>246</v>
      </c>
      <c r="C136" s="4">
        <f t="shared" si="1"/>
        <v>165</v>
      </c>
      <c r="D136" s="4" t="s">
        <v>75</v>
      </c>
      <c r="E136" s="4" t="s">
        <v>14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663</v>
      </c>
      <c r="B137" s="4" t="s">
        <v>248</v>
      </c>
      <c r="C137" s="4">
        <f t="shared" si="1"/>
        <v>164</v>
      </c>
      <c r="D137" s="4" t="s">
        <v>75</v>
      </c>
      <c r="E137" s="4" t="s">
        <v>14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">
        <v>663</v>
      </c>
      <c r="B138" s="4" t="s">
        <v>250</v>
      </c>
      <c r="C138" s="4">
        <f t="shared" si="1"/>
        <v>163</v>
      </c>
      <c r="D138" s="4" t="s">
        <v>75</v>
      </c>
      <c r="E138" s="4" t="s">
        <v>14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">
        <v>663</v>
      </c>
      <c r="B139" s="4" t="s">
        <v>252</v>
      </c>
      <c r="C139" s="4">
        <f t="shared" si="1"/>
        <v>162</v>
      </c>
      <c r="D139" s="4" t="s">
        <v>75</v>
      </c>
      <c r="E139" s="4" t="s">
        <v>14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">
        <v>663</v>
      </c>
      <c r="B140" s="4" t="s">
        <v>254</v>
      </c>
      <c r="C140" s="4">
        <f t="shared" si="1"/>
        <v>169</v>
      </c>
      <c r="D140" s="4" t="s">
        <v>75</v>
      </c>
      <c r="E140" s="4" t="s">
        <v>14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">
        <v>663</v>
      </c>
      <c r="B141" s="4" t="s">
        <v>257</v>
      </c>
      <c r="C141" s="4">
        <f t="shared" si="1"/>
        <v>175</v>
      </c>
      <c r="D141" s="4" t="s">
        <v>75</v>
      </c>
      <c r="E141" s="4" t="s">
        <v>14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">
        <v>663</v>
      </c>
      <c r="B142" s="4" t="s">
        <v>259</v>
      </c>
      <c r="C142" s="4">
        <f t="shared" si="1"/>
        <v>174</v>
      </c>
      <c r="D142" s="4" t="s">
        <v>75</v>
      </c>
      <c r="E142" s="4" t="s">
        <v>14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">
        <v>663</v>
      </c>
      <c r="B143" s="4" t="s">
        <v>261</v>
      </c>
      <c r="C143" s="4">
        <f t="shared" si="1"/>
        <v>172</v>
      </c>
      <c r="D143" s="4" t="s">
        <v>75</v>
      </c>
      <c r="E143" s="4" t="s">
        <v>14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">
        <v>663</v>
      </c>
      <c r="B144" s="4" t="s">
        <v>263</v>
      </c>
      <c r="C144" s="4">
        <f t="shared" si="1"/>
        <v>171</v>
      </c>
      <c r="D144" s="4" t="s">
        <v>75</v>
      </c>
      <c r="E144" s="4" t="s">
        <v>14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">
        <v>663</v>
      </c>
      <c r="B145" s="4" t="s">
        <v>266</v>
      </c>
      <c r="C145" s="4">
        <f t="shared" si="1"/>
        <v>170</v>
      </c>
      <c r="D145" s="4" t="s">
        <v>75</v>
      </c>
      <c r="E145" s="4" t="s">
        <v>14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">
        <v>663</v>
      </c>
      <c r="B146" s="4" t="s">
        <v>268</v>
      </c>
      <c r="C146" s="4">
        <f t="shared" si="1"/>
        <v>179</v>
      </c>
      <c r="D146" s="4" t="s">
        <v>75</v>
      </c>
      <c r="E146" s="4" t="s">
        <v>14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">
        <v>663</v>
      </c>
      <c r="B147" s="4" t="s">
        <v>271</v>
      </c>
      <c r="C147" s="4">
        <f t="shared" si="1"/>
        <v>178</v>
      </c>
      <c r="D147" s="4" t="s">
        <v>75</v>
      </c>
      <c r="E147" s="4" t="s">
        <v>14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">
        <v>663</v>
      </c>
      <c r="B148" s="4" t="s">
        <v>273</v>
      </c>
      <c r="C148" s="4">
        <f t="shared" si="1"/>
        <v>177</v>
      </c>
      <c r="D148" s="4" t="s">
        <v>75</v>
      </c>
      <c r="E148" s="4" t="s">
        <v>14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">
        <v>663</v>
      </c>
      <c r="B149" s="4" t="s">
        <v>275</v>
      </c>
      <c r="C149" s="4">
        <f t="shared" si="1"/>
        <v>176</v>
      </c>
      <c r="D149" s="4" t="s">
        <v>75</v>
      </c>
      <c r="E149" s="4" t="s">
        <v>14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663</v>
      </c>
      <c r="B150" s="4" t="s">
        <v>277</v>
      </c>
      <c r="C150" s="4">
        <f t="shared" si="1"/>
        <v>167</v>
      </c>
      <c r="D150" s="4" t="s">
        <v>75</v>
      </c>
      <c r="E150" s="4" t="s">
        <v>14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">
        <v>663</v>
      </c>
      <c r="B151" s="4" t="s">
        <v>279</v>
      </c>
      <c r="C151" s="4">
        <f t="shared" si="1"/>
        <v>166</v>
      </c>
      <c r="D151" s="4" t="s">
        <v>75</v>
      </c>
      <c r="E151" s="4" t="s">
        <v>14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663</v>
      </c>
      <c r="B152" s="4" t="s">
        <v>281</v>
      </c>
      <c r="C152" s="4">
        <f t="shared" si="1"/>
        <v>160</v>
      </c>
      <c r="D152" s="4" t="s">
        <v>75</v>
      </c>
      <c r="E152" s="4" t="s">
        <v>14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663</v>
      </c>
      <c r="B153" s="4" t="s">
        <v>283</v>
      </c>
      <c r="C153" s="4">
        <f t="shared" si="1"/>
        <v>159</v>
      </c>
      <c r="D153" s="4" t="s">
        <v>75</v>
      </c>
      <c r="E153" s="4" t="s">
        <v>14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663</v>
      </c>
      <c r="B154" s="4" t="s">
        <v>285</v>
      </c>
      <c r="C154" s="4">
        <f t="shared" si="1"/>
        <v>158</v>
      </c>
      <c r="D154" s="4" t="s">
        <v>75</v>
      </c>
      <c r="E154" s="4" t="s">
        <v>14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663</v>
      </c>
      <c r="B155" s="4" t="s">
        <v>287</v>
      </c>
      <c r="C155" s="4">
        <f t="shared" si="1"/>
        <v>156</v>
      </c>
      <c r="D155" s="4" t="s">
        <v>75</v>
      </c>
      <c r="E155" s="4" t="s">
        <v>14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663</v>
      </c>
      <c r="B156" s="4" t="s">
        <v>289</v>
      </c>
      <c r="C156" s="4">
        <f t="shared" si="1"/>
        <v>330</v>
      </c>
      <c r="D156" s="4" t="s">
        <v>75</v>
      </c>
      <c r="E156" s="4" t="s">
        <v>14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663</v>
      </c>
      <c r="B157" s="4" t="s">
        <v>292</v>
      </c>
      <c r="C157" s="4">
        <f t="shared" si="1"/>
        <v>349</v>
      </c>
      <c r="D157" s="4" t="s">
        <v>75</v>
      </c>
      <c r="E157" s="4" t="s">
        <v>14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663</v>
      </c>
      <c r="B158" s="4" t="s">
        <v>293</v>
      </c>
      <c r="C158" s="4">
        <f t="shared" si="1"/>
        <v>173</v>
      </c>
      <c r="D158" s="4" t="s">
        <v>75</v>
      </c>
      <c r="E158" s="4" t="s">
        <v>14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663</v>
      </c>
      <c r="B159" s="4" t="s">
        <v>295</v>
      </c>
      <c r="C159" s="4">
        <f t="shared" si="1"/>
        <v>154</v>
      </c>
      <c r="D159" s="4" t="s">
        <v>75</v>
      </c>
      <c r="E159" s="4" t="s">
        <v>14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663</v>
      </c>
      <c r="B160" s="4" t="s">
        <v>297</v>
      </c>
      <c r="C160" s="4">
        <f t="shared" si="1"/>
        <v>157</v>
      </c>
      <c r="D160" s="4" t="s">
        <v>75</v>
      </c>
      <c r="E160" s="4" t="s">
        <v>235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663</v>
      </c>
      <c r="B161" s="4" t="s">
        <v>299</v>
      </c>
      <c r="C161" s="4">
        <f t="shared" si="1"/>
        <v>350</v>
      </c>
      <c r="D161" s="4" t="s">
        <v>75</v>
      </c>
      <c r="E161" s="4" t="s">
        <v>235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663</v>
      </c>
      <c r="B162" s="4" t="s">
        <v>301</v>
      </c>
      <c r="C162" s="4">
        <f t="shared" si="1"/>
        <v>52</v>
      </c>
      <c r="D162" s="4" t="s">
        <v>68</v>
      </c>
      <c r="E162" s="4" t="s">
        <v>44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663</v>
      </c>
      <c r="B163" s="4" t="s">
        <v>304</v>
      </c>
      <c r="C163" s="4">
        <f t="shared" si="1"/>
        <v>294</v>
      </c>
      <c r="D163" s="4" t="s">
        <v>75</v>
      </c>
      <c r="E163" s="4" t="s">
        <v>14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663</v>
      </c>
      <c r="B164" s="4" t="s">
        <v>307</v>
      </c>
      <c r="C164" s="4">
        <f t="shared" si="1"/>
        <v>295</v>
      </c>
      <c r="D164" s="4" t="s">
        <v>75</v>
      </c>
      <c r="E164" s="4" t="s">
        <v>14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663</v>
      </c>
      <c r="B165" s="4" t="s">
        <v>308</v>
      </c>
      <c r="C165" s="4">
        <f t="shared" si="1"/>
        <v>344</v>
      </c>
      <c r="D165" s="4" t="s">
        <v>75</v>
      </c>
      <c r="E165" s="4" t="s">
        <v>14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">
        <v>663</v>
      </c>
      <c r="B166" s="4" t="s">
        <v>310</v>
      </c>
      <c r="C166" s="4">
        <f t="shared" si="1"/>
        <v>342</v>
      </c>
      <c r="D166" s="4" t="s">
        <v>75</v>
      </c>
      <c r="E166" s="4" t="s">
        <v>14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">
        <v>663</v>
      </c>
      <c r="B167" s="4" t="s">
        <v>312</v>
      </c>
      <c r="C167" s="4">
        <f t="shared" si="1"/>
        <v>341</v>
      </c>
      <c r="D167" s="4" t="s">
        <v>75</v>
      </c>
      <c r="E167" s="4" t="s">
        <v>14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663</v>
      </c>
      <c r="B168" s="4" t="s">
        <v>314</v>
      </c>
      <c r="C168" s="4">
        <f t="shared" si="1"/>
        <v>340</v>
      </c>
      <c r="D168" s="4" t="s">
        <v>75</v>
      </c>
      <c r="E168" s="4" t="s">
        <v>14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">
        <v>663</v>
      </c>
      <c r="B169" s="4" t="s">
        <v>316</v>
      </c>
      <c r="C169" s="4">
        <f t="shared" si="1"/>
        <v>338</v>
      </c>
      <c r="D169" s="4" t="s">
        <v>75</v>
      </c>
      <c r="E169" s="4" t="s">
        <v>14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">
        <v>663</v>
      </c>
      <c r="B170" s="4" t="s">
        <v>319</v>
      </c>
      <c r="C170" s="4">
        <f t="shared" si="1"/>
        <v>337</v>
      </c>
      <c r="D170" s="4" t="s">
        <v>75</v>
      </c>
      <c r="E170" s="4" t="s">
        <v>14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">
        <v>663</v>
      </c>
      <c r="B171" s="4" t="s">
        <v>321</v>
      </c>
      <c r="C171" s="4">
        <f t="shared" si="1"/>
        <v>336</v>
      </c>
      <c r="D171" s="4" t="s">
        <v>75</v>
      </c>
      <c r="E171" s="4" t="s">
        <v>14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663</v>
      </c>
      <c r="B172" s="4" t="s">
        <v>323</v>
      </c>
      <c r="C172" s="4">
        <f t="shared" si="1"/>
        <v>348</v>
      </c>
      <c r="D172" s="4" t="s">
        <v>75</v>
      </c>
      <c r="E172" s="4" t="s">
        <v>235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663</v>
      </c>
      <c r="B173" s="4" t="s">
        <v>324</v>
      </c>
      <c r="C173" s="4">
        <f t="shared" si="1"/>
        <v>345</v>
      </c>
      <c r="D173" s="4" t="s">
        <v>75</v>
      </c>
      <c r="E173" s="4" t="s">
        <v>235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">
        <v>663</v>
      </c>
      <c r="B174" s="4" t="s">
        <v>326</v>
      </c>
      <c r="C174" s="4">
        <f t="shared" si="1"/>
        <v>343</v>
      </c>
      <c r="D174" s="4" t="s">
        <v>75</v>
      </c>
      <c r="E174" s="4" t="s">
        <v>235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">
        <v>663</v>
      </c>
      <c r="B175" s="4" t="s">
        <v>328</v>
      </c>
      <c r="C175" s="4">
        <f t="shared" si="1"/>
        <v>311</v>
      </c>
      <c r="D175" s="4" t="s">
        <v>68</v>
      </c>
      <c r="E175" s="4" t="s">
        <v>235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 t="s">
        <v>663</v>
      </c>
      <c r="B176" s="4" t="s">
        <v>332</v>
      </c>
      <c r="C176" s="4">
        <f t="shared" si="1"/>
        <v>329</v>
      </c>
      <c r="D176" s="4" t="s">
        <v>75</v>
      </c>
      <c r="E176" s="4" t="s">
        <v>235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 t="s">
        <v>663</v>
      </c>
      <c r="B177" s="4" t="s">
        <v>337</v>
      </c>
      <c r="C177" s="4">
        <f t="shared" si="1"/>
        <v>312</v>
      </c>
      <c r="D177" s="4" t="s">
        <v>75</v>
      </c>
      <c r="E177" s="4" t="s">
        <v>235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 t="s">
        <v>663</v>
      </c>
      <c r="B178" s="4" t="s">
        <v>339</v>
      </c>
      <c r="C178" s="4">
        <f t="shared" si="1"/>
        <v>57</v>
      </c>
      <c r="D178" s="4" t="s">
        <v>68</v>
      </c>
      <c r="E178" s="4" t="s">
        <v>235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">
        <v>663</v>
      </c>
      <c r="B179" s="4" t="s">
        <v>342</v>
      </c>
      <c r="C179" s="4">
        <f t="shared" si="1"/>
        <v>53</v>
      </c>
      <c r="D179" s="4" t="s">
        <v>68</v>
      </c>
      <c r="E179" s="4" t="s">
        <v>235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 t="s">
        <v>663</v>
      </c>
      <c r="B180" s="4" t="s">
        <v>344</v>
      </c>
      <c r="C180" s="4">
        <f t="shared" si="1"/>
        <v>334</v>
      </c>
      <c r="D180" s="4" t="s">
        <v>75</v>
      </c>
      <c r="E180" s="4" t="s">
        <v>235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">
        <v>663</v>
      </c>
      <c r="B181" s="4" t="s">
        <v>346</v>
      </c>
      <c r="C181" s="4">
        <f t="shared" si="1"/>
        <v>333</v>
      </c>
      <c r="D181" s="4" t="s">
        <v>75</v>
      </c>
      <c r="E181" s="4" t="s">
        <v>235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 t="s">
        <v>663</v>
      </c>
      <c r="B182" s="4" t="s">
        <v>348</v>
      </c>
      <c r="C182" s="4">
        <f t="shared" si="1"/>
        <v>332</v>
      </c>
      <c r="D182" s="4" t="s">
        <v>75</v>
      </c>
      <c r="E182" s="4" t="s">
        <v>235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">
        <v>663</v>
      </c>
      <c r="B183" s="4" t="s">
        <v>350</v>
      </c>
      <c r="C183" s="4">
        <f t="shared" si="1"/>
        <v>331</v>
      </c>
      <c r="D183" s="4" t="s">
        <v>75</v>
      </c>
      <c r="E183" s="4" t="s">
        <v>235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">
        <v>663</v>
      </c>
      <c r="B184" s="4" t="s">
        <v>352</v>
      </c>
      <c r="C184" s="4">
        <f t="shared" si="1"/>
        <v>56</v>
      </c>
      <c r="D184" s="4" t="s">
        <v>68</v>
      </c>
      <c r="E184" s="4" t="s">
        <v>235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">
        <v>663</v>
      </c>
      <c r="B185" s="4" t="s">
        <v>355</v>
      </c>
      <c r="C185" s="4">
        <f t="shared" si="1"/>
        <v>335</v>
      </c>
      <c r="D185" s="4" t="s">
        <v>75</v>
      </c>
      <c r="E185" s="4" t="s">
        <v>235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663</v>
      </c>
      <c r="B186" s="4" t="s">
        <v>357</v>
      </c>
      <c r="C186" s="4">
        <f t="shared" si="1"/>
        <v>328</v>
      </c>
      <c r="D186" s="4" t="s">
        <v>75</v>
      </c>
      <c r="E186" s="4" t="s">
        <v>235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">
        <v>25</v>
      </c>
      <c r="B187" s="4" t="s">
        <v>24</v>
      </c>
      <c r="C187" s="4">
        <f t="shared" si="1"/>
        <v>30</v>
      </c>
      <c r="D187" s="4" t="s">
        <v>62</v>
      </c>
      <c r="E187" s="4" t="s">
        <v>44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">
        <v>25</v>
      </c>
      <c r="B188" s="4" t="s">
        <v>613</v>
      </c>
      <c r="C188" s="4">
        <f t="shared" si="1"/>
        <v>35</v>
      </c>
      <c r="D188" s="4" t="s">
        <v>615</v>
      </c>
      <c r="E188" s="4" t="s">
        <v>14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">
        <v>25</v>
      </c>
      <c r="B189" s="4" t="s">
        <v>616</v>
      </c>
      <c r="C189" s="4">
        <f t="shared" si="1"/>
        <v>219</v>
      </c>
      <c r="D189" s="4" t="s">
        <v>75</v>
      </c>
      <c r="E189" s="4" t="s">
        <v>14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">
        <v>25</v>
      </c>
      <c r="B190" s="4" t="s">
        <v>618</v>
      </c>
      <c r="C190" s="4">
        <f t="shared" si="1"/>
        <v>33</v>
      </c>
      <c r="D190" s="4" t="s">
        <v>615</v>
      </c>
      <c r="E190" s="4" t="s">
        <v>14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">
        <v>25</v>
      </c>
      <c r="B191" s="4" t="s">
        <v>620</v>
      </c>
      <c r="C191" s="4">
        <f t="shared" si="1"/>
        <v>234</v>
      </c>
      <c r="D191" s="4" t="s">
        <v>75</v>
      </c>
      <c r="E191" s="4" t="s">
        <v>14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25</v>
      </c>
      <c r="B192" s="4" t="s">
        <v>621</v>
      </c>
      <c r="C192" s="4">
        <f t="shared" si="1"/>
        <v>150</v>
      </c>
      <c r="D192" s="4" t="s">
        <v>75</v>
      </c>
      <c r="E192" s="4" t="s">
        <v>14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">
        <v>25</v>
      </c>
      <c r="B193" s="4" t="s">
        <v>623</v>
      </c>
      <c r="C193" s="4">
        <f t="shared" si="1"/>
        <v>149</v>
      </c>
      <c r="D193" s="4" t="s">
        <v>75</v>
      </c>
      <c r="E193" s="4" t="s">
        <v>14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 t="s">
        <v>25</v>
      </c>
      <c r="B194" s="4" t="s">
        <v>625</v>
      </c>
      <c r="C194" s="4">
        <f t="shared" si="1"/>
        <v>34</v>
      </c>
      <c r="D194" s="4" t="s">
        <v>615</v>
      </c>
      <c r="E194" s="4" t="s">
        <v>235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 t="s">
        <v>25</v>
      </c>
      <c r="B195" s="4" t="s">
        <v>627</v>
      </c>
      <c r="C195" s="4">
        <f t="shared" si="1"/>
        <v>235</v>
      </c>
      <c r="D195" s="4" t="s">
        <v>75</v>
      </c>
      <c r="E195" s="4" t="s">
        <v>235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 t="s">
        <v>25</v>
      </c>
      <c r="B196" s="4" t="s">
        <v>628</v>
      </c>
      <c r="C196" s="4">
        <f t="shared" si="1"/>
        <v>153</v>
      </c>
      <c r="D196" s="4" t="s">
        <v>75</v>
      </c>
      <c r="E196" s="4" t="s">
        <v>235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 t="s">
        <v>25</v>
      </c>
      <c r="B197" s="4" t="s">
        <v>629</v>
      </c>
      <c r="C197" s="4">
        <f t="shared" si="1"/>
        <v>152</v>
      </c>
      <c r="D197" s="4" t="s">
        <v>75</v>
      </c>
      <c r="E197" s="4" t="s">
        <v>235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 t="s">
        <v>25</v>
      </c>
      <c r="B198" s="4" t="s">
        <v>630</v>
      </c>
      <c r="C198" s="4">
        <f t="shared" si="1"/>
        <v>151</v>
      </c>
      <c r="D198" s="4" t="s">
        <v>75</v>
      </c>
      <c r="E198" s="4" t="s">
        <v>235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 t="s">
        <v>25</v>
      </c>
      <c r="B199" s="4" t="s">
        <v>632</v>
      </c>
      <c r="C199" s="4">
        <f t="shared" si="1"/>
        <v>36</v>
      </c>
      <c r="D199" s="4" t="s">
        <v>615</v>
      </c>
      <c r="E199" s="4" t="s">
        <v>235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 t="s">
        <v>25</v>
      </c>
      <c r="B200" s="4" t="s">
        <v>634</v>
      </c>
      <c r="C200" s="4">
        <f t="shared" si="1"/>
        <v>236</v>
      </c>
      <c r="D200" s="4" t="s">
        <v>75</v>
      </c>
      <c r="E200" s="4" t="s">
        <v>235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 t="s">
        <v>25</v>
      </c>
      <c r="B201" s="4" t="s">
        <v>635</v>
      </c>
      <c r="C201" s="4">
        <f t="shared" si="1"/>
        <v>147</v>
      </c>
      <c r="D201" s="4" t="s">
        <v>75</v>
      </c>
      <c r="E201" s="4" t="s">
        <v>235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 t="s">
        <v>27</v>
      </c>
      <c r="B202" s="4" t="s">
        <v>26</v>
      </c>
      <c r="C202" s="4">
        <f t="shared" si="1"/>
        <v>2</v>
      </c>
      <c r="D202" s="4" t="s">
        <v>62</v>
      </c>
      <c r="E202" s="4" t="s">
        <v>44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 t="s">
        <v>27</v>
      </c>
      <c r="B203" s="4" t="s">
        <v>493</v>
      </c>
      <c r="C203" s="4">
        <f t="shared" si="1"/>
        <v>249</v>
      </c>
      <c r="D203" s="4" t="s">
        <v>68</v>
      </c>
      <c r="E203" s="4" t="s">
        <v>14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 t="s">
        <v>27</v>
      </c>
      <c r="B204" s="4" t="s">
        <v>496</v>
      </c>
      <c r="C204" s="4">
        <f t="shared" si="1"/>
        <v>17</v>
      </c>
      <c r="D204" s="4" t="s">
        <v>68</v>
      </c>
      <c r="E204" s="4" t="s">
        <v>14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 t="s">
        <v>27</v>
      </c>
      <c r="B205" s="4" t="s">
        <v>498</v>
      </c>
      <c r="C205" s="4">
        <f t="shared" si="1"/>
        <v>126</v>
      </c>
      <c r="D205" s="4" t="s">
        <v>68</v>
      </c>
      <c r="E205" s="4" t="s">
        <v>14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 t="s">
        <v>27</v>
      </c>
      <c r="B206" s="4" t="s">
        <v>500</v>
      </c>
      <c r="C206" s="4">
        <f t="shared" si="1"/>
        <v>19</v>
      </c>
      <c r="D206" s="4" t="s">
        <v>68</v>
      </c>
      <c r="E206" s="4" t="s">
        <v>14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 t="s">
        <v>27</v>
      </c>
      <c r="B207" s="4" t="s">
        <v>502</v>
      </c>
      <c r="C207" s="4">
        <f t="shared" si="1"/>
        <v>130</v>
      </c>
      <c r="D207" s="4" t="s">
        <v>68</v>
      </c>
      <c r="E207" s="4" t="s">
        <v>14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 t="s">
        <v>27</v>
      </c>
      <c r="B208" s="4" t="s">
        <v>504</v>
      </c>
      <c r="C208" s="4">
        <f t="shared" si="1"/>
        <v>129</v>
      </c>
      <c r="D208" s="4" t="s">
        <v>68</v>
      </c>
      <c r="E208" s="4" t="s">
        <v>14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 t="s">
        <v>27</v>
      </c>
      <c r="B209" s="4" t="s">
        <v>506</v>
      </c>
      <c r="C209" s="4">
        <f t="shared" si="1"/>
        <v>18</v>
      </c>
      <c r="D209" s="4" t="s">
        <v>68</v>
      </c>
      <c r="E209" s="4" t="s">
        <v>14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 t="s">
        <v>27</v>
      </c>
      <c r="B210" s="4" t="s">
        <v>508</v>
      </c>
      <c r="C210" s="4">
        <f t="shared" si="1"/>
        <v>132</v>
      </c>
      <c r="D210" s="4" t="s">
        <v>68</v>
      </c>
      <c r="E210" s="4" t="s">
        <v>14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 t="s">
        <v>27</v>
      </c>
      <c r="B211" s="4" t="s">
        <v>511</v>
      </c>
      <c r="C211" s="4">
        <f t="shared" si="1"/>
        <v>131</v>
      </c>
      <c r="D211" s="4" t="s">
        <v>68</v>
      </c>
      <c r="E211" s="4" t="s">
        <v>14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 t="s">
        <v>27</v>
      </c>
      <c r="B212" s="4" t="s">
        <v>513</v>
      </c>
      <c r="C212" s="4">
        <f t="shared" si="1"/>
        <v>269</v>
      </c>
      <c r="D212" s="4" t="s">
        <v>68</v>
      </c>
      <c r="E212" s="4" t="s">
        <v>14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">
        <v>27</v>
      </c>
      <c r="B213" s="4" t="s">
        <v>515</v>
      </c>
      <c r="C213" s="4">
        <f t="shared" si="1"/>
        <v>275</v>
      </c>
      <c r="D213" s="4" t="s">
        <v>75</v>
      </c>
      <c r="E213" s="4" t="s">
        <v>14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 t="s">
        <v>27</v>
      </c>
      <c r="B214" s="4" t="s">
        <v>518</v>
      </c>
      <c r="C214" s="4">
        <f t="shared" si="1"/>
        <v>274</v>
      </c>
      <c r="D214" s="4" t="s">
        <v>75</v>
      </c>
      <c r="E214" s="4" t="s">
        <v>14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 t="s">
        <v>27</v>
      </c>
      <c r="B215" s="4" t="s">
        <v>519</v>
      </c>
      <c r="C215" s="4">
        <f t="shared" si="1"/>
        <v>273</v>
      </c>
      <c r="D215" s="4" t="s">
        <v>75</v>
      </c>
      <c r="E215" s="4" t="s">
        <v>14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 t="s">
        <v>27</v>
      </c>
      <c r="B216" s="4" t="s">
        <v>521</v>
      </c>
      <c r="C216" s="4">
        <f t="shared" si="1"/>
        <v>23</v>
      </c>
      <c r="D216" s="4" t="s">
        <v>68</v>
      </c>
      <c r="E216" s="4" t="s">
        <v>14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 t="s">
        <v>27</v>
      </c>
      <c r="B217" s="4" t="s">
        <v>523</v>
      </c>
      <c r="C217" s="4">
        <f t="shared" si="1"/>
        <v>285</v>
      </c>
      <c r="D217" s="4" t="s">
        <v>75</v>
      </c>
      <c r="E217" s="4" t="s">
        <v>14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 t="s">
        <v>27</v>
      </c>
      <c r="B218" s="4" t="s">
        <v>525</v>
      </c>
      <c r="C218" s="4">
        <f t="shared" si="1"/>
        <v>272</v>
      </c>
      <c r="D218" s="4" t="s">
        <v>75</v>
      </c>
      <c r="E218" s="4" t="s">
        <v>14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 t="s">
        <v>27</v>
      </c>
      <c r="B219" s="4" t="s">
        <v>527</v>
      </c>
      <c r="C219" s="4">
        <f t="shared" si="1"/>
        <v>271</v>
      </c>
      <c r="D219" s="4" t="s">
        <v>75</v>
      </c>
      <c r="E219" s="4" t="s">
        <v>14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 t="s">
        <v>27</v>
      </c>
      <c r="B220" s="4" t="s">
        <v>529</v>
      </c>
      <c r="C220" s="4">
        <f t="shared" si="1"/>
        <v>268</v>
      </c>
      <c r="D220" s="4" t="s">
        <v>75</v>
      </c>
      <c r="E220" s="4" t="s">
        <v>14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 t="s">
        <v>27</v>
      </c>
      <c r="B221" s="4" t="s">
        <v>531</v>
      </c>
      <c r="C221" s="4">
        <f t="shared" si="1"/>
        <v>267</v>
      </c>
      <c r="D221" s="4" t="s">
        <v>75</v>
      </c>
      <c r="E221" s="4" t="s">
        <v>14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 t="s">
        <v>27</v>
      </c>
      <c r="B222" s="4" t="s">
        <v>533</v>
      </c>
      <c r="C222" s="4">
        <f t="shared" si="1"/>
        <v>265</v>
      </c>
      <c r="D222" s="4" t="s">
        <v>75</v>
      </c>
      <c r="E222" s="4" t="s">
        <v>14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 t="s">
        <v>27</v>
      </c>
      <c r="B223" s="4" t="s">
        <v>535</v>
      </c>
      <c r="C223" s="4">
        <f t="shared" si="1"/>
        <v>264</v>
      </c>
      <c r="D223" s="4" t="s">
        <v>75</v>
      </c>
      <c r="E223" s="4" t="s">
        <v>14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 t="s">
        <v>27</v>
      </c>
      <c r="B224" s="4" t="s">
        <v>537</v>
      </c>
      <c r="C224" s="4">
        <f t="shared" si="1"/>
        <v>133</v>
      </c>
      <c r="D224" s="4" t="s">
        <v>68</v>
      </c>
      <c r="E224" s="4" t="s">
        <v>14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 t="s">
        <v>27</v>
      </c>
      <c r="B225" s="4" t="s">
        <v>540</v>
      </c>
      <c r="C225" s="4">
        <f t="shared" si="1"/>
        <v>327</v>
      </c>
      <c r="D225" s="4" t="s">
        <v>75</v>
      </c>
      <c r="E225" s="4" t="s">
        <v>14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 t="s">
        <v>27</v>
      </c>
      <c r="B226" s="4" t="s">
        <v>542</v>
      </c>
      <c r="C226" s="4">
        <f t="shared" si="1"/>
        <v>326</v>
      </c>
      <c r="D226" s="4" t="s">
        <v>75</v>
      </c>
      <c r="E226" s="4" t="s">
        <v>14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 t="s">
        <v>27</v>
      </c>
      <c r="B227" s="4" t="s">
        <v>544</v>
      </c>
      <c r="C227" s="4">
        <f t="shared" si="1"/>
        <v>325</v>
      </c>
      <c r="D227" s="4" t="s">
        <v>75</v>
      </c>
      <c r="E227" s="4" t="s">
        <v>14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 t="s">
        <v>27</v>
      </c>
      <c r="B228" s="4" t="s">
        <v>545</v>
      </c>
      <c r="C228" s="4">
        <f t="shared" si="1"/>
        <v>310</v>
      </c>
      <c r="D228" s="4" t="s">
        <v>68</v>
      </c>
      <c r="E228" s="4" t="s">
        <v>235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 t="s">
        <v>29</v>
      </c>
      <c r="B229" s="4" t="s">
        <v>28</v>
      </c>
      <c r="C229" s="4">
        <f t="shared" si="1"/>
        <v>6</v>
      </c>
      <c r="D229" s="4" t="s">
        <v>62</v>
      </c>
      <c r="E229" s="4" t="s">
        <v>44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 t="s">
        <v>29</v>
      </c>
      <c r="B230" s="4" t="s">
        <v>548</v>
      </c>
      <c r="C230" s="4">
        <f t="shared" si="1"/>
        <v>37</v>
      </c>
      <c r="D230" s="4" t="s">
        <v>68</v>
      </c>
      <c r="E230" s="4" t="s">
        <v>44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 t="s">
        <v>29</v>
      </c>
      <c r="B231" s="4" t="s">
        <v>550</v>
      </c>
      <c r="C231" s="4">
        <f t="shared" si="1"/>
        <v>313</v>
      </c>
      <c r="D231" s="4" t="s">
        <v>75</v>
      </c>
      <c r="E231" s="4" t="s">
        <v>14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 t="s">
        <v>29</v>
      </c>
      <c r="B232" s="4" t="s">
        <v>552</v>
      </c>
      <c r="C232" s="4">
        <f t="shared" si="1"/>
        <v>301</v>
      </c>
      <c r="D232" s="4" t="s">
        <v>75</v>
      </c>
      <c r="E232" s="4" t="s">
        <v>14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 t="s">
        <v>29</v>
      </c>
      <c r="B233" s="4" t="s">
        <v>556</v>
      </c>
      <c r="C233" s="4">
        <f t="shared" si="1"/>
        <v>259</v>
      </c>
      <c r="D233" s="4" t="s">
        <v>75</v>
      </c>
      <c r="E233" s="4" t="s">
        <v>14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 t="s">
        <v>29</v>
      </c>
      <c r="B234" s="4" t="s">
        <v>558</v>
      </c>
      <c r="C234" s="4">
        <f t="shared" si="1"/>
        <v>282</v>
      </c>
      <c r="D234" s="4" t="s">
        <v>75</v>
      </c>
      <c r="E234" s="4" t="s">
        <v>14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 t="s">
        <v>29</v>
      </c>
      <c r="B235" s="4" t="s">
        <v>560</v>
      </c>
      <c r="C235" s="4">
        <f t="shared" si="1"/>
        <v>262</v>
      </c>
      <c r="D235" s="4" t="s">
        <v>75</v>
      </c>
      <c r="E235" s="4" t="s">
        <v>235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 t="s">
        <v>29</v>
      </c>
      <c r="B236" s="4" t="s">
        <v>562</v>
      </c>
      <c r="C236" s="4">
        <f t="shared" si="1"/>
        <v>281</v>
      </c>
      <c r="D236" s="4" t="s">
        <v>75</v>
      </c>
      <c r="E236" s="4" t="s">
        <v>235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 t="s">
        <v>29</v>
      </c>
      <c r="B237" s="4" t="s">
        <v>564</v>
      </c>
      <c r="C237" s="4">
        <f t="shared" si="1"/>
        <v>280</v>
      </c>
      <c r="D237" s="4" t="s">
        <v>75</v>
      </c>
      <c r="E237" s="4" t="s">
        <v>235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 t="s">
        <v>29</v>
      </c>
      <c r="B238" s="4" t="s">
        <v>566</v>
      </c>
      <c r="C238" s="4">
        <f t="shared" si="1"/>
        <v>279</v>
      </c>
      <c r="D238" s="4" t="s">
        <v>75</v>
      </c>
      <c r="E238" s="4" t="s">
        <v>235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 t="s">
        <v>29</v>
      </c>
      <c r="B239" s="4" t="s">
        <v>568</v>
      </c>
      <c r="C239" s="4">
        <f t="shared" si="1"/>
        <v>277</v>
      </c>
      <c r="D239" s="4" t="s">
        <v>75</v>
      </c>
      <c r="E239" s="4" t="s">
        <v>235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 t="s">
        <v>29</v>
      </c>
      <c r="B240" s="4" t="s">
        <v>570</v>
      </c>
      <c r="C240" s="4">
        <f t="shared" si="1"/>
        <v>260</v>
      </c>
      <c r="D240" s="4" t="s">
        <v>75</v>
      </c>
      <c r="E240" s="4" t="s">
        <v>235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 t="s">
        <v>29</v>
      </c>
      <c r="B241" s="4" t="s">
        <v>572</v>
      </c>
      <c r="C241" s="4">
        <f t="shared" si="1"/>
        <v>314</v>
      </c>
      <c r="D241" s="4" t="s">
        <v>75</v>
      </c>
      <c r="E241" s="4" t="s">
        <v>235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 t="s">
        <v>29</v>
      </c>
      <c r="B242" s="4" t="s">
        <v>574</v>
      </c>
      <c r="C242" s="4">
        <f t="shared" si="1"/>
        <v>339</v>
      </c>
      <c r="D242" s="4" t="s">
        <v>75</v>
      </c>
      <c r="E242" s="4" t="s">
        <v>235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 t="s">
        <v>29</v>
      </c>
      <c r="B243" s="4" t="s">
        <v>576</v>
      </c>
      <c r="C243" s="4">
        <f t="shared" si="1"/>
        <v>315</v>
      </c>
      <c r="D243" s="4" t="s">
        <v>75</v>
      </c>
      <c r="E243" s="4" t="s">
        <v>235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 t="s">
        <v>29</v>
      </c>
      <c r="B244" s="4" t="s">
        <v>578</v>
      </c>
      <c r="C244" s="4">
        <f t="shared" si="1"/>
        <v>352</v>
      </c>
      <c r="D244" s="4" t="s">
        <v>68</v>
      </c>
      <c r="E244" s="4" t="s">
        <v>235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 t="s">
        <v>29</v>
      </c>
      <c r="B245" s="4" t="s">
        <v>580</v>
      </c>
      <c r="C245" s="4">
        <f t="shared" si="1"/>
        <v>351</v>
      </c>
      <c r="D245" s="4" t="s">
        <v>68</v>
      </c>
      <c r="E245" s="4" t="s">
        <v>235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 t="s">
        <v>31</v>
      </c>
      <c r="B246" s="4" t="s">
        <v>30</v>
      </c>
      <c r="C246" s="4">
        <f t="shared" si="1"/>
        <v>7</v>
      </c>
      <c r="D246" s="4" t="s">
        <v>62</v>
      </c>
      <c r="E246" s="4" t="s">
        <v>14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 t="s">
        <v>31</v>
      </c>
      <c r="B247" s="4" t="s">
        <v>582</v>
      </c>
      <c r="C247" s="4">
        <f t="shared" si="1"/>
        <v>43</v>
      </c>
      <c r="D247" s="4" t="s">
        <v>68</v>
      </c>
      <c r="E247" s="4" t="s">
        <v>14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 t="s">
        <v>31</v>
      </c>
      <c r="B248" s="4" t="s">
        <v>584</v>
      </c>
      <c r="C248" s="4">
        <f t="shared" si="1"/>
        <v>42</v>
      </c>
      <c r="D248" s="4" t="s">
        <v>68</v>
      </c>
      <c r="E248" s="4" t="s">
        <v>14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 t="s">
        <v>31</v>
      </c>
      <c r="B249" s="4" t="s">
        <v>599</v>
      </c>
      <c r="C249" s="4">
        <f t="shared" si="1"/>
        <v>44</v>
      </c>
      <c r="D249" s="4" t="s">
        <v>68</v>
      </c>
      <c r="E249" s="4" t="s">
        <v>235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 t="s">
        <v>31</v>
      </c>
      <c r="B250" s="4" t="s">
        <v>587</v>
      </c>
      <c r="C250" s="4">
        <f t="shared" si="1"/>
        <v>354</v>
      </c>
      <c r="D250" s="4" t="s">
        <v>68</v>
      </c>
      <c r="E250" s="4" t="s">
        <v>14</v>
      </c>
    </row>
    <row r="251" ht="15.75" customHeight="1">
      <c r="A251" s="4" t="s">
        <v>31</v>
      </c>
      <c r="B251" s="4" t="s">
        <v>589</v>
      </c>
      <c r="C251" s="4">
        <f t="shared" si="1"/>
        <v>355</v>
      </c>
      <c r="D251" s="4" t="s">
        <v>75</v>
      </c>
      <c r="E251" s="4" t="s">
        <v>14</v>
      </c>
    </row>
    <row r="252" ht="15.75" customHeight="1">
      <c r="A252" s="4" t="s">
        <v>31</v>
      </c>
      <c r="B252" s="4" t="s">
        <v>591</v>
      </c>
      <c r="C252" s="4">
        <f t="shared" si="1"/>
        <v>356</v>
      </c>
      <c r="D252" s="4" t="s">
        <v>75</v>
      </c>
      <c r="E252" s="4" t="s">
        <v>14</v>
      </c>
    </row>
    <row r="253" ht="15.75" customHeight="1">
      <c r="A253" s="4" t="s">
        <v>31</v>
      </c>
      <c r="B253" s="4" t="s">
        <v>593</v>
      </c>
      <c r="C253" s="4">
        <f t="shared" si="1"/>
        <v>353</v>
      </c>
      <c r="D253" s="4" t="s">
        <v>68</v>
      </c>
      <c r="E253" s="4" t="s">
        <v>14</v>
      </c>
    </row>
    <row r="254" ht="15.75" customHeight="1">
      <c r="A254" s="4" t="s">
        <v>31</v>
      </c>
      <c r="B254" s="4" t="s">
        <v>595</v>
      </c>
      <c r="C254" s="4">
        <f t="shared" si="1"/>
        <v>357</v>
      </c>
      <c r="D254" s="4" t="s">
        <v>75</v>
      </c>
      <c r="E254" s="4" t="s">
        <v>14</v>
      </c>
    </row>
    <row r="255" ht="15.75" customHeight="1">
      <c r="A255" s="4" t="s">
        <v>31</v>
      </c>
      <c r="B255" s="4" t="s">
        <v>597</v>
      </c>
      <c r="C255" s="4">
        <f t="shared" si="1"/>
        <v>358</v>
      </c>
      <c r="D255" s="4" t="s">
        <v>75</v>
      </c>
      <c r="E255" s="4" t="s">
        <v>14</v>
      </c>
    </row>
    <row r="256" ht="15.75" customHeight="1">
      <c r="A256" s="4" t="s">
        <v>33</v>
      </c>
      <c r="B256" s="4" t="s">
        <v>32</v>
      </c>
      <c r="C256" s="4">
        <f t="shared" ref="C256:C273" si="2">IFERROR(VALUE(MID(B250,7,LEN(B250)-6)),"")</f>
        <v>354</v>
      </c>
      <c r="D256" s="4" t="s">
        <v>62</v>
      </c>
      <c r="E256" s="4" t="s">
        <v>44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 t="s">
        <v>33</v>
      </c>
      <c r="B257" s="4" t="s">
        <v>638</v>
      </c>
      <c r="C257" s="4">
        <f t="shared" si="2"/>
        <v>355</v>
      </c>
      <c r="D257" s="4" t="s">
        <v>68</v>
      </c>
      <c r="E257" s="4" t="s">
        <v>14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 t="s">
        <v>33</v>
      </c>
      <c r="B258" s="4" t="s">
        <v>640</v>
      </c>
      <c r="C258" s="4">
        <f t="shared" si="2"/>
        <v>356</v>
      </c>
      <c r="D258" s="4" t="s">
        <v>75</v>
      </c>
      <c r="E258" s="4" t="s">
        <v>14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 t="s">
        <v>33</v>
      </c>
      <c r="B259" s="4" t="s">
        <v>642</v>
      </c>
      <c r="C259" s="4">
        <f t="shared" si="2"/>
        <v>353</v>
      </c>
      <c r="D259" s="4" t="s">
        <v>75</v>
      </c>
      <c r="E259" s="4" t="s">
        <v>14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 t="s">
        <v>33</v>
      </c>
      <c r="B260" s="4" t="s">
        <v>644</v>
      </c>
      <c r="C260" s="4">
        <f t="shared" si="2"/>
        <v>357</v>
      </c>
      <c r="D260" s="4" t="s">
        <v>75</v>
      </c>
      <c r="E260" s="4" t="s">
        <v>14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 t="s">
        <v>33</v>
      </c>
      <c r="B261" s="4" t="s">
        <v>646</v>
      </c>
      <c r="C261" s="4">
        <f t="shared" si="2"/>
        <v>358</v>
      </c>
      <c r="D261" s="4" t="s">
        <v>75</v>
      </c>
      <c r="E261" s="4" t="s">
        <v>14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 t="s">
        <v>33</v>
      </c>
      <c r="B262" s="4" t="s">
        <v>648</v>
      </c>
      <c r="C262" s="4">
        <f t="shared" si="2"/>
        <v>58</v>
      </c>
      <c r="D262" s="4" t="s">
        <v>75</v>
      </c>
      <c r="E262" s="4" t="s">
        <v>14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 t="s">
        <v>33</v>
      </c>
      <c r="B263" s="4" t="s">
        <v>650</v>
      </c>
      <c r="C263" s="4">
        <f t="shared" si="2"/>
        <v>317</v>
      </c>
      <c r="D263" s="4" t="s">
        <v>75</v>
      </c>
      <c r="E263" s="4" t="s">
        <v>14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 t="s">
        <v>33</v>
      </c>
      <c r="B264" s="4" t="s">
        <v>652</v>
      </c>
      <c r="C264" s="4">
        <f t="shared" si="2"/>
        <v>324</v>
      </c>
      <c r="D264" s="4" t="s">
        <v>75</v>
      </c>
      <c r="E264" s="4" t="s">
        <v>14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 t="s">
        <v>33</v>
      </c>
      <c r="B265" s="4" t="s">
        <v>654</v>
      </c>
      <c r="C265" s="4">
        <f t="shared" si="2"/>
        <v>323</v>
      </c>
      <c r="D265" s="4" t="s">
        <v>68</v>
      </c>
      <c r="E265" s="4" t="s">
        <v>235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 t="s">
        <v>33</v>
      </c>
      <c r="B266" s="4" t="s">
        <v>657</v>
      </c>
      <c r="C266" s="4">
        <f t="shared" si="2"/>
        <v>322</v>
      </c>
      <c r="D266" s="4" t="s">
        <v>75</v>
      </c>
      <c r="E266" s="4" t="s">
        <v>235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 t="s">
        <v>33</v>
      </c>
      <c r="B267" s="4" t="s">
        <v>658</v>
      </c>
      <c r="C267" s="4">
        <f t="shared" si="2"/>
        <v>321</v>
      </c>
      <c r="D267" s="4" t="s">
        <v>75</v>
      </c>
      <c r="E267" s="4" t="s">
        <v>235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 t="s">
        <v>33</v>
      </c>
      <c r="B268" s="4" t="s">
        <v>659</v>
      </c>
      <c r="C268" s="4">
        <f t="shared" si="2"/>
        <v>320</v>
      </c>
      <c r="D268" s="4" t="s">
        <v>75</v>
      </c>
      <c r="E268" s="4" t="s">
        <v>235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 t="s">
        <v>35</v>
      </c>
      <c r="B269" s="4" t="s">
        <v>34</v>
      </c>
      <c r="C269" s="4">
        <f t="shared" si="2"/>
        <v>319</v>
      </c>
      <c r="D269" s="4" t="s">
        <v>62</v>
      </c>
      <c r="E269" s="4" t="s">
        <v>235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 t="s">
        <v>35</v>
      </c>
      <c r="B270" s="4" t="s">
        <v>602</v>
      </c>
      <c r="C270" s="4">
        <f t="shared" si="2"/>
        <v>318</v>
      </c>
      <c r="D270" s="4" t="s">
        <v>68</v>
      </c>
      <c r="E270" s="4" t="s">
        <v>235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 t="s">
        <v>35</v>
      </c>
      <c r="B271" s="4" t="s">
        <v>605</v>
      </c>
      <c r="C271" s="4">
        <f t="shared" si="2"/>
        <v>59</v>
      </c>
      <c r="D271" s="4" t="s">
        <v>68</v>
      </c>
      <c r="E271" s="4" t="s">
        <v>235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 t="s">
        <v>35</v>
      </c>
      <c r="B272" s="4" t="s">
        <v>607</v>
      </c>
      <c r="C272" s="4">
        <f t="shared" si="2"/>
        <v>304</v>
      </c>
      <c r="D272" s="4" t="s">
        <v>68</v>
      </c>
      <c r="E272" s="4" t="s">
        <v>235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 t="s">
        <v>35</v>
      </c>
      <c r="B273" s="4" t="s">
        <v>610</v>
      </c>
      <c r="C273" s="4">
        <f t="shared" si="2"/>
        <v>303</v>
      </c>
      <c r="D273" s="4" t="s">
        <v>68</v>
      </c>
      <c r="E273" s="4" t="s">
        <v>235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26.0"/>
    <col customWidth="1" min="4" max="4" width="16.0"/>
    <col customWidth="1" min="5" max="6" width="8.71"/>
  </cols>
  <sheetData>
    <row r="1">
      <c r="A1" s="99" t="s">
        <v>61</v>
      </c>
      <c r="B1" s="99" t="s">
        <v>664</v>
      </c>
      <c r="C1" s="99" t="s">
        <v>56</v>
      </c>
      <c r="D1" s="99" t="s">
        <v>37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377</v>
      </c>
      <c r="B2" s="4" t="s">
        <v>156</v>
      </c>
      <c r="C2" s="4" t="s">
        <v>156</v>
      </c>
      <c r="D2" s="4" t="s">
        <v>39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136</v>
      </c>
      <c r="B3" s="4" t="s">
        <v>139</v>
      </c>
      <c r="C3" s="4" t="s">
        <v>139</v>
      </c>
      <c r="D3" s="4" t="s">
        <v>41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329</v>
      </c>
      <c r="B4" s="4" t="s">
        <v>170</v>
      </c>
      <c r="C4" s="4" t="s">
        <v>87</v>
      </c>
      <c r="D4" s="4" t="s">
        <v>42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27</v>
      </c>
      <c r="B5" s="4" t="s">
        <v>70</v>
      </c>
      <c r="C5" s="4" t="s">
        <v>170</v>
      </c>
      <c r="D5" s="4" t="s">
        <v>45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302</v>
      </c>
      <c r="B6" s="4"/>
      <c r="C6" s="4" t="s">
        <v>70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424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169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343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35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549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86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33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459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67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127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353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655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237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116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436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639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468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538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29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363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182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480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450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408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100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514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522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31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614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665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626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633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21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25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23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